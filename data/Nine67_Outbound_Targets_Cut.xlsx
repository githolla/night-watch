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ier A - Reach out" sheetId="2" state="visible" r:id="rId4"/>
    <sheet name="Tier B - Needs signal" sheetId="3" state="visible" r:id="rId5"/>
    <sheet name="Tier C - 1-5B stretch" sheetId="4" state="visible" r:id="rId6"/>
    <sheet name="Removed" sheetId="5" state="visible" r:id="rId7"/>
  </sheets>
  <definedNames>
    <definedName function="false" hidden="true" localSheetId="4" name="_xlnm._FilterDatabase" vbProcedure="false">Removed!$A$1:$P$297</definedName>
    <definedName function="false" hidden="true" localSheetId="1" name="_xlnm._FilterDatabase" vbProcedure="false">'Tier A - Reach out'!$A$1:$U$577</definedName>
    <definedName function="false" hidden="true" localSheetId="2" name="_xlnm._FilterDatabase" vbProcedure="false">'Tier B - Needs signal'!$A$1:$O$765</definedName>
    <definedName function="false" hidden="true" localSheetId="3" name="_xlnm._FilterDatabase" vbProcedure="false">'Tier C - 1-5B stretch'!$A$1:$O$224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<sst xmlns="http://schemas.openxmlformats.org/spreadsheetml/2006/main" count="24441" uniqueCount="11481">
  <si>
    <t xml:space="preserve">Nine-67 Outbound Targets: cut for reach-out</t>
  </si>
  <si>
    <t xml:space="preserve">Source: Nine67_Outbound_Targets_50M_plus.csv (1,859 rows). Cut applied Sep 11, 2026.</t>
  </si>
  <si>
    <t xml:space="preserve">Tier</t>
  </si>
  <si>
    <t xml:space="preserve">Definition</t>
  </si>
  <si>
    <t xml:space="preserve">Count</t>
  </si>
  <si>
    <t xml:space="preserve">Action</t>
  </si>
  <si>
    <t xml:space="preserve">A1</t>
  </si>
  <si>
    <t xml:space="preserve">$50M-1B revenue, AI signal present, and PE-backed or in a highlighted industry (PE portfolios, consulting)</t>
  </si>
  <si>
    <t xml:space="preserve">Enrich contacts and reach out first</t>
  </si>
  <si>
    <t xml:space="preserve">A2</t>
  </si>
  <si>
    <t xml:space="preserve">$50M-1B revenue, AI signal present</t>
  </si>
  <si>
    <t xml:space="preserve">Reach out second wave</t>
  </si>
  <si>
    <t xml:space="preserve">B</t>
  </si>
  <si>
    <t xml:space="preserve">$50M-1B revenue, no AI signal yet</t>
  </si>
  <si>
    <t xml:space="preserve">Hold; nightly agent run scans for signals and promotes to A</t>
  </si>
  <si>
    <t xml:space="preserve">C</t>
  </si>
  <si>
    <t xml:space="preserve">$1-5B revenue, AI signal present</t>
  </si>
  <si>
    <t xml:space="preserve">Stretch; only with a warm path</t>
  </si>
  <si>
    <t xml:space="preserve">Removed</t>
  </si>
  <si>
    <t xml:space="preserve">$5B+, PE firms (not portfolio cos), $1-5B with no signal, duplicates</t>
  </si>
  <si>
    <t xml:space="preserve">Not contacted</t>
  </si>
  <si>
    <t xml:space="preserve">Total</t>
  </si>
  <si>
    <t xml:space="preserve">Tier A by industry</t>
  </si>
  <si>
    <t xml:space="preserve">Accounting services</t>
  </si>
  <si>
    <t xml:space="preserve">Banking &amp; financial services</t>
  </si>
  <si>
    <t xml:space="preserve">Consulting firms</t>
  </si>
  <si>
    <t xml:space="preserve">Distribution</t>
  </si>
  <si>
    <t xml:space="preserve">Food, beverage &amp; hospitality</t>
  </si>
  <si>
    <t xml:space="preserve">IT services</t>
  </si>
  <si>
    <t xml:space="preserve">Legal services</t>
  </si>
  <si>
    <t xml:space="preserve">Manufacturing</t>
  </si>
  <si>
    <t xml:space="preserve">Marketing services</t>
  </si>
  <si>
    <t xml:space="preserve">Private equity portfolios</t>
  </si>
  <si>
    <t xml:space="preserve">Professional services</t>
  </si>
  <si>
    <t xml:space="preserve">Retail &amp; consumer</t>
  </si>
  <si>
    <t xml:space="preserve">SaaS</t>
  </si>
  <si>
    <t xml:space="preserve">Supply chain &amp; logistics</t>
  </si>
  <si>
    <t xml:space="preserve">Notes</t>
  </si>
  <si>
    <t xml:space="preserve">Revenue bands are estimates from the source list (many rows carry no point estimate); verify before quoting externally.</t>
  </si>
  <si>
    <t xml:space="preserve">AI signal column is from the source list; blank means not yet researched, not that no signal exists.</t>
  </si>
  <si>
    <t xml:space="preserve">Lime columns on Tier A are blank on purpose: fill via contact enrichment (Apollo/Clay or similar) against likely_buyer_titles.</t>
  </si>
  <si>
    <t xml:space="preserve">Tier A sorted by priority, then industry, then revenue band descending.</t>
  </si>
  <si>
    <t xml:space="preserve">priority</t>
  </si>
  <si>
    <t xml:space="preserve">company</t>
  </si>
  <si>
    <t xml:space="preserve">industry</t>
  </si>
  <si>
    <t xml:space="preserve">sub_segment</t>
  </si>
  <si>
    <t xml:space="preserve">hq_city</t>
  </si>
  <si>
    <t xml:space="preserve">hq_state</t>
  </si>
  <si>
    <t xml:space="preserve">website</t>
  </si>
  <si>
    <t xml:space="preserve">revenue_band</t>
  </si>
  <si>
    <t xml:space="preserve">employees</t>
  </si>
  <si>
    <t xml:space="preserve">ownership</t>
  </si>
  <si>
    <t xml:space="preserve">pe_sponsor</t>
  </si>
  <si>
    <t xml:space="preserve">ceo</t>
  </si>
  <si>
    <t xml:space="preserve">likely_buyer_titles</t>
  </si>
  <si>
    <t xml:space="preserve">ai_signal</t>
  </si>
  <si>
    <t xml:space="preserve">notes</t>
  </si>
  <si>
    <t xml:space="preserve">source_url</t>
  </si>
  <si>
    <t xml:space="preserve">contact_name</t>
  </si>
  <si>
    <t xml:space="preserve">contact_title</t>
  </si>
  <si>
    <t xml:space="preserve">email</t>
  </si>
  <si>
    <t xml:space="preserve">linkedin_url</t>
  </si>
  <si>
    <t xml:space="preserve">status</t>
  </si>
  <si>
    <t xml:space="preserve">Aprio</t>
  </si>
  <si>
    <t xml:space="preserve">PE-backed national platform</t>
  </si>
  <si>
    <t xml:space="preserve">Atlanta</t>
  </si>
  <si>
    <t xml:space="preserve">GA</t>
  </si>
  <si>
    <t xml:space="preserve">aprio.com</t>
  </si>
  <si>
    <t xml:space="preserve">500M-1B</t>
  </si>
  <si>
    <t xml:space="preserve">PE-backed</t>
  </si>
  <si>
    <t xml:space="preserve">Charlesbank Capital Partners</t>
  </si>
  <si>
    <t xml:space="preserve">Richard Kopelman</t>
  </si>
  <si>
    <t xml:space="preserve">CIO; Chief Digital Officer; COO; Chief Innovation Officer</t>
  </si>
  <si>
    <t xml:space="preserve">Aprio Firm Foundation; acquired Delap; Mize; Hoffman Stewart 2025-26</t>
  </si>
  <si>
    <t xml:space="preserve">2025 revenue $615.9M per AT</t>
  </si>
  <si>
    <t xml:space="preserve">https://www.accountingtoday.com/list/the-2026-fastest-growing-accounting-firms</t>
  </si>
  <si>
    <t xml:space="preserve">Armanino</t>
  </si>
  <si>
    <t xml:space="preserve">San Ramon</t>
  </si>
  <si>
    <t xml:space="preserve">CA</t>
  </si>
  <si>
    <t xml:space="preserve">armanino.com</t>
  </si>
  <si>
    <t xml:space="preserve">Further Global Capital Management</t>
  </si>
  <si>
    <t xml:space="preserve">Matt Armanino</t>
  </si>
  <si>
    <t xml:space="preserve">Armanino AI/Audit Ally; acquired Step Up Consulting 2026</t>
  </si>
  <si>
    <t xml:space="preserve">IPA 500 #19</t>
  </si>
  <si>
    <t xml:space="preserve">https://irp.cdn-website.com/e0cfb45a/files/uploaded/IPA+500+Rankings.pdf</t>
  </si>
  <si>
    <t xml:space="preserve">Ascend</t>
  </si>
  <si>
    <t xml:space="preserve">PE-backed regional firm platform</t>
  </si>
  <si>
    <t xml:space="preserve">Arlington</t>
  </si>
  <si>
    <t xml:space="preserve">VA</t>
  </si>
  <si>
    <t xml:space="preserve">ascendtogether.com</t>
  </si>
  <si>
    <t xml:space="preserve">Alpine Investors</t>
  </si>
  <si>
    <t xml:space="preserve">David Wurtzbacher</t>
  </si>
  <si>
    <t xml:space="preserve">Roll-up of $10-50M firms; centralized tech/AI stack</t>
  </si>
  <si>
    <t xml:space="preserve">2025 revenue $590.5M; 88% growth</t>
  </si>
  <si>
    <t xml:space="preserve">Carr Riggs &amp; Ingram</t>
  </si>
  <si>
    <t xml:space="preserve">PE-backed regional platform</t>
  </si>
  <si>
    <t xml:space="preserve">Enterprise</t>
  </si>
  <si>
    <t xml:space="preserve">AL</t>
  </si>
  <si>
    <t xml:space="preserve">criadv.com</t>
  </si>
  <si>
    <t xml:space="preserve">Centerbridge Partners; Bessemer Venture Partners</t>
  </si>
  <si>
    <t xml:space="preserve">Bill Carr</t>
  </si>
  <si>
    <t xml:space="preserve">PE deal Nov 2024; acquiring firms (DK Partners)</t>
  </si>
  <si>
    <t xml:space="preserve">IPA 500 #23</t>
  </si>
  <si>
    <t xml:space="preserve">Cherry Bekaert</t>
  </si>
  <si>
    <t xml:space="preserve">Raleigh</t>
  </si>
  <si>
    <t xml:space="preserve">NC</t>
  </si>
  <si>
    <t xml:space="preserve">cbh.com</t>
  </si>
  <si>
    <t xml:space="preserve">Parthenon Capital</t>
  </si>
  <si>
    <t xml:space="preserve">Michelle Thompson</t>
  </si>
  <si>
    <t xml:space="preserve">Digital advisory; acquired Herbein and Tarsus 2025-26</t>
  </si>
  <si>
    <t xml:space="preserve">IPA 500 #20</t>
  </si>
  <si>
    <t xml:space="preserve">Citrin Cooperman</t>
  </si>
  <si>
    <t xml:space="preserve">New York</t>
  </si>
  <si>
    <t xml:space="preserve">NY</t>
  </si>
  <si>
    <t xml:space="preserve">citrincooperman.com</t>
  </si>
  <si>
    <t xml:space="preserve">Blackstone</t>
  </si>
  <si>
    <t xml:space="preserve">Alan Badey</t>
  </si>
  <si>
    <t xml:space="preserve">Blackstone acquired from New Mountain 2025 at ~$2B; active M&amp;A (ORBA; Gatto Pope)</t>
  </si>
  <si>
    <t xml:space="preserve">2025 revenue $985M per AT</t>
  </si>
  <si>
    <t xml:space="preserve">https://www.accountingtoday.com/list/inside-the-2026-top-100-now-leaving-the-station</t>
  </si>
  <si>
    <t xml:space="preserve">Eide Bailly</t>
  </si>
  <si>
    <t xml:space="preserve">Fargo</t>
  </si>
  <si>
    <t xml:space="preserve">ND</t>
  </si>
  <si>
    <t xml:space="preserve">eidebailly.com</t>
  </si>
  <si>
    <t xml:space="preserve">Reverence Capital Partners</t>
  </si>
  <si>
    <t xml:space="preserve">Jeremy Hauk</t>
  </si>
  <si>
    <t xml:space="preserve">Reverence deal ~$1.8B (2026); plans to double revenue</t>
  </si>
  <si>
    <t xml:space="preserve">Revenue $840M per CFO Brew 2026</t>
  </si>
  <si>
    <t xml:space="preserve">https://www.cfobrew.com/stories/10-of-the-top-20-cpa-firms-are-backed-by-private-equity</t>
  </si>
  <si>
    <t xml:space="preserve">PKF O'Connor Davies</t>
  </si>
  <si>
    <t xml:space="preserve">pkfod.com</t>
  </si>
  <si>
    <t xml:space="preserve">Investcorp; Public Sector Pension Investment Board</t>
  </si>
  <si>
    <t xml:space="preserve">Kevin Keane</t>
  </si>
  <si>
    <t xml:space="preserve">PE deal 2024; 30% growth</t>
  </si>
  <si>
    <t xml:space="preserve">2025 revenue $535M per AT</t>
  </si>
  <si>
    <t xml:space="preserve">Wipfli</t>
  </si>
  <si>
    <t xml:space="preserve">Milwaukee</t>
  </si>
  <si>
    <t xml:space="preserve">WI</t>
  </si>
  <si>
    <t xml:space="preserve">wipfli.com</t>
  </si>
  <si>
    <t xml:space="preserve">New Mountain Capital</t>
  </si>
  <si>
    <t xml:space="preserve">Kurt Gresens</t>
  </si>
  <si>
    <t xml:space="preserve">New Mountain investment Aug 2025 to fund tech/innovation</t>
  </si>
  <si>
    <t xml:space="preserve">IPA 500 #21</t>
  </si>
  <si>
    <t xml:space="preserve">https://www.wipfli.com/news/2025/wipfli-secures-strategic-investment</t>
  </si>
  <si>
    <t xml:space="preserve">Crete Professionals Alliance (Current)</t>
  </si>
  <si>
    <t xml:space="preserve">PE/VC-backed firm platform</t>
  </si>
  <si>
    <t xml:space="preserve">Tampa</t>
  </si>
  <si>
    <t xml:space="preserve">FL</t>
  </si>
  <si>
    <t xml:space="preserve">cretepa.com</t>
  </si>
  <si>
    <t xml:space="preserve">250-500M</t>
  </si>
  <si>
    <t xml:space="preserve">Thrive Holdings; Bessemer Venture Partners</t>
  </si>
  <si>
    <t xml:space="preserve">Rebranded Current; OpenAI partnership; AI-native roll-up</t>
  </si>
  <si>
    <t xml:space="preserve">2025 revenue $428M</t>
  </si>
  <si>
    <t xml:space="preserve">Sikich</t>
  </si>
  <si>
    <t xml:space="preserve">Chicago</t>
  </si>
  <si>
    <t xml:space="preserve">IL</t>
  </si>
  <si>
    <t xml:space="preserve">sikich.com</t>
  </si>
  <si>
    <t xml:space="preserve">Bain Capital</t>
  </si>
  <si>
    <t xml:space="preserve">Chris Geier</t>
  </si>
  <si>
    <t xml:space="preserve">Large tech/ERP practice (NetSuite; Microsoft); Bain-funded M&amp;A</t>
  </si>
  <si>
    <t xml:space="preserve">IPA 500 #25</t>
  </si>
  <si>
    <t xml:space="preserve">UHY</t>
  </si>
  <si>
    <t xml:space="preserve">Farmington Hills</t>
  </si>
  <si>
    <t xml:space="preserve">MI</t>
  </si>
  <si>
    <t xml:space="preserve">uhy-us.com</t>
  </si>
  <si>
    <t xml:space="preserve">Summit Partners</t>
  </si>
  <si>
    <t xml:space="preserve">Steve McCarty</t>
  </si>
  <si>
    <t xml:space="preserve">Summit growth investment Dec 2024</t>
  </si>
  <si>
    <t xml:space="preserve">IPA 500 #27</t>
  </si>
  <si>
    <t xml:space="preserve">https://uhy-us.com/newsroom/2024/december/uhy-secures-strategic-growth-investment-from-summit-partners</t>
  </si>
  <si>
    <t xml:space="preserve">Cohen &amp; Co</t>
  </si>
  <si>
    <t xml:space="preserve">Cleveland</t>
  </si>
  <si>
    <t xml:space="preserve">OH</t>
  </si>
  <si>
    <t xml:space="preserve">cohenco.com</t>
  </si>
  <si>
    <t xml:space="preserve">100-250M</t>
  </si>
  <si>
    <t xml:space="preserve">Lovell Minnick Partners</t>
  </si>
  <si>
    <t xml:space="preserve">Chris Bellamy</t>
  </si>
  <si>
    <t xml:space="preserve">Managing Partner; COO; CIO; Director of Innovation</t>
  </si>
  <si>
    <t xml:space="preserve">LMP investment Oct 2024; investment-industry focus</t>
  </si>
  <si>
    <t xml:space="preserve">IPA 500 #42</t>
  </si>
  <si>
    <t xml:space="preserve">https://insidepublicaccounting.com/2024/10/25/cohen-company-announces-investment-by-lovell-minnick-partners/</t>
  </si>
  <si>
    <t xml:space="preserve">Doeren Mayhew</t>
  </si>
  <si>
    <t xml:space="preserve">Troy</t>
  </si>
  <si>
    <t xml:space="preserve">doeren.com</t>
  </si>
  <si>
    <t xml:space="preserve">Audax Private Equity</t>
  </si>
  <si>
    <t xml:space="preserve">Chad Anschuetz</t>
  </si>
  <si>
    <t xml:space="preserve">Audax deal Aug 2024; 41% growth via tuck-ins</t>
  </si>
  <si>
    <t xml:space="preserve">2025 revenue $240.1M</t>
  </si>
  <si>
    <t xml:space="preserve">Elliott Davis</t>
  </si>
  <si>
    <t xml:space="preserve">Greenville</t>
  </si>
  <si>
    <t xml:space="preserve">SC</t>
  </si>
  <si>
    <t xml:space="preserve">elliottdavis.com</t>
  </si>
  <si>
    <t xml:space="preserve">Flexpoint Ford</t>
  </si>
  <si>
    <t xml:space="preserve">Flexpoint growth investment Jun 2025</t>
  </si>
  <si>
    <t xml:space="preserve">IPA 500 #39</t>
  </si>
  <si>
    <t xml:space="preserve">https://insidepublicaccounting.com/2025/06/11/elliott-davis-announces-strategic-growth-investment-from-flexpoint-ford/</t>
  </si>
  <si>
    <t xml:space="preserve">Frazier &amp; Deeter</t>
  </si>
  <si>
    <t xml:space="preserve">frazierdeeter.com</t>
  </si>
  <si>
    <t xml:space="preserve">General Atlantic</t>
  </si>
  <si>
    <t xml:space="preserve">Seth McDaniel</t>
  </si>
  <si>
    <t xml:space="preserve">General Atlantic investment Apr 2025; acquisitions RS&amp;F; Pesta Finnie</t>
  </si>
  <si>
    <t xml:space="preserve">IPA 500 #41</t>
  </si>
  <si>
    <t xml:space="preserve">https://www.generalatlantic.com/media-article/frazier-deeter-announces-strategic-growth-investment-from-general-atlantic/</t>
  </si>
  <si>
    <t xml:space="preserve">Platform Accounting Group</t>
  </si>
  <si>
    <t xml:space="preserve">PE-backed firm platform</t>
  </si>
  <si>
    <t xml:space="preserve">Holladay</t>
  </si>
  <si>
    <t xml:space="preserve">UT</t>
  </si>
  <si>
    <t xml:space="preserve">platformag.com</t>
  </si>
  <si>
    <t xml:space="preserve">The Cynosure Group</t>
  </si>
  <si>
    <t xml:space="preserve">Reyes Florez</t>
  </si>
  <si>
    <t xml:space="preserve">$85M raise; acquisition roll-up</t>
  </si>
  <si>
    <t xml:space="preserve">2025 revenue $215.7M</t>
  </si>
  <si>
    <t xml:space="preserve">Richey May</t>
  </si>
  <si>
    <t xml:space="preserve">PE-backed specialty platform</t>
  </si>
  <si>
    <t xml:space="preserve">Englewood</t>
  </si>
  <si>
    <t xml:space="preserve">CO</t>
  </si>
  <si>
    <t xml:space="preserve">richeymay.com</t>
  </si>
  <si>
    <t xml:space="preserve">F3 Partners</t>
  </si>
  <si>
    <t xml:space="preserve">200% growth 2025; mortgage/fintech focus</t>
  </si>
  <si>
    <t xml:space="preserve">2025 revenue $174.5M</t>
  </si>
  <si>
    <t xml:space="preserve">Sax Advisory Group</t>
  </si>
  <si>
    <t xml:space="preserve">Parsippany</t>
  </si>
  <si>
    <t xml:space="preserve">NJ</t>
  </si>
  <si>
    <t xml:space="preserve">saxllp.com</t>
  </si>
  <si>
    <t xml:space="preserve">DFW Capital Partners; Cobepa</t>
  </si>
  <si>
    <t xml:space="preserve">Joseph Damiano</t>
  </si>
  <si>
    <t xml:space="preserve">Serial acquirer (SSL/Sierra; SCL Consulting; Owen J Flanagan)</t>
  </si>
  <si>
    <t xml:space="preserve">2025 revenue $138M</t>
  </si>
  <si>
    <t xml:space="preserve">Schellman</t>
  </si>
  <si>
    <t xml:space="preserve">PE-backed compliance/attestation firm</t>
  </si>
  <si>
    <t xml:space="preserve">schellman.com</t>
  </si>
  <si>
    <t xml:space="preserve">Goldman Sachs Alternatives; Lightyear Capital</t>
  </si>
  <si>
    <t xml:space="preserve">Avani Desai</t>
  </si>
  <si>
    <t xml:space="preserve">SOC/ISO/AI assurance (ISO 42001); GS investment Mar 2026</t>
  </si>
  <si>
    <t xml:space="preserve">IPA 500 #45</t>
  </si>
  <si>
    <t xml:space="preserve">https://www.schellman.com/blog/schellman-announces-strategic-partnership-with-goldman-sachs-alternatives</t>
  </si>
  <si>
    <t xml:space="preserve">Smith + Howard</t>
  </si>
  <si>
    <t xml:space="preserve">smith-howard.com</t>
  </si>
  <si>
    <t xml:space="preserve">Broad Sky Partners</t>
  </si>
  <si>
    <t xml:space="preserve">68% growth; acquired Horton Lee Burnett; Bauknight Pietras</t>
  </si>
  <si>
    <t xml:space="preserve">2025 revenue $124.4M</t>
  </si>
  <si>
    <t xml:space="preserve">Sorren</t>
  </si>
  <si>
    <t xml:space="preserve">Meridian</t>
  </si>
  <si>
    <t xml:space="preserve">ID</t>
  </si>
  <si>
    <t xml:space="preserve">sorren.com</t>
  </si>
  <si>
    <t xml:space="preserve">DFW Capital Partners</t>
  </si>
  <si>
    <t xml:space="preserve">Formed 2024 from Harris &amp; Co plus others; new to AT Top 100 2026</t>
  </si>
  <si>
    <t xml:space="preserve">IPA 500 #61</t>
  </si>
  <si>
    <t xml:space="preserve">Springline Advisory</t>
  </si>
  <si>
    <t xml:space="preserve">Dallas</t>
  </si>
  <si>
    <t xml:space="preserve">TX</t>
  </si>
  <si>
    <t xml:space="preserve">springlineadvisory.com</t>
  </si>
  <si>
    <t xml:space="preserve">Trinity Hunt Partners</t>
  </si>
  <si>
    <t xml:space="preserve">Tim Brackney</t>
  </si>
  <si>
    <t xml:space="preserve">84% growth; acquired Smart Accountants 2025</t>
  </si>
  <si>
    <t xml:space="preserve">2025 revenue $164.7M</t>
  </si>
  <si>
    <t xml:space="preserve">Archer Lewis</t>
  </si>
  <si>
    <t xml:space="preserve">archerlewis.com</t>
  </si>
  <si>
    <t xml:space="preserve">50-100M</t>
  </si>
  <si>
    <t xml:space="preserve">StoicLane</t>
  </si>
  <si>
    <t xml:space="preserve">73% growth; Rightworks cloud for M&amp;A integration</t>
  </si>
  <si>
    <t xml:space="preserve">2025 revenue $97M; HQ listed Miami in IPA</t>
  </si>
  <si>
    <t xml:space="preserve">Consero Global</t>
  </si>
  <si>
    <t xml:space="preserve">outsourced finance &amp; accounting (CAS)</t>
  </si>
  <si>
    <t xml:space="preserve">Austin</t>
  </si>
  <si>
    <t xml:space="preserve">conseroglobal.com</t>
  </si>
  <si>
    <t xml:space="preserve">BV Investment Partners</t>
  </si>
  <si>
    <t xml:space="preserve">Scott Tynes</t>
  </si>
  <si>
    <t xml:space="preserve">SIMPL platform; $50M investment</t>
  </si>
  <si>
    <t xml:space="preserve">Revenue band estimate</t>
  </si>
  <si>
    <t xml:space="preserve">https://www.accountingtoday.com/news/consero-global-gets-50m-investment</t>
  </si>
  <si>
    <t xml:space="preserve">LMC Advisors</t>
  </si>
  <si>
    <t xml:space="preserve">PE-connected regional firm</t>
  </si>
  <si>
    <t xml:space="preserve">lmcas.com</t>
  </si>
  <si>
    <t xml:space="preserve">Managing Partner; COO; Director of IT</t>
  </si>
  <si>
    <t xml:space="preserve">41% growth 2025</t>
  </si>
  <si>
    <t xml:space="preserve">2025 revenue $55M; AT notes PE connection (sponsor not confirmed)</t>
  </si>
  <si>
    <t xml:space="preserve">Lucas Horsfall</t>
  </si>
  <si>
    <t xml:space="preserve">Pasadena</t>
  </si>
  <si>
    <t xml:space="preserve">lhmc.com</t>
  </si>
  <si>
    <t xml:space="preserve">64% growth 2025</t>
  </si>
  <si>
    <t xml:space="preserve">2025 revenue $56M; AT notes PE connection (sponsor not confirmed)</t>
  </si>
  <si>
    <t xml:space="preserve">Nichols Cauley</t>
  </si>
  <si>
    <t xml:space="preserve">Peachtree Corners</t>
  </si>
  <si>
    <t xml:space="preserve">nicholscauley.com</t>
  </si>
  <si>
    <t xml:space="preserve">Madison Dearborn Partners</t>
  </si>
  <si>
    <t xml:space="preserve">Alan Whitman platform; combined with Partners Risk Services and JGH Jan 2026</t>
  </si>
  <si>
    <t xml:space="preserve">2025 revenue $75.6M</t>
  </si>
  <si>
    <t xml:space="preserve">Prosperity Partners</t>
  </si>
  <si>
    <t xml:space="preserve">prosperitypartners.com</t>
  </si>
  <si>
    <t xml:space="preserve">Unity Partners</t>
  </si>
  <si>
    <t xml:space="preserve">104% growth; new to AT Top 100 2026</t>
  </si>
  <si>
    <t xml:space="preserve">2025 revenue $73.1M</t>
  </si>
  <si>
    <t xml:space="preserve">Achieve</t>
  </si>
  <si>
    <t xml:space="preserve">debt resolution and personal lender</t>
  </si>
  <si>
    <t xml:space="preserve">Tempe</t>
  </si>
  <si>
    <t xml:space="preserve">AZ</t>
  </si>
  <si>
    <t xml:space="preserve">achieve.com</t>
  </si>
  <si>
    <t xml:space="preserve">Stone Point Capital; Vulcan Capital</t>
  </si>
  <si>
    <t xml:space="preserve">Andrew Housser</t>
  </si>
  <si>
    <t xml:space="preserve">CIO; COO; Chief Technology Officer; Chief AI Officer</t>
  </si>
  <si>
    <t xml:space="preserve">Publicly emphasizes AI in member servicing and underwriting; hiring data science roles</t>
  </si>
  <si>
    <t xml:space="preserve">Formerly Freedom Financial Network</t>
  </si>
  <si>
    <t xml:space="preserve">https://www.achieve.com/about</t>
  </si>
  <si>
    <t xml:space="preserve">Cross River Bank</t>
  </si>
  <si>
    <t xml:space="preserve">fintech sponsor bank</t>
  </si>
  <si>
    <t xml:space="preserve">Fort Lee</t>
  </si>
  <si>
    <t xml:space="preserve">crossriver.com</t>
  </si>
  <si>
    <t xml:space="preserve">Andreessen Horowitz; Eldridge; T. Rowe Price</t>
  </si>
  <si>
    <t xml:space="preserve">Gilles Gade</t>
  </si>
  <si>
    <t xml:space="preserve">CIO; COO; Chief Technology Officer; Head of Product</t>
  </si>
  <si>
    <t xml:space="preserve">Publishes AI and marketplace lending research; API-first embedded finance platform</t>
  </si>
  <si>
    <t xml:space="preserve">~$9B assets; partners with Affirm Upstart and others</t>
  </si>
  <si>
    <t xml:space="preserve">https://www.crossriver.com/insights/q4-2025-review-consumer-lending</t>
  </si>
  <si>
    <t xml:space="preserve">Best Egg (Marlette Holdings)</t>
  </si>
  <si>
    <t xml:space="preserve">digital consumer lender</t>
  </si>
  <si>
    <t xml:space="preserve">Wilmington</t>
  </si>
  <si>
    <t xml:space="preserve">DE</t>
  </si>
  <si>
    <t xml:space="preserve">bestegg.com</t>
  </si>
  <si>
    <t xml:space="preserve">Invus; Coller Capital</t>
  </si>
  <si>
    <t xml:space="preserve">Paul Ricci</t>
  </si>
  <si>
    <t xml:space="preserve">CIO; COO; Chief Technology Officer; Chief Data Officer</t>
  </si>
  <si>
    <t xml:space="preserve">ML underwriting; financial health platform</t>
  </si>
  <si>
    <t xml:space="preserve">$30B+ originations since 2014</t>
  </si>
  <si>
    <t xml:space="preserve">https://www.bestegg.com/about</t>
  </si>
  <si>
    <t xml:space="preserve">Carson Group</t>
  </si>
  <si>
    <t xml:space="preserve">RIA and advisor platform</t>
  </si>
  <si>
    <t xml:space="preserve">Omaha</t>
  </si>
  <si>
    <t xml:space="preserve">NE</t>
  </si>
  <si>
    <t xml:space="preserve">carsongroup.com</t>
  </si>
  <si>
    <t xml:space="preserve">Burt White</t>
  </si>
  <si>
    <t xml:space="preserve">CIO; COO; Chief Technology Officer; Chief Digital Officer</t>
  </si>
  <si>
    <t xml:space="preserve">Carson Technology platform; announced AI tools for advisors</t>
  </si>
  <si>
    <t xml:space="preserve">~$40B AUM; Bain took majority stake 2021</t>
  </si>
  <si>
    <t xml:space="preserve">https://www.riachannel.com/category/top-100-ria-firms/</t>
  </si>
  <si>
    <t xml:space="preserve">Kiavi</t>
  </si>
  <si>
    <t xml:space="preserve">private real estate lender</t>
  </si>
  <si>
    <t xml:space="preserve">Pittsburgh</t>
  </si>
  <si>
    <t xml:space="preserve">PA</t>
  </si>
  <si>
    <t xml:space="preserve">kiavi.com</t>
  </si>
  <si>
    <t xml:space="preserve">Sixth Street; Ribbit Capital; Zillow</t>
  </si>
  <si>
    <t xml:space="preserve">Arvind Mohan</t>
  </si>
  <si>
    <t xml:space="preserve">Data-driven underwriting platform for fix-and-flip; AI-native origin</t>
  </si>
  <si>
    <t xml:space="preserve">#1 Scotsman Guide private lender 2026</t>
  </si>
  <si>
    <t xml:space="preserve">https://www.scotsmanguide.com/rankings/top-private-lenders/</t>
  </si>
  <si>
    <t xml:space="preserve">Analysis Group</t>
  </si>
  <si>
    <t xml:space="preserve">economic &amp; litigation consulting</t>
  </si>
  <si>
    <t xml:space="preserve">Boston</t>
  </si>
  <si>
    <t xml:space="preserve">MA</t>
  </si>
  <si>
    <t xml:space="preserve">analysisgroup.com</t>
  </si>
  <si>
    <t xml:space="preserve">Private</t>
  </si>
  <si>
    <t xml:space="preserve">Martha Samuelson</t>
  </si>
  <si>
    <t xml:space="preserve">CIO; COO; Managing Principal Data Science</t>
  </si>
  <si>
    <t xml:space="preserve">Data science and AI practice</t>
  </si>
  <si>
    <t xml:space="preserve">Partnership</t>
  </si>
  <si>
    <t xml:space="preserve">https://www.analysisgroup.com/</t>
  </si>
  <si>
    <t xml:space="preserve">Ankura</t>
  </si>
  <si>
    <t xml:space="preserve">expert &amp; risk advisory</t>
  </si>
  <si>
    <t xml:space="preserve">Washington</t>
  </si>
  <si>
    <t xml:space="preserve">DC</t>
  </si>
  <si>
    <t xml:space="preserve">ankura.com</t>
  </si>
  <si>
    <t xml:space="preserve">Kevin Lavin</t>
  </si>
  <si>
    <t xml:space="preserve">CIO; Chief Data Officer; Senior Managing Director Data &amp; Technology</t>
  </si>
  <si>
    <t xml:space="preserve">Ankura Data &amp; Technology and AI advisory group</t>
  </si>
  <si>
    <t xml:space="preserve">Bought Navigant disputes and forensics units 2018</t>
  </si>
  <si>
    <t xml:space="preserve">https://www.consulting.us/news/469/ankura-acquires-two-business-units-from-navigant-for-470-million</t>
  </si>
  <si>
    <t xml:space="preserve">Berkeley Research Group</t>
  </si>
  <si>
    <t xml:space="preserve">expert &amp; economic consulting</t>
  </si>
  <si>
    <t xml:space="preserve">Emeryville</t>
  </si>
  <si>
    <t xml:space="preserve">thinkbrg.com</t>
  </si>
  <si>
    <t xml:space="preserve">David Teece</t>
  </si>
  <si>
    <t xml:space="preserve">CIO; COO; Managing Director Technology</t>
  </si>
  <si>
    <t xml:space="preserve">Forbes Best Management Consulting 2025; data analytics practice</t>
  </si>
  <si>
    <t xml:space="preserve">Founder-led; Teece is chairman &amp; CEO</t>
  </si>
  <si>
    <t xml:space="preserve">https://www.thinkbrg.com/news/forbes-americas-best-management-consulting-firms-2025/</t>
  </si>
  <si>
    <t xml:space="preserve">Charles River Associates</t>
  </si>
  <si>
    <t xml:space="preserve">crai.com</t>
  </si>
  <si>
    <t xml:space="preserve">Public</t>
  </si>
  <si>
    <t xml:space="preserve">Paul Maleh</t>
  </si>
  <si>
    <t xml:space="preserve">CIO; COO; Practice Leaders</t>
  </si>
  <si>
    <t xml:space="preserve">Forensic analytics and AI-assisted document review</t>
  </si>
  <si>
    <t xml:space="preserve">NASDAQ: CRAI; 2024 revenue ~$687M</t>
  </si>
  <si>
    <t xml:space="preserve">https://www.crai.com/</t>
  </si>
  <si>
    <t xml:space="preserve">Credera</t>
  </si>
  <si>
    <t xml:space="preserve">technology &amp; management consulting</t>
  </si>
  <si>
    <t xml:space="preserve">credera.com</t>
  </si>
  <si>
    <t xml:space="preserve">Subsidiary</t>
  </si>
  <si>
    <t xml:space="preserve">Justin Bell</t>
  </si>
  <si>
    <t xml:space="preserve">CEO; CTO; Global Data &amp; AI Lead</t>
  </si>
  <si>
    <t xml:space="preserve">Credera AI practice; Omnicom Precision Marketing Group</t>
  </si>
  <si>
    <t xml:space="preserve">Omnicom subsidiary</t>
  </si>
  <si>
    <t xml:space="preserve">https://tracxn.com/d/companies/credera/__qypzi-B7AxkJfjoROGFV7HUHdmEMMpwF9TLPbVmSiZg</t>
  </si>
  <si>
    <t xml:space="preserve">Exponent</t>
  </si>
  <si>
    <t xml:space="preserve">engineering &amp; scientific consulting</t>
  </si>
  <si>
    <t xml:space="preserve">Menlo Park</t>
  </si>
  <si>
    <t xml:space="preserve">exponent.com</t>
  </si>
  <si>
    <t xml:space="preserve">Catherine Corrigan</t>
  </si>
  <si>
    <t xml:space="preserve">CIO; COO; Practice Directors</t>
  </si>
  <si>
    <t xml:space="preserve">Data sciences practice</t>
  </si>
  <si>
    <t xml:space="preserve">NASDAQ: EXPO; 2024 revenue ~$519M</t>
  </si>
  <si>
    <t xml:space="preserve">https://www.exponent.com/</t>
  </si>
  <si>
    <t xml:space="preserve">L.E.K. Consulting</t>
  </si>
  <si>
    <t xml:space="preserve">strategy consulting</t>
  </si>
  <si>
    <t xml:space="preserve">lek.com</t>
  </si>
  <si>
    <t xml:space="preserve">Stuart Jackson</t>
  </si>
  <si>
    <t xml:space="preserve">Global Managing Partner; CIO; Head of Digital</t>
  </si>
  <si>
    <t xml:space="preserve">L.E.K. Digital and AI advisory</t>
  </si>
  <si>
    <t xml:space="preserve">Partnership; co-HQ London</t>
  </si>
  <si>
    <t xml:space="preserve">https://en.wikipedia.org/wiki/L.E.K._Consulting</t>
  </si>
  <si>
    <t xml:space="preserve">Nordic Consulting</t>
  </si>
  <si>
    <t xml:space="preserve">healthcare IT consulting</t>
  </si>
  <si>
    <t xml:space="preserve">Madison</t>
  </si>
  <si>
    <t xml:space="preserve">nordicglobal.com</t>
  </si>
  <si>
    <t xml:space="preserve">Don Hodgson</t>
  </si>
  <si>
    <t xml:space="preserve">CIO; COO; Chief Digital Officer</t>
  </si>
  <si>
    <t xml:space="preserve">AI in healthcare IT; Top Consulting Firms 2025</t>
  </si>
  <si>
    <t xml:space="preserve">3300+ employees</t>
  </si>
  <si>
    <t xml:space="preserve">https://www.theconsultingreport.com/the-top-consulting-firms-of-2025/</t>
  </si>
  <si>
    <t xml:space="preserve">Resources Connection (RGP)</t>
  </si>
  <si>
    <t xml:space="preserve">project &amp; finance consulting</t>
  </si>
  <si>
    <t xml:space="preserve">Irvine</t>
  </si>
  <si>
    <t xml:space="preserve">rgp.com</t>
  </si>
  <si>
    <t xml:space="preserve">Kate Duchene</t>
  </si>
  <si>
    <t xml:space="preserve">Veracity digital consulting unit</t>
  </si>
  <si>
    <t xml:space="preserve">NASDAQ: RGP; FY2025 revenue ~$552M</t>
  </si>
  <si>
    <t xml:space="preserve">https://www.rgp.com/</t>
  </si>
  <si>
    <t xml:space="preserve">Tegria</t>
  </si>
  <si>
    <t xml:space="preserve">Vancouver</t>
  </si>
  <si>
    <t xml:space="preserve">WA</t>
  </si>
  <si>
    <t xml:space="preserve">tegria.com</t>
  </si>
  <si>
    <t xml:space="preserve">Rich Fellman</t>
  </si>
  <si>
    <t xml:space="preserve">Healthcare AI and automation services</t>
  </si>
  <si>
    <t xml:space="preserve">Providence subsidiary</t>
  </si>
  <si>
    <t xml:space="preserve">https://www.tegria.com/</t>
  </si>
  <si>
    <t xml:space="preserve">Accordion</t>
  </si>
  <si>
    <t xml:space="preserve">PE-focused finance consulting</t>
  </si>
  <si>
    <t xml:space="preserve">accordion.com</t>
  </si>
  <si>
    <t xml:space="preserve">Charlesbank; FFL Partners</t>
  </si>
  <si>
    <t xml:space="preserve">Nick Leopard</t>
  </si>
  <si>
    <t xml:space="preserve">CEO; COO; Head of Data &amp; Analytics</t>
  </si>
  <si>
    <t xml:space="preserve">Accordion data &amp; analytics and AI offering for portfolio companies</t>
  </si>
  <si>
    <t xml:space="preserve">Charlesbank and FFL investment 2022</t>
  </si>
  <si>
    <t xml:space="preserve">https://www.accordion.com/</t>
  </si>
  <si>
    <t xml:space="preserve">Argano</t>
  </si>
  <si>
    <t xml:space="preserve">digital &amp; ERP consulting</t>
  </si>
  <si>
    <t xml:space="preserve">Plano</t>
  </si>
  <si>
    <t xml:space="preserve">argano.com</t>
  </si>
  <si>
    <t xml:space="preserve">Chip Register</t>
  </si>
  <si>
    <t xml:space="preserve">CEO; CTO; Chief Growth Officer</t>
  </si>
  <si>
    <t xml:space="preserve">Argano AI and automation practice</t>
  </si>
  <si>
    <t xml:space="preserve">Rollup of ERP consultancies</t>
  </si>
  <si>
    <t xml:space="preserve">https://www.privsource.com/acquisitions/private-equity-backed-acquisitions/consulting</t>
  </si>
  <si>
    <t xml:space="preserve">Blend360</t>
  </si>
  <si>
    <t xml:space="preserve">data science &amp; AI consulting</t>
  </si>
  <si>
    <t xml:space="preserve">Columbia</t>
  </si>
  <si>
    <t xml:space="preserve">MD</t>
  </si>
  <si>
    <t xml:space="preserve">blend360.com</t>
  </si>
  <si>
    <t xml:space="preserve">Kelso &amp; Company</t>
  </si>
  <si>
    <t xml:space="preserve">Bradley Schneider</t>
  </si>
  <si>
    <t xml:space="preserve">AI-first data science services</t>
  </si>
  <si>
    <t xml:space="preserve">Kelso investment</t>
  </si>
  <si>
    <t xml:space="preserve">https://www.blend360.com/</t>
  </si>
  <si>
    <t xml:space="preserve">CFGI</t>
  </si>
  <si>
    <t xml:space="preserve">accounting &amp; finance advisory</t>
  </si>
  <si>
    <t xml:space="preserve">cfgi.com</t>
  </si>
  <si>
    <t xml:space="preserve">CVC Capital Partners; Carlyle</t>
  </si>
  <si>
    <t xml:space="preserve">Nick Nardone</t>
  </si>
  <si>
    <t xml:space="preserve">CEO; COO; Head of Technology Solutions</t>
  </si>
  <si>
    <t xml:space="preserve">Finance transformation and automation practice</t>
  </si>
  <si>
    <t xml:space="preserve">Carlyle 2018 and CVC 2021 investments</t>
  </si>
  <si>
    <t xml:space="preserve">https://cfgi.com/</t>
  </si>
  <si>
    <t xml:space="preserve">Cornerstone Research</t>
  </si>
  <si>
    <t xml:space="preserve">cornerstone.com</t>
  </si>
  <si>
    <t xml:space="preserve">Chris Lee</t>
  </si>
  <si>
    <t xml:space="preserve">CIO; COO; Data Science Center Lead</t>
  </si>
  <si>
    <t xml:space="preserve">Data Science Center</t>
  </si>
  <si>
    <t xml:space="preserve">https://www.cornerstone.com/</t>
  </si>
  <si>
    <t xml:space="preserve">Daugherty Business Solutions</t>
  </si>
  <si>
    <t xml:space="preserve">technology consulting</t>
  </si>
  <si>
    <t xml:space="preserve">St. Louis</t>
  </si>
  <si>
    <t xml:space="preserve">MO</t>
  </si>
  <si>
    <t xml:space="preserve">daugherty.com</t>
  </si>
  <si>
    <t xml:space="preserve">Ron Daugherty</t>
  </si>
  <si>
    <t xml:space="preserve">CEO; CTO; Chief Data Officer</t>
  </si>
  <si>
    <t xml:space="preserve">AI &amp; data engineering practice</t>
  </si>
  <si>
    <t xml:space="preserve">Founder-led</t>
  </si>
  <si>
    <t xml:space="preserve">https://www.daugherty.com/</t>
  </si>
  <si>
    <t xml:space="preserve">Forrester Research</t>
  </si>
  <si>
    <t xml:space="preserve">research &amp; advisory</t>
  </si>
  <si>
    <t xml:space="preserve">Cambridge</t>
  </si>
  <si>
    <t xml:space="preserve">forrester.com</t>
  </si>
  <si>
    <t xml:space="preserve">George Colony</t>
  </si>
  <si>
    <t xml:space="preserve">CIO; CTO; Chief Product Officer</t>
  </si>
  <si>
    <t xml:space="preserve">Izola GenAI research tool</t>
  </si>
  <si>
    <t xml:space="preserve">NASDAQ: FORR; 2024 revenue ~$432M</t>
  </si>
  <si>
    <t xml:space="preserve">https://www.forrester.com/</t>
  </si>
  <si>
    <t xml:space="preserve">Fractal Analytics</t>
  </si>
  <si>
    <t xml:space="preserve">AI &amp; analytics consulting</t>
  </si>
  <si>
    <t xml:space="preserve">fractal.ai</t>
  </si>
  <si>
    <t xml:space="preserve">TPG</t>
  </si>
  <si>
    <t xml:space="preserve">Srikanth Velamakanni</t>
  </si>
  <si>
    <t xml:space="preserve">AI-native firm; IPO filed in India</t>
  </si>
  <si>
    <t xml:space="preserve">TPG investment 2022</t>
  </si>
  <si>
    <t xml:space="preserve">https://fractal.ai/</t>
  </si>
  <si>
    <t xml:space="preserve">North Highland</t>
  </si>
  <si>
    <t xml:space="preserve">change &amp; transformation consulting</t>
  </si>
  <si>
    <t xml:space="preserve">northhighland.com</t>
  </si>
  <si>
    <t xml:space="preserve">OMERS Private Equity</t>
  </si>
  <si>
    <t xml:space="preserve">Alex Bombeck</t>
  </si>
  <si>
    <t xml:space="preserve">CEO; COO; Chief Growth Officer; Practice Leads</t>
  </si>
  <si>
    <t xml:space="preserve">Data &amp; AI transformation offering</t>
  </si>
  <si>
    <t xml:space="preserve">OMERS took stake 2023</t>
  </si>
  <si>
    <t xml:space="preserve">https://umbrex.com/resources/profiles-of-the-top-consulting-firms/overview-profile-and-history-of-north-highland-consulting/</t>
  </si>
  <si>
    <t xml:space="preserve">Point B</t>
  </si>
  <si>
    <t xml:space="preserve">management consulting</t>
  </si>
  <si>
    <t xml:space="preserve">Seattle</t>
  </si>
  <si>
    <t xml:space="preserve">pointb.com</t>
  </si>
  <si>
    <t xml:space="preserve">Employee-owned</t>
  </si>
  <si>
    <t xml:space="preserve">David Hanfland</t>
  </si>
  <si>
    <t xml:space="preserve">CEO; COO; Chief Digital Officer; Practice Leaders</t>
  </si>
  <si>
    <t xml:space="preserve">AI and Data practice; internal GenAI tooling</t>
  </si>
  <si>
    <t xml:space="preserve">Revenue ~$300M per Management Consulted</t>
  </si>
  <si>
    <t xml:space="preserve">https://managementconsulted.com/point-b/</t>
  </si>
  <si>
    <t xml:space="preserve">Quantiphi</t>
  </si>
  <si>
    <t xml:space="preserve">AI &amp; data engineering consulting</t>
  </si>
  <si>
    <t xml:space="preserve">Marlborough</t>
  </si>
  <si>
    <t xml:space="preserve">quantiphi.com</t>
  </si>
  <si>
    <t xml:space="preserve">Asif Hasan</t>
  </si>
  <si>
    <t xml:space="preserve">CEO; CTO; Chief Revenue Officer</t>
  </si>
  <si>
    <t xml:space="preserve">Applied AI and GenAI solutions</t>
  </si>
  <si>
    <t xml:space="preserve">Founder-led; multiple investors</t>
  </si>
  <si>
    <t xml:space="preserve">https://quantiphi.com/</t>
  </si>
  <si>
    <t xml:space="preserve">Simon-Kucher</t>
  </si>
  <si>
    <t xml:space="preserve">pricing &amp; growth strategy consulting</t>
  </si>
  <si>
    <t xml:space="preserve">simon-kucher.com</t>
  </si>
  <si>
    <t xml:space="preserve">Andreas von der Gathen; Mark Billige</t>
  </si>
  <si>
    <t xml:space="preserve">CIO; Partner Digital; Head of AI</t>
  </si>
  <si>
    <t xml:space="preserve">Named Top Consulting Firms 2025; Elevate AI pricing tools</t>
  </si>
  <si>
    <t xml:space="preserve">Global HQ Bonn Germany; strong US presence</t>
  </si>
  <si>
    <t xml:space="preserve">The Chartis Group</t>
  </si>
  <si>
    <t xml:space="preserve">healthcare consulting</t>
  </si>
  <si>
    <t xml:space="preserve">chartis.com</t>
  </si>
  <si>
    <t xml:space="preserve">Ken Graboys</t>
  </si>
  <si>
    <t xml:space="preserve">CIO; COO; Head of Digital &amp; AI</t>
  </si>
  <si>
    <t xml:space="preserve">Chartis digital and AI advisory for health systems</t>
  </si>
  <si>
    <t xml:space="preserve">Audax investment</t>
  </si>
  <si>
    <t xml:space="preserve">https://www.chartis.com/</t>
  </si>
  <si>
    <t xml:space="preserve">The Hackett Group</t>
  </si>
  <si>
    <t xml:space="preserve">benchmarking &amp; digital transformation</t>
  </si>
  <si>
    <t xml:space="preserve">Miami</t>
  </si>
  <si>
    <t xml:space="preserve">thehackettgroup.com</t>
  </si>
  <si>
    <t xml:space="preserve">Ted Fernandez</t>
  </si>
  <si>
    <t xml:space="preserve">CEO; COO; GenAI Practice Lead</t>
  </si>
  <si>
    <t xml:space="preserve">Hackett AI XPLR platform; LeewayHertz acquisition</t>
  </si>
  <si>
    <t xml:space="preserve">NASDAQ: HCKT; 2024 revenue ~$308M</t>
  </si>
  <si>
    <t xml:space="preserve">https://www.thehackettgroup.com/</t>
  </si>
  <si>
    <t xml:space="preserve">Tredence</t>
  </si>
  <si>
    <t xml:space="preserve">San Jose</t>
  </si>
  <si>
    <t xml:space="preserve">tredence.com</t>
  </si>
  <si>
    <t xml:space="preserve">Advent International</t>
  </si>
  <si>
    <t xml:space="preserve">Shub Bhowmick</t>
  </si>
  <si>
    <t xml:space="preserve">AI-native analytics services</t>
  </si>
  <si>
    <t xml:space="preserve">Advent investment 2022</t>
  </si>
  <si>
    <t xml:space="preserve">https://www.tredence.com/</t>
  </si>
  <si>
    <t xml:space="preserve">10Pearls</t>
  </si>
  <si>
    <t xml:space="preserve">digital engineering &amp; consulting</t>
  </si>
  <si>
    <t xml:space="preserve">10pearls.com</t>
  </si>
  <si>
    <t xml:space="preserve">Imran Aftab</t>
  </si>
  <si>
    <t xml:space="preserve">AI engineering services; Top Consulting Firms 2025</t>
  </si>
  <si>
    <t xml:space="preserve">AArete</t>
  </si>
  <si>
    <t xml:space="preserve">management &amp; cost consulting</t>
  </si>
  <si>
    <t xml:space="preserve">aarete.com</t>
  </si>
  <si>
    <t xml:space="preserve">John Marchisin</t>
  </si>
  <si>
    <t xml:space="preserve">CEO; COO; Chief Digital Officer</t>
  </si>
  <si>
    <t xml:space="preserve">Data-driven cost reduction and analytics</t>
  </si>
  <si>
    <t xml:space="preserve">Parthenon Capital investment</t>
  </si>
  <si>
    <t xml:space="preserve">E78 Partners</t>
  </si>
  <si>
    <t xml:space="preserve">finance &amp; technology advisory</t>
  </si>
  <si>
    <t xml:space="preserve">e78partners.com</t>
  </si>
  <si>
    <t xml:space="preserve">John Signa</t>
  </si>
  <si>
    <t xml:space="preserve">CEO; COO; Head of Technology Services</t>
  </si>
  <si>
    <t xml:space="preserve">Named in Top Consulting Firms 2025</t>
  </si>
  <si>
    <t xml:space="preserve">PE-backed rollup</t>
  </si>
  <si>
    <t xml:space="preserve">Embark</t>
  </si>
  <si>
    <t xml:space="preserve">embarkwithus.com</t>
  </si>
  <si>
    <t xml:space="preserve">Paul Allen</t>
  </si>
  <si>
    <t xml:space="preserve">CEO; COO; Head of Technology Advisory</t>
  </si>
  <si>
    <t xml:space="preserve">Finance systems and automation practice</t>
  </si>
  <si>
    <t xml:space="preserve">Exiger</t>
  </si>
  <si>
    <t xml:space="preserve">supply chain &amp; risk consulting</t>
  </si>
  <si>
    <t xml:space="preserve">exiger.com</t>
  </si>
  <si>
    <t xml:space="preserve">Carrick Capital Partners; Insight Partners</t>
  </si>
  <si>
    <t xml:space="preserve">Brandon Daniels</t>
  </si>
  <si>
    <t xml:space="preserve">CEO; CTO; COO</t>
  </si>
  <si>
    <t xml:space="preserve">AI-powered supply chain risk platform</t>
  </si>
  <si>
    <t xml:space="preserve">Software plus advisory</t>
  </si>
  <si>
    <t xml:space="preserve">https://www.exiger.com/</t>
  </si>
  <si>
    <t xml:space="preserve">Info-Tech Research Group</t>
  </si>
  <si>
    <t xml:space="preserve">IT research &amp; advisory</t>
  </si>
  <si>
    <t xml:space="preserve">London</t>
  </si>
  <si>
    <t xml:space="preserve">Canada</t>
  </si>
  <si>
    <t xml:space="preserve">infotech.com</t>
  </si>
  <si>
    <t xml:space="preserve">Joel McLean</t>
  </si>
  <si>
    <t xml:space="preserve">CIO; CTO; COO</t>
  </si>
  <si>
    <t xml:space="preserve">AI research and advisory products</t>
  </si>
  <si>
    <t xml:space="preserve">Canada HQ; large US client base</t>
  </si>
  <si>
    <t xml:space="preserve">https://www.infotech.com/</t>
  </si>
  <si>
    <t xml:space="preserve">Information Services Group</t>
  </si>
  <si>
    <t xml:space="preserve">technology research &amp; advisory</t>
  </si>
  <si>
    <t xml:space="preserve">Stamford</t>
  </si>
  <si>
    <t xml:space="preserve">CT</t>
  </si>
  <si>
    <t xml:space="preserve">isg-one.com</t>
  </si>
  <si>
    <t xml:space="preserve">Michael Connors</t>
  </si>
  <si>
    <t xml:space="preserve">CIO; COO; Partner AI Advisory</t>
  </si>
  <si>
    <t xml:space="preserve">ISG Tango platform; AI sourcing advisory</t>
  </si>
  <si>
    <t xml:space="preserve">NASDAQ: III; 2024 revenue ~$248M</t>
  </si>
  <si>
    <t xml:space="preserve">https://www.isg-one.com/</t>
  </si>
  <si>
    <t xml:space="preserve">Kaufman Hall</t>
  </si>
  <si>
    <t xml:space="preserve">healthcare financial consulting</t>
  </si>
  <si>
    <t xml:space="preserve">kaufmanhall.com</t>
  </si>
  <si>
    <t xml:space="preserve">Wes Champion</t>
  </si>
  <si>
    <t xml:space="preserve">CIO; COO; Chief Product Officer</t>
  </si>
  <si>
    <t xml:space="preserve">Axiom analytics software</t>
  </si>
  <si>
    <t xml:space="preserve">MDP investment 2019</t>
  </si>
  <si>
    <t xml:space="preserve">https://www.kaufmanhall.com/</t>
  </si>
  <si>
    <t xml:space="preserve">Riveron</t>
  </si>
  <si>
    <t xml:space="preserve">riveron.com</t>
  </si>
  <si>
    <t xml:space="preserve">Kohlberg &amp; Company</t>
  </si>
  <si>
    <t xml:space="preserve">Julie Howard</t>
  </si>
  <si>
    <t xml:space="preserve">CEO; COO; Head of Technology Enablement</t>
  </si>
  <si>
    <t xml:space="preserve">Digital finance transformation practice</t>
  </si>
  <si>
    <t xml:space="preserve">Kohlberg acquired 2023; H.I.G. retains minority</t>
  </si>
  <si>
    <t xml:space="preserve">https://www.consulting.us/news/9227/kohlberg-company-to-acquire-riveron</t>
  </si>
  <si>
    <t xml:space="preserve">SolomonEdwards</t>
  </si>
  <si>
    <t xml:space="preserve">finance &amp; risk consulting</t>
  </si>
  <si>
    <t xml:space="preserve">Wayne</t>
  </si>
  <si>
    <t xml:space="preserve">solomonedwards.com</t>
  </si>
  <si>
    <t xml:space="preserve">Renovus Capital Partners</t>
  </si>
  <si>
    <t xml:space="preserve">Christopher Grubb</t>
  </si>
  <si>
    <t xml:space="preserve">CEO; COO; Head of Technology</t>
  </si>
  <si>
    <t xml:space="preserve">Finance transformation offering</t>
  </si>
  <si>
    <t xml:space="preserve">Renovus Capital investment</t>
  </si>
  <si>
    <t xml:space="preserve">Spaulding Ridge</t>
  </si>
  <si>
    <t xml:space="preserve">cloud advisory &amp; implementation</t>
  </si>
  <si>
    <t xml:space="preserve">spauldingridge.com</t>
  </si>
  <si>
    <t xml:space="preserve">Jay Laabs</t>
  </si>
  <si>
    <t xml:space="preserve">Anaplan and Salesforce AI implementations</t>
  </si>
  <si>
    <t xml:space="preserve">https://www.spauldingridge.com/</t>
  </si>
  <si>
    <t xml:space="preserve">Trinity Life Sciences</t>
  </si>
  <si>
    <t xml:space="preserve">life sciences strategy consulting</t>
  </si>
  <si>
    <t xml:space="preserve">Waltham</t>
  </si>
  <si>
    <t xml:space="preserve">trinitylifesciences.com</t>
  </si>
  <si>
    <t xml:space="preserve">Leslie Orne</t>
  </si>
  <si>
    <t xml:space="preserve">CEO; CIO; Chief Data Officer</t>
  </si>
  <si>
    <t xml:space="preserve">TGaS and evidence analytics with AI</t>
  </si>
  <si>
    <t xml:space="preserve">Kohlberg investment 2021</t>
  </si>
  <si>
    <t xml:space="preserve">https://www.trinitylifesciences.com/</t>
  </si>
  <si>
    <t xml:space="preserve">CSG Government Solutions</t>
  </si>
  <si>
    <t xml:space="preserve">state government consulting</t>
  </si>
  <si>
    <t xml:space="preserve">csgdelivers.com</t>
  </si>
  <si>
    <t xml:space="preserve">Kevin Gray</t>
  </si>
  <si>
    <t xml:space="preserve">CEO; COO; CIO</t>
  </si>
  <si>
    <t xml:space="preserve">Named Top Consulting Firms 2025</t>
  </si>
  <si>
    <t xml:space="preserve">Clarkston Consulting</t>
  </si>
  <si>
    <t xml:space="preserve">life sciences &amp; consumer products consulting</t>
  </si>
  <si>
    <t xml:space="preserve">Durham</t>
  </si>
  <si>
    <t xml:space="preserve">clarkstonconsulting.com</t>
  </si>
  <si>
    <t xml:space="preserve">Tom Finegan</t>
  </si>
  <si>
    <t xml:space="preserve">Data and analytics practice; Forbes Best Management Consulting 2025</t>
  </si>
  <si>
    <t xml:space="preserve">Founder-led; revenue ~$50M+ per Management Consulted</t>
  </si>
  <si>
    <t xml:space="preserve">https://managementconsulted.com/clarkston-consulting/</t>
  </si>
  <si>
    <t xml:space="preserve">Clearsulting</t>
  </si>
  <si>
    <t xml:space="preserve">finance &amp; risk transformation consulting</t>
  </si>
  <si>
    <t xml:space="preserve">clearsulting.com</t>
  </si>
  <si>
    <t xml:space="preserve">Marc Ursick</t>
  </si>
  <si>
    <t xml:space="preserve">Finance automation and GenAI use cases</t>
  </si>
  <si>
    <t xml:space="preserve">https://www.clearsulting.com/</t>
  </si>
  <si>
    <t xml:space="preserve">Stax</t>
  </si>
  <si>
    <t xml:space="preserve">strategy &amp; PE due diligence consulting</t>
  </si>
  <si>
    <t xml:space="preserve">stax.com</t>
  </si>
  <si>
    <t xml:space="preserve">Paul Edwards</t>
  </si>
  <si>
    <t xml:space="preserve">CEO; COO; Head of Data Analytics</t>
  </si>
  <si>
    <t xml:space="preserve">Data analytics offering for PE diligence</t>
  </si>
  <si>
    <t xml:space="preserve">~300 professionals</t>
  </si>
  <si>
    <t xml:space="preserve">Bounteous</t>
  </si>
  <si>
    <t xml:space="preserve">Digital engineering / experience</t>
  </si>
  <si>
    <t xml:space="preserve">bounteous.com</t>
  </si>
  <si>
    <t xml:space="preserve">Keith Schwartz</t>
  </si>
  <si>
    <t xml:space="preserve">CIO; CMO; Chief Digital Officer; CTO</t>
  </si>
  <si>
    <t xml:space="preserve">Merged with Accolite Digital; AI-driven experience engineering</t>
  </si>
  <si>
    <t xml:space="preserve">Bounteous x Accolite combined entity</t>
  </si>
  <si>
    <t xml:space="preserve">https://www.bounteous.com</t>
  </si>
  <si>
    <t xml:space="preserve">Compucom Systems</t>
  </si>
  <si>
    <t xml:space="preserve">IT outsourcing / MSP</t>
  </si>
  <si>
    <t xml:space="preserve">Fort Mill</t>
  </si>
  <si>
    <t xml:space="preserve">compucom.com</t>
  </si>
  <si>
    <t xml:space="preserve">Variant Equity Advisors</t>
  </si>
  <si>
    <t xml:space="preserve">Mick Slattery</t>
  </si>
  <si>
    <t xml:space="preserve">CEO; COO; CIO; VP Service Delivery</t>
  </si>
  <si>
    <t xml:space="preserve">AI-enabled digital workplace and service desk automation</t>
  </si>
  <si>
    <t xml:space="preserve">Formerly Office Depot subsidiary</t>
  </si>
  <si>
    <t xml:space="preserve">https://www.compucom.com</t>
  </si>
  <si>
    <t xml:space="preserve">Encora</t>
  </si>
  <si>
    <t xml:space="preserve">Digital engineering</t>
  </si>
  <si>
    <t xml:space="preserve">Scottsdale</t>
  </si>
  <si>
    <t xml:space="preserve">encora.com</t>
  </si>
  <si>
    <t xml:space="preserve">Andy Powell</t>
  </si>
  <si>
    <t xml:space="preserve">CIO; CTO; VP Engineering; Chief Product Officer</t>
  </si>
  <si>
    <t xml:space="preserve">Nearshore AI-accelerated software engineering</t>
  </si>
  <si>
    <t xml:space="preserve">Warburg Pincus retains stake</t>
  </si>
  <si>
    <t xml:space="preserve">https://www.encora.com</t>
  </si>
  <si>
    <t xml:space="preserve">Ensono</t>
  </si>
  <si>
    <t xml:space="preserve">Hybrid cloud MSP</t>
  </si>
  <si>
    <t xml:space="preserve">Downers Grove</t>
  </si>
  <si>
    <t xml:space="preserve">ensono.com</t>
  </si>
  <si>
    <t xml:space="preserve">KKR</t>
  </si>
  <si>
    <t xml:space="preserve">Jeff VonDeylen</t>
  </si>
  <si>
    <t xml:space="preserve">CEO; COO; CTO; VP Client Delivery</t>
  </si>
  <si>
    <t xml:space="preserve">Ensono AI-driven Envision platform; mainframe modernization with GenAI</t>
  </si>
  <si>
    <t xml:space="preserve">#1 on 2025 MSP 501</t>
  </si>
  <si>
    <t xml:space="preserve">https://www.ensono.com/insights-and-news/newsroom-and-press/ensono-secures-spot-in-top-10-of-channele2es-top-250-public-cloud-msps/</t>
  </si>
  <si>
    <t xml:space="preserve">Flexential</t>
  </si>
  <si>
    <t xml:space="preserve">Colocation / cloud / managed services</t>
  </si>
  <si>
    <t xml:space="preserve">Charlotte</t>
  </si>
  <si>
    <t xml:space="preserve">flexential.com</t>
  </si>
  <si>
    <t xml:space="preserve">GI Partners</t>
  </si>
  <si>
    <t xml:space="preserve">Ryan Mallory</t>
  </si>
  <si>
    <t xml:space="preserve">CEO; COO; CTO; VP Cloud Services</t>
  </si>
  <si>
    <t xml:space="preserve">Positioning data centers for AI/GPU workloads</t>
  </si>
  <si>
    <t xml:space="preserve">40+ data centers; hybrid IT provider</t>
  </si>
  <si>
    <t xml:space="preserve">https://www.flexential.com</t>
  </si>
  <si>
    <t xml:space="preserve">LevelBlue</t>
  </si>
  <si>
    <t xml:space="preserve">MSSP / cybersecurity services</t>
  </si>
  <si>
    <t xml:space="preserve">levelblue.com</t>
  </si>
  <si>
    <t xml:space="preserve">WillJam Ventures</t>
  </si>
  <si>
    <t xml:space="preserve">Bob McCullen</t>
  </si>
  <si>
    <t xml:space="preserve">CISO; CIO; VP Security Operations; CTO</t>
  </si>
  <si>
    <t xml:space="preserve">Acquired Trustwave and Aon cyber units 2025; AI-powered SOC</t>
  </si>
  <si>
    <t xml:space="preserve">Formerly AT&amp;T Cybersecurity</t>
  </si>
  <si>
    <t xml:space="preserve">https://levelblue.com</t>
  </si>
  <si>
    <t xml:space="preserve">Lyra Technology Group</t>
  </si>
  <si>
    <t xml:space="preserve">MSP platform</t>
  </si>
  <si>
    <t xml:space="preserve">lyratechnologygroup.com</t>
  </si>
  <si>
    <t xml:space="preserve">Alpine Investors (via Evergreen)</t>
  </si>
  <si>
    <t xml:space="preserve">CEO; COO; CTO; VP Shared Services</t>
  </si>
  <si>
    <t xml:space="preserve">Centralized shared services and automation across operating companies</t>
  </si>
  <si>
    <t xml:space="preserve">~$1B ARR cited; decentralized holding of regional MSPs</t>
  </si>
  <si>
    <t xml:space="preserve">https://ctacquisitions.com/guides/private-equity-msp-2026/</t>
  </si>
  <si>
    <t xml:space="preserve">Perficient</t>
  </si>
  <si>
    <t xml:space="preserve">Digital consulting / engineering</t>
  </si>
  <si>
    <t xml:space="preserve">perficient.com</t>
  </si>
  <si>
    <t xml:space="preserve">EQT</t>
  </si>
  <si>
    <t xml:space="preserve">Tom Hogan</t>
  </si>
  <si>
    <t xml:space="preserve">CIO; Chief Digital Officer; CTO; VP Data and AI</t>
  </si>
  <si>
    <t xml:space="preserve">Taken private by EQT 2024; AI-first positioning</t>
  </si>
  <si>
    <t xml:space="preserve">Formerly NASDAQ: PRFT</t>
  </si>
  <si>
    <t xml:space="preserve">https://www.perficient.com</t>
  </si>
  <si>
    <t xml:space="preserve">Red River Technology</t>
  </si>
  <si>
    <t xml:space="preserve">Federal solution provider / MSP</t>
  </si>
  <si>
    <t xml:space="preserve">Claremont</t>
  </si>
  <si>
    <t xml:space="preserve">NH</t>
  </si>
  <si>
    <t xml:space="preserve">redriver.com</t>
  </si>
  <si>
    <t xml:space="preserve">Acacia Partners</t>
  </si>
  <si>
    <t xml:space="preserve">Alan Dumas</t>
  </si>
  <si>
    <t xml:space="preserve">CIO; CTO; VP Managed Services; VP Federal</t>
  </si>
  <si>
    <t xml:space="preserve">Managed services and AI-enabled collaboration for government</t>
  </si>
  <si>
    <t xml:space="preserve">Acacia acquired majority 2018</t>
  </si>
  <si>
    <t xml:space="preserve">https://www.redriver.com</t>
  </si>
  <si>
    <t xml:space="preserve">TierPoint</t>
  </si>
  <si>
    <t xml:space="preserve">tierpoint.com</t>
  </si>
  <si>
    <t xml:space="preserve">RedBird Capital; Ontario Teachers'; Thompson Street</t>
  </si>
  <si>
    <t xml:space="preserve">Jerry Kent</t>
  </si>
  <si>
    <t xml:space="preserve">CEO; COO; CTO; VP Managed Services</t>
  </si>
  <si>
    <t xml:space="preserve">Investing in AI-ready data center capacity</t>
  </si>
  <si>
    <t xml:space="preserve">40 data centers across 20 markets</t>
  </si>
  <si>
    <t xml:space="preserve">https://www.tierpoint.com</t>
  </si>
  <si>
    <t xml:space="preserve">Vaco</t>
  </si>
  <si>
    <t xml:space="preserve">Staffing / consulting (technology)</t>
  </si>
  <si>
    <t xml:space="preserve">Nashville</t>
  </si>
  <si>
    <t xml:space="preserve">TN</t>
  </si>
  <si>
    <t xml:space="preserve">vaco.com</t>
  </si>
  <si>
    <t xml:space="preserve">Olympus Partners</t>
  </si>
  <si>
    <t xml:space="preserve">Jerry Bostelman</t>
  </si>
  <si>
    <t xml:space="preserve">CIO; COO; VP Technology; VP Consulting</t>
  </si>
  <si>
    <t xml:space="preserve">Highspring rebrand and digital solutions growth</t>
  </si>
  <si>
    <t xml:space="preserve">Olympus Partners since 2017</t>
  </si>
  <si>
    <t xml:space="preserve">https://www.vaco.com</t>
  </si>
  <si>
    <t xml:space="preserve">West Monroe</t>
  </si>
  <si>
    <t xml:space="preserve">Digital consulting</t>
  </si>
  <si>
    <t xml:space="preserve">westmonroe.com</t>
  </si>
  <si>
    <t xml:space="preserve">MSD Partners</t>
  </si>
  <si>
    <t xml:space="preserve">Kevin McCarty</t>
  </si>
  <si>
    <t xml:space="preserve">CIO; COO; Chief Digital Officer; Managing Directors</t>
  </si>
  <si>
    <t xml:space="preserve">Nigel AI and GenAI-enabled delivery model</t>
  </si>
  <si>
    <t xml:space="preserve">MSD minority investment 2021</t>
  </si>
  <si>
    <t xml:space="preserve">https://www.westmonroe.com</t>
  </si>
  <si>
    <t xml:space="preserve">Apexon</t>
  </si>
  <si>
    <t xml:space="preserve">Santa Clara</t>
  </si>
  <si>
    <t xml:space="preserve">apexon.com</t>
  </si>
  <si>
    <t xml:space="preserve">Goldman Sachs Asset Management</t>
  </si>
  <si>
    <t xml:space="preserve">Kunal Kumar</t>
  </si>
  <si>
    <t xml:space="preserve">CIO; CTO; VP Engineering; Chief Digital Officer</t>
  </si>
  <si>
    <t xml:space="preserve">Digital engineering with AI/ML and data practices</t>
  </si>
  <si>
    <t xml:space="preserve">Formerly Infostretch</t>
  </si>
  <si>
    <t xml:space="preserve">https://www.apexon.com</t>
  </si>
  <si>
    <t xml:space="preserve">Blue Mantis</t>
  </si>
  <si>
    <t xml:space="preserve">Solution provider / MSP</t>
  </si>
  <si>
    <t xml:space="preserve">Portsmouth</t>
  </si>
  <si>
    <t xml:space="preserve">bluemantis.com</t>
  </si>
  <si>
    <t xml:space="preserve">Recognize</t>
  </si>
  <si>
    <t xml:space="preserve">Josh Dinneen</t>
  </si>
  <si>
    <t xml:space="preserve">CIO; CTO; VP Managed Services; VP Cloud</t>
  </si>
  <si>
    <t xml:space="preserve">Rebranded from GreenPages; AI and security-led managed services</t>
  </si>
  <si>
    <t xml:space="preserve">Recognize investment 2023</t>
  </si>
  <si>
    <t xml:space="preserve">https://www.bluemantis.com</t>
  </si>
  <si>
    <t xml:space="preserve">Coalfire</t>
  </si>
  <si>
    <t xml:space="preserve">Cybersecurity services</t>
  </si>
  <si>
    <t xml:space="preserve">Westminster</t>
  </si>
  <si>
    <t xml:space="preserve">coalfire.com</t>
  </si>
  <si>
    <t xml:space="preserve">Apax Partners</t>
  </si>
  <si>
    <t xml:space="preserve">Tom McAndrew</t>
  </si>
  <si>
    <t xml:space="preserve">CISO; CIO; VP Compliance; CTO</t>
  </si>
  <si>
    <t xml:space="preserve">AI risk and compliance assessment services</t>
  </si>
  <si>
    <t xml:space="preserve">FedRAMP and compliance leader</t>
  </si>
  <si>
    <t xml:space="preserve">https://www.coalfire.com</t>
  </si>
  <si>
    <t xml:space="preserve">Cyderes</t>
  </si>
  <si>
    <t xml:space="preserve">MSSP</t>
  </si>
  <si>
    <t xml:space="preserve">Kansas City</t>
  </si>
  <si>
    <t xml:space="preserve">cyderes.com</t>
  </si>
  <si>
    <t xml:space="preserve">Chris Schueler</t>
  </si>
  <si>
    <t xml:space="preserve">AI-driven managed detection and response</t>
  </si>
  <si>
    <t xml:space="preserve">Herjavec Group and Fishtech merger</t>
  </si>
  <si>
    <t xml:space="preserve">https://www.cyderes.com</t>
  </si>
  <si>
    <t xml:space="preserve">Eliassen Group</t>
  </si>
  <si>
    <t xml:space="preserve">IT staffing / consulting</t>
  </si>
  <si>
    <t xml:space="preserve">Reading</t>
  </si>
  <si>
    <t xml:space="preserve">eliassen.com</t>
  </si>
  <si>
    <t xml:space="preserve">Stone Point Capital</t>
  </si>
  <si>
    <t xml:space="preserve">Dave MacKeen</t>
  </si>
  <si>
    <t xml:space="preserve">CIO; COO; VP Consulting; VP Delivery</t>
  </si>
  <si>
    <t xml:space="preserve">Acquired Intreis and A2 Consulting; AI/data practice</t>
  </si>
  <si>
    <t xml:space="preserve">Stone Point investment 2023</t>
  </si>
  <si>
    <t xml:space="preserve">https://www.eliassen.com</t>
  </si>
  <si>
    <t xml:space="preserve">Integris</t>
  </si>
  <si>
    <t xml:space="preserve">Cranbury</t>
  </si>
  <si>
    <t xml:space="preserve">integrisit.com</t>
  </si>
  <si>
    <t xml:space="preserve">Glenn Mathis</t>
  </si>
  <si>
    <t xml:space="preserve">CEO; COO; CTO; VP Operations</t>
  </si>
  <si>
    <t xml:space="preserve">Rolling out AI copilots to SMB client base</t>
  </si>
  <si>
    <t xml:space="preserve">~$300M revenue cited; national US roll-up</t>
  </si>
  <si>
    <t xml:space="preserve">https://www.channelholic.news/p/mega-msps-are-old-news-say-hello</t>
  </si>
  <si>
    <t xml:space="preserve">Marco Technologies</t>
  </si>
  <si>
    <t xml:space="preserve">MSP / managed print</t>
  </si>
  <si>
    <t xml:space="preserve">St. Cloud</t>
  </si>
  <si>
    <t xml:space="preserve">MN</t>
  </si>
  <si>
    <t xml:space="preserve">marconet.com</t>
  </si>
  <si>
    <t xml:space="preserve">Jeff Gau</t>
  </si>
  <si>
    <t xml:space="preserve">COO; CIO; VP Managed IT; VP Operations</t>
  </si>
  <si>
    <t xml:space="preserve">Managed IT and cloud expansion via acquisitions</t>
  </si>
  <si>
    <t xml:space="preserve">Regional MSP and office tech provider</t>
  </si>
  <si>
    <t xml:space="preserve">https://www.marconet.com</t>
  </si>
  <si>
    <t xml:space="preserve">Milestone Technologies</t>
  </si>
  <si>
    <t xml:space="preserve">IT managed services / outsourcing</t>
  </si>
  <si>
    <t xml:space="preserve">Fremont</t>
  </si>
  <si>
    <t xml:space="preserve">milestone.tech</t>
  </si>
  <si>
    <t xml:space="preserve">H.I.G. Capital</t>
  </si>
  <si>
    <t xml:space="preserve">Sameer Kishore</t>
  </si>
  <si>
    <t xml:space="preserve">CIO; COO; VP Digital Workplace; VP Service Delivery</t>
  </si>
  <si>
    <t xml:space="preserve">AI-enabled digital workplace and Intelligent Automation practice</t>
  </si>
  <si>
    <t xml:space="preserve">Silicon Valley IT outsourcing provider</t>
  </si>
  <si>
    <t xml:space="preserve">https://www.milestone.tech</t>
  </si>
  <si>
    <t xml:space="preserve">Ness Digital Engineering</t>
  </si>
  <si>
    <t xml:space="preserve">Teaneck</t>
  </si>
  <si>
    <t xml:space="preserve">ness.com</t>
  </si>
  <si>
    <t xml:space="preserve">Ranjit Tinaikar</t>
  </si>
  <si>
    <t xml:space="preserve">GenAI engineering and platform modernization</t>
  </si>
  <si>
    <t xml:space="preserve">KKR acquired 2022</t>
  </si>
  <si>
    <t xml:space="preserve">https://www.ness.com</t>
  </si>
  <si>
    <t xml:space="preserve">ReliaQuest</t>
  </si>
  <si>
    <t xml:space="preserve">Security operations / MDR</t>
  </si>
  <si>
    <t xml:space="preserve">reliaquest.com</t>
  </si>
  <si>
    <t xml:space="preserve">KKR; EQT; FTV Capital</t>
  </si>
  <si>
    <t xml:space="preserve">Brian Murphy</t>
  </si>
  <si>
    <t xml:space="preserve">GreyMatter agentic AI security operations</t>
  </si>
  <si>
    <t xml:space="preserve">$500M raise at $3.4B valuation 2025</t>
  </si>
  <si>
    <t xml:space="preserve">https://www.reliaquest.com</t>
  </si>
  <si>
    <t xml:space="preserve">TPx Communications</t>
  </si>
  <si>
    <t xml:space="preserve">MSP / UCaaS</t>
  </si>
  <si>
    <t xml:space="preserve">tpx.com</t>
  </si>
  <si>
    <t xml:space="preserve">Siris Capital</t>
  </si>
  <si>
    <t xml:space="preserve">Shaun Andrews</t>
  </si>
  <si>
    <t xml:space="preserve">Rebuilt as focused managed services company; AI-driven SOC</t>
  </si>
  <si>
    <t xml:space="preserve">#7 on 2025 MSP 501</t>
  </si>
  <si>
    <t xml:space="preserve">https://www.tpx.com/press-release/tpx-rises-to-top-10-spot-on-prestigious-2025-msp-501-list/</t>
  </si>
  <si>
    <t xml:space="preserve">Thrive</t>
  </si>
  <si>
    <t xml:space="preserve">MSP / MSSP platform</t>
  </si>
  <si>
    <t xml:space="preserve">Foxborough</t>
  </si>
  <si>
    <t xml:space="preserve">thrivenextgen.com</t>
  </si>
  <si>
    <t xml:space="preserve">Court Square Capital; Berkshire Partners</t>
  </si>
  <si>
    <t xml:space="preserve">Rob Stephenson</t>
  </si>
  <si>
    <t xml:space="preserve">CEO; COO; CTO; VP Service Delivery</t>
  </si>
  <si>
    <t xml:space="preserve">Markets AI-enabled NOC/SOC automation; 2025 MSP of the Year</t>
  </si>
  <si>
    <t xml:space="preserve">~$400M revenue cited Oct 2025; acquisitive Northeast platform</t>
  </si>
  <si>
    <t xml:space="preserve">BlueVoyant</t>
  </si>
  <si>
    <t xml:space="preserve">MSSP / cyber risk</t>
  </si>
  <si>
    <t xml:space="preserve">bluevoyant.com</t>
  </si>
  <si>
    <t xml:space="preserve">Liberty Strategic Capital</t>
  </si>
  <si>
    <t xml:space="preserve">Jim Rosenthal</t>
  </si>
  <si>
    <t xml:space="preserve">AI-driven supply chain cyber defense</t>
  </si>
  <si>
    <t xml:space="preserve">Raised $140M Series E 2024</t>
  </si>
  <si>
    <t xml:space="preserve">https://www.bluevoyant.com</t>
  </si>
  <si>
    <t xml:space="preserve">Dataprise</t>
  </si>
  <si>
    <t xml:space="preserve">MSP / MSSP</t>
  </si>
  <si>
    <t xml:space="preserve">Rockville</t>
  </si>
  <si>
    <t xml:space="preserve">dataprise.com</t>
  </si>
  <si>
    <t xml:space="preserve">Steve Lewis</t>
  </si>
  <si>
    <t xml:space="preserve">Top 25 on 2025 MSP 501; active acquirer (PEI; Cohere)</t>
  </si>
  <si>
    <t xml:space="preserve">Mid-Atlantic base with national footprint</t>
  </si>
  <si>
    <t xml:space="preserve">https://www.prnewswire.com/news-releases/dataprise-soars-in-the-rankings-to-be-named-a-top-25-msp-worldwide-on-channel-partners-2025-msp-501-list-302509488.html</t>
  </si>
  <si>
    <t xml:space="preserve">Datavail</t>
  </si>
  <si>
    <t xml:space="preserve">Managed data services</t>
  </si>
  <si>
    <t xml:space="preserve">Broomfield</t>
  </si>
  <si>
    <t xml:space="preserve">datavail.com</t>
  </si>
  <si>
    <t xml:space="preserve">Vikas Kapoor</t>
  </si>
  <si>
    <t xml:space="preserve">CIO; CDO; VP Data Engineering; VP Cloud</t>
  </si>
  <si>
    <t xml:space="preserve">Data analytics and AI-ready database modernization</t>
  </si>
  <si>
    <t xml:space="preserve">Database and application managed services</t>
  </si>
  <si>
    <t xml:space="preserve">https://www.datavail.com</t>
  </si>
  <si>
    <t xml:space="preserve">Deepwatch</t>
  </si>
  <si>
    <t xml:space="preserve">MDR / MSSP</t>
  </si>
  <si>
    <t xml:space="preserve">deepwatch.com</t>
  </si>
  <si>
    <t xml:space="preserve">Springcoast Capital; Splunk Ventures</t>
  </si>
  <si>
    <t xml:space="preserve">John DiLullo</t>
  </si>
  <si>
    <t xml:space="preserve">Acquired Dassana for AI-driven security analytics</t>
  </si>
  <si>
    <t xml:space="preserve">Cloud-native MDR</t>
  </si>
  <si>
    <t xml:space="preserve">https://www.deepwatch.com</t>
  </si>
  <si>
    <t xml:space="preserve">Expedient</t>
  </si>
  <si>
    <t xml:space="preserve">Cloud / managed infrastructure</t>
  </si>
  <si>
    <t xml:space="preserve">expedient.com</t>
  </si>
  <si>
    <t xml:space="preserve">AMP Capital</t>
  </si>
  <si>
    <t xml:space="preserve">Bryan Smith</t>
  </si>
  <si>
    <t xml:space="preserve">Launched enterprise AI infrastructure and private AI cloud offerings</t>
  </si>
  <si>
    <t xml:space="preserve">#3 on 2025 MSP 501</t>
  </si>
  <si>
    <t xml:space="preserve">https://themspsummit.com/msp-501-top-managed-service-providers-2025/</t>
  </si>
  <si>
    <t xml:space="preserve">Improving</t>
  </si>
  <si>
    <t xml:space="preserve">Software consulting</t>
  </si>
  <si>
    <t xml:space="preserve">improving.com</t>
  </si>
  <si>
    <t xml:space="preserve">Curtis Hite</t>
  </si>
  <si>
    <t xml:space="preserve">CIO; CTO; VP Engineering; VP Delivery</t>
  </si>
  <si>
    <t xml:space="preserve">Agile and AI enablement services</t>
  </si>
  <si>
    <t xml:space="preserve">US and Canada offices</t>
  </si>
  <si>
    <t xml:space="preserve">https://improving.com</t>
  </si>
  <si>
    <t xml:space="preserve">Logically</t>
  </si>
  <si>
    <t xml:space="preserve">Portland</t>
  </si>
  <si>
    <t xml:space="preserve">ME</t>
  </si>
  <si>
    <t xml:space="preserve">logically.com</t>
  </si>
  <si>
    <t xml:space="preserve">Joshua Skeens</t>
  </si>
  <si>
    <t xml:space="preserve">CEO; COO; CTO; VP Cybersecurity</t>
  </si>
  <si>
    <t xml:space="preserve">Healthcare-focused managed security expansion</t>
  </si>
  <si>
    <t xml:space="preserve">National footprint; one of six super-sized MSPs per Channelholic</t>
  </si>
  <si>
    <t xml:space="preserve">Magna5</t>
  </si>
  <si>
    <t xml:space="preserve">MSP</t>
  </si>
  <si>
    <t xml:space="preserve">Frisco</t>
  </si>
  <si>
    <t xml:space="preserve">magna5.com</t>
  </si>
  <si>
    <t xml:space="preserve">AEA Investors</t>
  </si>
  <si>
    <t xml:space="preserve">Michael Wieder</t>
  </si>
  <si>
    <t xml:space="preserve">Sold by NewSpring to AEA 2025 after ~8x growth; AI ops tooling</t>
  </si>
  <si>
    <t xml:space="preserve">#39 on 2025 MSP 501</t>
  </si>
  <si>
    <t xml:space="preserve">https://www.magna5.com/magna5-ranks-39-on-channel-partners-2025-msp-501-list/</t>
  </si>
  <si>
    <t xml:space="preserve">Meriplex</t>
  </si>
  <si>
    <t xml:space="preserve">Houston</t>
  </si>
  <si>
    <t xml:space="preserve">meriplex.com</t>
  </si>
  <si>
    <t xml:space="preserve">Vitruvian Partners</t>
  </si>
  <si>
    <t xml:space="preserve">David Henley</t>
  </si>
  <si>
    <t xml:space="preserve">13+ acquisitions; Vitruvian majority Dec 2024</t>
  </si>
  <si>
    <t xml:space="preserve">Texas-based national MSP</t>
  </si>
  <si>
    <t xml:space="preserve">https://meriplex.com/meriplex-welcomes-vitruvian-partners-as-new-majority-shareholder/</t>
  </si>
  <si>
    <t xml:space="preserve">Netrix Global</t>
  </si>
  <si>
    <t xml:space="preserve">Bannockburn</t>
  </si>
  <si>
    <t xml:space="preserve">netrixglobal.com</t>
  </si>
  <si>
    <t xml:space="preserve">OceanSound Partners</t>
  </si>
  <si>
    <t xml:space="preserve">Russell Reeder</t>
  </si>
  <si>
    <t xml:space="preserve">Merged with Contender Solutions and Xerillion; AI-enabled SOC</t>
  </si>
  <si>
    <t xml:space="preserve">Global managed services with Chicago HQ</t>
  </si>
  <si>
    <t xml:space="preserve">https://www.netrixglobal.com</t>
  </si>
  <si>
    <t xml:space="preserve">New Charter Technologies</t>
  </si>
  <si>
    <t xml:space="preserve">Denver</t>
  </si>
  <si>
    <t xml:space="preserve">newchartertech.com</t>
  </si>
  <si>
    <t xml:space="preserve">Oval Partners</t>
  </si>
  <si>
    <t xml:space="preserve">Peter Melby</t>
  </si>
  <si>
    <t xml:space="preserve">CEO; COO; CTO; Platform GMs</t>
  </si>
  <si>
    <t xml:space="preserve">Partner-led model; central AI and security tooling</t>
  </si>
  <si>
    <t xml:space="preserve">CRN MSP 500 Elite 150; one of six super-sized MSPs</t>
  </si>
  <si>
    <t xml:space="preserve">NexusTek</t>
  </si>
  <si>
    <t xml:space="preserve">nexustek.com</t>
  </si>
  <si>
    <t xml:space="preserve">Abry Partners</t>
  </si>
  <si>
    <t xml:space="preserve">Hamilton Yu</t>
  </si>
  <si>
    <t xml:space="preserve">Launched AI advisory and secure AI adoption services 2025</t>
  </si>
  <si>
    <t xml:space="preserve">National MSP; acquisitive</t>
  </si>
  <si>
    <t xml:space="preserve">https://corsicatech.com/resources/top-managed-service-providers/</t>
  </si>
  <si>
    <t xml:space="preserve">Ntirety</t>
  </si>
  <si>
    <t xml:space="preserve">Managed cloud / security</t>
  </si>
  <si>
    <t xml:space="preserve">ntirety.com</t>
  </si>
  <si>
    <t xml:space="preserve">Bregal Sagemount</t>
  </si>
  <si>
    <t xml:space="preserve">Emil Sayegh</t>
  </si>
  <si>
    <t xml:space="preserve">CEO; COO; CISO; VP Managed Services</t>
  </si>
  <si>
    <t xml:space="preserve">Compliance-driven managed security with AI analytics</t>
  </si>
  <si>
    <t xml:space="preserve">Formerly Hostway/HOSTING merger</t>
  </si>
  <si>
    <t xml:space="preserve">https://www.ntirety.com</t>
  </si>
  <si>
    <t xml:space="preserve">Ntiva</t>
  </si>
  <si>
    <t xml:space="preserve">McLean</t>
  </si>
  <si>
    <t xml:space="preserve">ntiva.com</t>
  </si>
  <si>
    <t xml:space="preserve">PSP Capital (Pritzker)</t>
  </si>
  <si>
    <t xml:space="preserve">Steven Freidkin</t>
  </si>
  <si>
    <t xml:space="preserve">CEO; COO; CTO; VP Client Success</t>
  </si>
  <si>
    <t xml:space="preserve">Launched AI advisory and Copilot readiness services 2024-25</t>
  </si>
  <si>
    <t xml:space="preserve">#11 on 2025 MSP 501; 800+ staff; 2000+ clients</t>
  </si>
  <si>
    <t xml:space="preserve">https://www.ntiva.com/news/ntiva-ranked-on-channel-partners-2025-msp-501-tech-industrys-most-prestigious-list-of-managed-service-providers-worldwide</t>
  </si>
  <si>
    <t xml:space="preserve">Onix</t>
  </si>
  <si>
    <t xml:space="preserve">Google Cloud consulting</t>
  </si>
  <si>
    <t xml:space="preserve">Lakewood</t>
  </si>
  <si>
    <t xml:space="preserve">onixnet.com</t>
  </si>
  <si>
    <t xml:space="preserve">Niraj Tolia</t>
  </si>
  <si>
    <t xml:space="preserve">CIO; CTO; VP Cloud; VP Data and AI</t>
  </si>
  <si>
    <t xml:space="preserve">Wingspan platform and Google Cloud GenAI services</t>
  </si>
  <si>
    <t xml:space="preserve">Google Cloud Premier partner</t>
  </si>
  <si>
    <t xml:space="preserve">https://www.onixnet.com</t>
  </si>
  <si>
    <t xml:space="preserve">Resultant</t>
  </si>
  <si>
    <t xml:space="preserve">IT consulting / MSP</t>
  </si>
  <si>
    <t xml:space="preserve">Indianapolis</t>
  </si>
  <si>
    <t xml:space="preserve">IN</t>
  </si>
  <si>
    <t xml:space="preserve">resultant.com</t>
  </si>
  <si>
    <t xml:space="preserve">Warburg Pincus</t>
  </si>
  <si>
    <t xml:space="preserve">Mark Caswell</t>
  </si>
  <si>
    <t xml:space="preserve">CEO; COO; CTO; Managing Directors</t>
  </si>
  <si>
    <t xml:space="preserve">Data and AI practice for public sector and mid-market</t>
  </si>
  <si>
    <t xml:space="preserve">Formerly KSM Consulting; data analytics heavy</t>
  </si>
  <si>
    <t xml:space="preserve">VC3</t>
  </si>
  <si>
    <t xml:space="preserve">MSP (public sector)</t>
  </si>
  <si>
    <t xml:space="preserve">vc3.com</t>
  </si>
  <si>
    <t xml:space="preserve">Bertram Capital</t>
  </si>
  <si>
    <t xml:space="preserve">Alex Bradley</t>
  </si>
  <si>
    <t xml:space="preserve">CEO; COO; CTO; VP Municipal Services</t>
  </si>
  <si>
    <t xml:space="preserve">Public sector cyber and cloud modernization</t>
  </si>
  <si>
    <t xml:space="preserve">Municipal government IT specialist; US and Canada</t>
  </si>
  <si>
    <t xml:space="preserve">https://masignal.com/msp/report-full.html</t>
  </si>
  <si>
    <t xml:space="preserve">eSentire</t>
  </si>
  <si>
    <t xml:space="preserve">Waterloo</t>
  </si>
  <si>
    <t xml:space="preserve">esentire.com</t>
  </si>
  <si>
    <t xml:space="preserve">Kerry Bailey</t>
  </si>
  <si>
    <t xml:space="preserve">Atlas AI Investigator for MDR</t>
  </si>
  <si>
    <t xml:space="preserve">Canadian HQ with large US client base</t>
  </si>
  <si>
    <t xml:space="preserve">https://www.esentire.com</t>
  </si>
  <si>
    <t xml:space="preserve">Coretelligent</t>
  </si>
  <si>
    <t xml:space="preserve">Needham</t>
  </si>
  <si>
    <t xml:space="preserve">coretelligent.com</t>
  </si>
  <si>
    <t xml:space="preserve">Norwest Equity Partners</t>
  </si>
  <si>
    <t xml:space="preserve">Kevin Routhier</t>
  </si>
  <si>
    <t xml:space="preserve">CEO; COO; CTO; VP Client Services</t>
  </si>
  <si>
    <t xml:space="preserve">Financial services and life sciences AI/compliance offerings</t>
  </si>
  <si>
    <t xml:space="preserve">7+ acquisitions since 2019; 8 regional offices</t>
  </si>
  <si>
    <t xml:space="preserve">Corsica Technologies</t>
  </si>
  <si>
    <t xml:space="preserve">corsicatech.com</t>
  </si>
  <si>
    <t xml:space="preserve">Dale Walls</t>
  </si>
  <si>
    <t xml:space="preserve">Merged with EDCi; cybersecurity-led managed services</t>
  </si>
  <si>
    <t xml:space="preserve">Southeast MSP; 1000+ customers</t>
  </si>
  <si>
    <t xml:space="preserve">Critical Start</t>
  </si>
  <si>
    <t xml:space="preserve">criticalstart.com</t>
  </si>
  <si>
    <t xml:space="preserve">Randy Watkins</t>
  </si>
  <si>
    <t xml:space="preserve">Cyber Risk Management platform with AI analytics</t>
  </si>
  <si>
    <t xml:space="preserve">Texas-based MDR provider</t>
  </si>
  <si>
    <t xml:space="preserve">https://www.criticalstart.com</t>
  </si>
  <si>
    <t xml:space="preserve">DYOPATH</t>
  </si>
  <si>
    <t xml:space="preserve">dyopath.com</t>
  </si>
  <si>
    <t xml:space="preserve">Rob Koch</t>
  </si>
  <si>
    <t xml:space="preserve">Named to 2025 CRN SP500; AI-enabled service desk</t>
  </si>
  <si>
    <t xml:space="preserve">Texas and Chicago operations</t>
  </si>
  <si>
    <t xml:space="preserve">https://www.businesswire.com/news/home/20250527561397/en/DYOPATH-Named-to-CRN-Solution-Provider-500-List-for-2025</t>
  </si>
  <si>
    <t xml:space="preserve">Involta</t>
  </si>
  <si>
    <t xml:space="preserve">Cloud / MSP / data center</t>
  </si>
  <si>
    <t xml:space="preserve">Cedar Rapids</t>
  </si>
  <si>
    <t xml:space="preserve">IA</t>
  </si>
  <si>
    <t xml:space="preserve">involta.com</t>
  </si>
  <si>
    <t xml:space="preserve">The Carlyle Group</t>
  </si>
  <si>
    <t xml:space="preserve">Jim Buie</t>
  </si>
  <si>
    <t xml:space="preserve">Edge AI and hybrid cloud positioning</t>
  </si>
  <si>
    <t xml:space="preserve">Midwest hybrid IT provider</t>
  </si>
  <si>
    <t xml:space="preserve">https://www.involta.com</t>
  </si>
  <si>
    <t xml:space="preserve">Otava</t>
  </si>
  <si>
    <t xml:space="preserve">Cloud / MSP</t>
  </si>
  <si>
    <t xml:space="preserve">Ann Arbor</t>
  </si>
  <si>
    <t xml:space="preserve">otava.com</t>
  </si>
  <si>
    <t xml:space="preserve">TJ Houske</t>
  </si>
  <si>
    <t xml:space="preserve">CEO; COO; CTO; VP Cloud</t>
  </si>
  <si>
    <t xml:space="preserve">Recognized on 2025 MSP 501 awards</t>
  </si>
  <si>
    <t xml:space="preserve">Compliance-focused cloud provider</t>
  </si>
  <si>
    <t xml:space="preserve">Sourcepass</t>
  </si>
  <si>
    <t xml:space="preserve">Hauppauge</t>
  </si>
  <si>
    <t xml:space="preserve">sourcepass.com</t>
  </si>
  <si>
    <t xml:space="preserve">The Riverside Company</t>
  </si>
  <si>
    <t xml:space="preserve">Chuck Canton</t>
  </si>
  <si>
    <t xml:space="preserve">Built proprietary Quest client platform with AI features</t>
  </si>
  <si>
    <t xml:space="preserve">Northeast roll-up; 20+ acquisitions</t>
  </si>
  <si>
    <t xml:space="preserve">LegalShield</t>
  </si>
  <si>
    <t xml:space="preserve">prepaid legal services platform</t>
  </si>
  <si>
    <t xml:space="preserve">Ada</t>
  </si>
  <si>
    <t xml:space="preserve">OK</t>
  </si>
  <si>
    <t xml:space="preserve">legalshield.com</t>
  </si>
  <si>
    <t xml:space="preserve">Warren Schlichting</t>
  </si>
  <si>
    <t xml:space="preserve">COO; CIO; Chief Digital Officer</t>
  </si>
  <si>
    <t xml:space="preserve">Consumer legal app and provider-network platform</t>
  </si>
  <si>
    <t xml:space="preserve">Stone Point acquired 2018; revenue band est</t>
  </si>
  <si>
    <t xml:space="preserve">https://en.wikipedia.org/wiki/LegalShield</t>
  </si>
  <si>
    <t xml:space="preserve">UnitedLex</t>
  </si>
  <si>
    <t xml:space="preserve">ALSP (legal managed services)</t>
  </si>
  <si>
    <t xml:space="preserve">Overland Park</t>
  </si>
  <si>
    <t xml:space="preserve">KS</t>
  </si>
  <si>
    <t xml:space="preserve">unitedlex.com</t>
  </si>
  <si>
    <t xml:space="preserve">CVC Capital Partners</t>
  </si>
  <si>
    <t xml:space="preserve">Renee Meisel</t>
  </si>
  <si>
    <t xml:space="preserve">COO; CIO; Chief Innovation Officer</t>
  </si>
  <si>
    <t xml:space="preserve">Positions as AI-first legal ops and data services provider</t>
  </si>
  <si>
    <t xml:space="preserve">CVC majority investment 2018; Owler band $500M-1B</t>
  </si>
  <si>
    <t xml:space="preserve">https://www.owler.com/company/unitedlex</t>
  </si>
  <si>
    <t xml:space="preserve">Axiom</t>
  </si>
  <si>
    <t xml:space="preserve">ALSP (flexible legal talent)</t>
  </si>
  <si>
    <t xml:space="preserve">axiomlaw.com</t>
  </si>
  <si>
    <t xml:space="preserve">Permira</t>
  </si>
  <si>
    <t xml:space="preserve">David McVeigh</t>
  </si>
  <si>
    <t xml:space="preserve">COO; CIO; Chief Product Officer</t>
  </si>
  <si>
    <t xml:space="preserve">AI-enabled talent matching and legal ops offerings</t>
  </si>
  <si>
    <t xml:space="preserve">Permira invested 2019; Owler band $100-500M</t>
  </si>
  <si>
    <t xml:space="preserve">https://www.owler.com/company/axiomlaw</t>
  </si>
  <si>
    <t xml:space="preserve">Harbor Global</t>
  </si>
  <si>
    <t xml:space="preserve">legal ops consulting and managed services</t>
  </si>
  <si>
    <t xml:space="preserve">harborglobal.com</t>
  </si>
  <si>
    <t xml:space="preserve">Matt Sunderman</t>
  </si>
  <si>
    <t xml:space="preserve">AI advisory practice for law firms and legal departments</t>
  </si>
  <si>
    <t xml:space="preserve">Formerly HBR Consulting + Wilson Allen; band est</t>
  </si>
  <si>
    <t xml:space="preserve">https://complexdiscovery.com/a-running-list-of-top-100-providers/</t>
  </si>
  <si>
    <t xml:space="preserve">Litera</t>
  </si>
  <si>
    <t xml:space="preserve">legal drafting and workflow software</t>
  </si>
  <si>
    <t xml:space="preserve">litera.com</t>
  </si>
  <si>
    <t xml:space="preserve">Hg</t>
  </si>
  <si>
    <t xml:space="preserve">Avaneesh Marwaha</t>
  </si>
  <si>
    <t xml:space="preserve">Litera One and Litera AI; acquisitive roll-up</t>
  </si>
  <si>
    <t xml:space="preserve">Hg-backed; band est</t>
  </si>
  <si>
    <t xml:space="preserve">Relativity</t>
  </si>
  <si>
    <t xml:space="preserve">eDiscovery software and services</t>
  </si>
  <si>
    <t xml:space="preserve">relativity.com</t>
  </si>
  <si>
    <t xml:space="preserve">Silver Lake</t>
  </si>
  <si>
    <t xml:space="preserve">Phil Saunders</t>
  </si>
  <si>
    <t xml:space="preserve">COO; CIO; Chief Product Officer; Chief Innovation Officer</t>
  </si>
  <si>
    <t xml:space="preserve">Relativity aiR genAI suite; Anthropic/Microsoft partnerships</t>
  </si>
  <si>
    <t xml:space="preserve">Silver Lake majority 2021; band est</t>
  </si>
  <si>
    <t xml:space="preserve">https://en.wikipedia.org/wiki/Relativity_(company)</t>
  </si>
  <si>
    <t xml:space="preserve">Veritext Legal Solutions</t>
  </si>
  <si>
    <t xml:space="preserve">court reporting / litigation support</t>
  </si>
  <si>
    <t xml:space="preserve">Livingston</t>
  </si>
  <si>
    <t xml:space="preserve">veritext.com</t>
  </si>
  <si>
    <t xml:space="preserve">Leonard Green &amp; Partners</t>
  </si>
  <si>
    <t xml:space="preserve">Nancy Josephs</t>
  </si>
  <si>
    <t xml:space="preserve">Remote deposition and AI transcription initiatives</t>
  </si>
  <si>
    <t xml:space="preserve">Largest US court reporting platform; revenue band est</t>
  </si>
  <si>
    <t xml:space="preserve">iManage</t>
  </si>
  <si>
    <t xml:space="preserve">legal document and knowledge management software</t>
  </si>
  <si>
    <t xml:space="preserve">imanage.com</t>
  </si>
  <si>
    <t xml:space="preserve">Neil Araujo</t>
  </si>
  <si>
    <t xml:space="preserve">COO; CIO; Chief Knowledge Officer; Chief Product Officer</t>
  </si>
  <si>
    <t xml:space="preserve">Ask iManage and Mailbox AI genAI features</t>
  </si>
  <si>
    <t xml:space="preserve">Bain Capital minority 2022; band est</t>
  </si>
  <si>
    <t xml:space="preserve">HaystackID</t>
  </si>
  <si>
    <t xml:space="preserve">eDiscovery and cyber discovery</t>
  </si>
  <si>
    <t xml:space="preserve">haystackid.com</t>
  </si>
  <si>
    <t xml:space="preserve">Quadrant Private Equity</t>
  </si>
  <si>
    <t xml:space="preserve">Hal Brooks</t>
  </si>
  <si>
    <t xml:space="preserve">HaystackID Core AI and cyber incident review</t>
  </si>
  <si>
    <t xml:space="preserve">Quadrant-backed; band est</t>
  </si>
  <si>
    <t xml:space="preserve">Integreon</t>
  </si>
  <si>
    <t xml:space="preserve">ALSP (legal BPO / managed services)</t>
  </si>
  <si>
    <t xml:space="preserve">integreon.com</t>
  </si>
  <si>
    <t xml:space="preserve">EagleTree Capital</t>
  </si>
  <si>
    <t xml:space="preserve">AI-enabled document review and contract services</t>
  </si>
  <si>
    <t xml:space="preserve">EagleTree acquired 2019; band est</t>
  </si>
  <si>
    <t xml:space="preserve">https://pitchbook.com/profiles/company/42714-55</t>
  </si>
  <si>
    <t xml:space="preserve">Lighthouse</t>
  </si>
  <si>
    <t xml:space="preserve">eDiscovery and information governance</t>
  </si>
  <si>
    <t xml:space="preserve">lighthouseglobal.com</t>
  </si>
  <si>
    <t xml:space="preserve">Lightyear Capital</t>
  </si>
  <si>
    <t xml:space="preserve">Ron Markezich</t>
  </si>
  <si>
    <t xml:space="preserve">AI-powered eDiscovery positioning; ex-Microsoft CEO</t>
  </si>
  <si>
    <t xml:space="preserve">Revenue band est; Owler $25-100M understated</t>
  </si>
  <si>
    <t xml:space="preserve">https://www.owler.com/company/lhediscovery</t>
  </si>
  <si>
    <t xml:space="preserve">NetDocuments</t>
  </si>
  <si>
    <t xml:space="preserve">cloud document management for legal</t>
  </si>
  <si>
    <t xml:space="preserve">Lehi</t>
  </si>
  <si>
    <t xml:space="preserve">netdocuments.com</t>
  </si>
  <si>
    <t xml:space="preserve">Josh Baxter</t>
  </si>
  <si>
    <t xml:space="preserve">ndMAX and PatternBuilder MAX genAI apps</t>
  </si>
  <si>
    <t xml:space="preserve">Warburg Pincus 2021; band est</t>
  </si>
  <si>
    <t xml:space="preserve">Rafi Law Group / Rafi Law Services MSO</t>
  </si>
  <si>
    <t xml:space="preserve">PE-backed personal injury platform</t>
  </si>
  <si>
    <t xml:space="preserve">Phoenix</t>
  </si>
  <si>
    <t xml:space="preserve">rafilawgroup.com</t>
  </si>
  <si>
    <t xml:space="preserve">Pelican Capital</t>
  </si>
  <si>
    <t xml:space="preserve">Sam Rafi</t>
  </si>
  <si>
    <t xml:space="preserve">Growth capital earmarked for marketing scale and technology deployment</t>
  </si>
  <si>
    <t xml:space="preserve">$125M PE deal at ~$450M valuation (2026); revenue undisclosed</t>
  </si>
  <si>
    <t xml:space="preserve">https://www.lawfuel.com/private-equity-law-firm-mso-structure-2026/</t>
  </si>
  <si>
    <t xml:space="preserve">Orion Legal (Uplift Investors MSO)</t>
  </si>
  <si>
    <t xml:space="preserve">PE-backed personal injury MSO platform</t>
  </si>
  <si>
    <t xml:space="preserve">New Orleans</t>
  </si>
  <si>
    <t xml:space="preserve">LA</t>
  </si>
  <si>
    <t xml:space="preserve">dudleydebosier.com</t>
  </si>
  <si>
    <t xml:space="preserve">Uplift Investors</t>
  </si>
  <si>
    <t xml:space="preserve">Buy-and-build MSO consolidating PI firms (Dudley DeBosier; John Foy; Hughes &amp; Coleman)</t>
  </si>
  <si>
    <t xml:space="preserve">Anchor firm Dudley DeBosier ~135 attorneys; revenue undisclosed</t>
  </si>
  <si>
    <t xml:space="preserve">https://greenwichgp.com/wp-content/uploads/2026/03/GCG-PE-and-the-Consolidation-of-Personal-Injury-Law.pdf</t>
  </si>
  <si>
    <t xml:space="preserve">Lufkin Industries</t>
  </si>
  <si>
    <t xml:space="preserve">rod lift &amp; oilfield equipment</t>
  </si>
  <si>
    <t xml:space="preserve">Missouri City</t>
  </si>
  <si>
    <t xml:space="preserve">lufkin.com</t>
  </si>
  <si>
    <t xml:space="preserve">COO; CIO; VP Operations; VP Digital</t>
  </si>
  <si>
    <t xml:space="preserve">Digital well optimization and automation products</t>
  </si>
  <si>
    <t xml:space="preserve">KKR carved out from Baker Hughes 2020</t>
  </si>
  <si>
    <t xml:space="preserve">https://www.lufkin.com/</t>
  </si>
  <si>
    <t xml:space="preserve">Dept</t>
  </si>
  <si>
    <t xml:space="preserve">digital agency</t>
  </si>
  <si>
    <t xml:space="preserve">deptagency.com</t>
  </si>
  <si>
    <t xml:space="preserve">Carlyle</t>
  </si>
  <si>
    <t xml:space="preserve">Dimi Albers</t>
  </si>
  <si>
    <t xml:space="preserve">CEO; CTO; COO; Chief AI Officer</t>
  </si>
  <si>
    <t xml:space="preserve">DEPT/AI practice; pioneering AI agency positioning</t>
  </si>
  <si>
    <t xml:space="preserve">Netherlands-founded; large US footprint; Carlyle majority 2020</t>
  </si>
  <si>
    <t xml:space="preserve">https://www.deptagency.com/</t>
  </si>
  <si>
    <t xml:space="preserve">Inmar Intelligence</t>
  </si>
  <si>
    <t xml:space="preserve">retail marketing and promotions services</t>
  </si>
  <si>
    <t xml:space="preserve">Winston-Salem</t>
  </si>
  <si>
    <t xml:space="preserve">inmar.com</t>
  </si>
  <si>
    <t xml:space="preserve">Spencer Baird</t>
  </si>
  <si>
    <t xml:space="preserve">CEO; CTO; COO; Chief Data Officer</t>
  </si>
  <si>
    <t xml:space="preserve">AI-driven incentive and media platform</t>
  </si>
  <si>
    <t xml:space="preserve">https://www.inmar.com/</t>
  </si>
  <si>
    <t xml:space="preserve">Real Chemistry</t>
  </si>
  <si>
    <t xml:space="preserve">healthcare marketing and communications</t>
  </si>
  <si>
    <t xml:space="preserve">San Francisco</t>
  </si>
  <si>
    <t xml:space="preserve">realchemistry.com</t>
  </si>
  <si>
    <t xml:space="preserve">Shankar Narayanan</t>
  </si>
  <si>
    <t xml:space="preserve">AI-first health marketing; acquired Avant Healthcare</t>
  </si>
  <si>
    <t xml:space="preserve">O'Dwyer's No. 2</t>
  </si>
  <si>
    <t xml:space="preserve">https://www.odwyerpr.com/pr_firm_rankings/independents.htm</t>
  </si>
  <si>
    <t xml:space="preserve">Valtech</t>
  </si>
  <si>
    <t xml:space="preserve">digital experience agency</t>
  </si>
  <si>
    <t xml:space="preserve">valtech.com</t>
  </si>
  <si>
    <t xml:space="preserve">BC Partners</t>
  </si>
  <si>
    <t xml:space="preserve">Sami Alsuwaidi</t>
  </si>
  <si>
    <t xml:space="preserve">CEO; CTO; COO; Chief Digital Officer</t>
  </si>
  <si>
    <t xml:space="preserve">Valtech AI and commerce practice</t>
  </si>
  <si>
    <t xml:space="preserve">Global HQ split London/NYC; merged with Kin + Carta 2024; revenue band estimate</t>
  </si>
  <si>
    <t xml:space="preserve">https://www.valtech.com/</t>
  </si>
  <si>
    <t xml:space="preserve">Data Axle</t>
  </si>
  <si>
    <t xml:space="preserve">data and marketing services</t>
  </si>
  <si>
    <t xml:space="preserve">data-axle.com</t>
  </si>
  <si>
    <t xml:space="preserve">Court Square Capital Partners</t>
  </si>
  <si>
    <t xml:space="preserve">Ernie Cormier</t>
  </si>
  <si>
    <t xml:space="preserve">Data Axle Genie AI features</t>
  </si>
  <si>
    <t xml:space="preserve">Formerly Infogroup; revenue band estimate</t>
  </si>
  <si>
    <t xml:space="preserve">https://www.data-axle.com/</t>
  </si>
  <si>
    <t xml:space="preserve">EVERSANA INTOUCH</t>
  </si>
  <si>
    <t xml:space="preserve">pharma marketing agency</t>
  </si>
  <si>
    <t xml:space="preserve">eversanaintouch.com</t>
  </si>
  <si>
    <t xml:space="preserve">Water Street Healthcare Partners</t>
  </si>
  <si>
    <t xml:space="preserve">Ariel Salmang</t>
  </si>
  <si>
    <t xml:space="preserve">CEO; CTO; COO; CFO</t>
  </si>
  <si>
    <t xml:space="preserve">EVERSANA AI and data platforms</t>
  </si>
  <si>
    <t xml:space="preserve">Unit of EVERSANA (Water Street and JLL Partners); revenue band estimate</t>
  </si>
  <si>
    <t xml:space="preserve">https://www.eversanaintouch.com/</t>
  </si>
  <si>
    <t xml:space="preserve">Tinuiti</t>
  </si>
  <si>
    <t xml:space="preserve">performance media agency</t>
  </si>
  <si>
    <t xml:space="preserve">tinuiti.com</t>
  </si>
  <si>
    <t xml:space="preserve">Mountaingate Capital</t>
  </si>
  <si>
    <t xml:space="preserve">Zach Morrison</t>
  </si>
  <si>
    <t xml:space="preserve">CEO; Chief Product Officer; Chief Technology Officer; COO</t>
  </si>
  <si>
    <t xml:space="preserve">Bliss Point by Tinuiti AI measurement platform; Mobius suite</t>
  </si>
  <si>
    <t xml:space="preserve">Largest independent performance marketing agency; $4B+ media under management</t>
  </si>
  <si>
    <t xml:space="preserve">https://www.zoominfo.com/c/tinuiti/470380116</t>
  </si>
  <si>
    <t xml:space="preserve">Ansira</t>
  </si>
  <si>
    <t xml:space="preserve">channel and local marketing services</t>
  </si>
  <si>
    <t xml:space="preserve">ansira.com</t>
  </si>
  <si>
    <t xml:space="preserve">Andy Arnold</t>
  </si>
  <si>
    <t xml:space="preserve">Ansira Edge martech platform</t>
  </si>
  <si>
    <t xml:space="preserve">Distributed/dealer marketing platform; revenue band estimate</t>
  </si>
  <si>
    <t xml:space="preserve">https://www.ansira.com/</t>
  </si>
  <si>
    <t xml:space="preserve">Brainlabs</t>
  </si>
  <si>
    <t xml:space="preserve">digital media agency</t>
  </si>
  <si>
    <t xml:space="preserve">brainlabsdigital.com</t>
  </si>
  <si>
    <t xml:space="preserve">Falfurrias Capital Partners</t>
  </si>
  <si>
    <t xml:space="preserve">Daniel Gilbert</t>
  </si>
  <si>
    <t xml:space="preserve">CEO; Chief Technology Officer; COO; Chief Data Officer</t>
  </si>
  <si>
    <t xml:space="preserve">Test-and-learn automation; acquired Exverus Media 2025</t>
  </si>
  <si>
    <t xml:space="preserve">UK-founded; US now largest market; 43% growth per Adweek 2025</t>
  </si>
  <si>
    <t xml:space="preserve">https://www.adweek.com/fastest-growing-agencies/2025/</t>
  </si>
  <si>
    <t xml:space="preserve">R/GA</t>
  </si>
  <si>
    <t xml:space="preserve">rga.com</t>
  </si>
  <si>
    <t xml:space="preserve">Truelink Capital</t>
  </si>
  <si>
    <t xml:space="preserve">Robin Forbes</t>
  </si>
  <si>
    <t xml:space="preserve">AI-enabled creative and product design</t>
  </si>
  <si>
    <t xml:space="preserve">Carved out of IPG 2024; revenue band estimate</t>
  </si>
  <si>
    <t xml:space="preserve">https://www.rga.com/</t>
  </si>
  <si>
    <t xml:space="preserve">Wpromote</t>
  </si>
  <si>
    <t xml:space="preserve">digital performance agency</t>
  </si>
  <si>
    <t xml:space="preserve">El Segundo</t>
  </si>
  <si>
    <t xml:space="preserve">wpromote.com</t>
  </si>
  <si>
    <t xml:space="preserve">ZMC</t>
  </si>
  <si>
    <t xml:space="preserve">Michael Mothner</t>
  </si>
  <si>
    <t xml:space="preserve">CEO; CTO; Chief Growth Officer; COO</t>
  </si>
  <si>
    <t xml:space="preserve">Polaris proprietary AI/marketing tech platform</t>
  </si>
  <si>
    <t xml:space="preserve">Adweek and Ad Age Agency A-List regular; ZMC took majority stake 2021</t>
  </si>
  <si>
    <t xml:space="preserve">https://www.wpromote.com/</t>
  </si>
  <si>
    <t xml:space="preserve">Power Digital</t>
  </si>
  <si>
    <t xml:space="preserve">growth marketing agency</t>
  </si>
  <si>
    <t xml:space="preserve">San Diego</t>
  </si>
  <si>
    <t xml:space="preserve">powerdigitalmarketing.com</t>
  </si>
  <si>
    <t xml:space="preserve">Grayson Lafrenz</t>
  </si>
  <si>
    <t xml:space="preserve">nova proprietary data and AI platform</t>
  </si>
  <si>
    <t xml:space="preserve">Court Square majority investment 2021; acquisitive</t>
  </si>
  <si>
    <t xml:space="preserve">Cornerstone OnDemand</t>
  </si>
  <si>
    <t xml:space="preserve">Talent management software</t>
  </si>
  <si>
    <t xml:space="preserve">Santa Monica</t>
  </si>
  <si>
    <t xml:space="preserve">cornerstoneondemand.com</t>
  </si>
  <si>
    <t xml:space="preserve">Clearlake Capital Group</t>
  </si>
  <si>
    <t xml:space="preserve">Himanshu Palsule</t>
  </si>
  <si>
    <t xml:space="preserve">COO; CTO; CPO</t>
  </si>
  <si>
    <t xml:space="preserve">Galaxy AI platform</t>
  </si>
  <si>
    <t xml:space="preserve">Revenue est.</t>
  </si>
  <si>
    <t xml:space="preserve">https://clearlake.com/portfolio/</t>
  </si>
  <si>
    <t xml:space="preserve">Diligent</t>
  </si>
  <si>
    <t xml:space="preserve">Governance/GRC software</t>
  </si>
  <si>
    <t xml:space="preserve">diligent.com</t>
  </si>
  <si>
    <t xml:space="preserve">Brian Stafford</t>
  </si>
  <si>
    <t xml:space="preserve">Diligent AI for board and risk workflows</t>
  </si>
  <si>
    <t xml:space="preserve">Revenue est.; Clearlake/Insight/Blackstone</t>
  </si>
  <si>
    <t xml:space="preserve">FinThrive</t>
  </si>
  <si>
    <t xml:space="preserve">Healthcare RCM software</t>
  </si>
  <si>
    <t xml:space="preserve">finthrive.com</t>
  </si>
  <si>
    <t xml:space="preserve">Hemant Goel</t>
  </si>
  <si>
    <t xml:space="preserve">AI-enabled RCM automation</t>
  </si>
  <si>
    <t xml:space="preserve">Fortra</t>
  </si>
  <si>
    <t xml:space="preserve">Cybersecurity software</t>
  </si>
  <si>
    <t xml:space="preserve">Eden Prairie</t>
  </si>
  <si>
    <t xml:space="preserve">fortra.com</t>
  </si>
  <si>
    <t xml:space="preserve">HGGC</t>
  </si>
  <si>
    <t xml:space="preserve">Kate Bolseth</t>
  </si>
  <si>
    <t xml:space="preserve">COO; CTO; CIO</t>
  </si>
  <si>
    <t xml:space="preserve">AI-driven threat detection roadmap</t>
  </si>
  <si>
    <t xml:space="preserve">Formerly HelpSystems; HGGC/TA/Harvest/Charlesbank</t>
  </si>
  <si>
    <t xml:space="preserve">https://www.hggc.com/portfolio</t>
  </si>
  <si>
    <t xml:space="preserve">Hyland Software</t>
  </si>
  <si>
    <t xml:space="preserve">Content services software</t>
  </si>
  <si>
    <t xml:space="preserve">Westlake</t>
  </si>
  <si>
    <t xml:space="preserve">hyland.com</t>
  </si>
  <si>
    <t xml:space="preserve">Thoma Bravo</t>
  </si>
  <si>
    <t xml:space="preserve">Jitesh Ghai</t>
  </si>
  <si>
    <t xml:space="preserve">Hyland Content Innovation Cloud with agentic AI</t>
  </si>
  <si>
    <t xml:space="preserve">https://www.thomabravo.com/companies</t>
  </si>
  <si>
    <t xml:space="preserve">New Era Technology</t>
  </si>
  <si>
    <t xml:space="preserve">MSP / IT services</t>
  </si>
  <si>
    <t xml:space="preserve">neweratech.com</t>
  </si>
  <si>
    <t xml:space="preserve">Sentinel Capital Partners</t>
  </si>
  <si>
    <t xml:space="preserve">Joe Gillis</t>
  </si>
  <si>
    <t xml:space="preserve">COO; CTO; VP Managed Services</t>
  </si>
  <si>
    <t xml:space="preserve">AI and automation services practice</t>
  </si>
  <si>
    <t xml:space="preserve">Revenue est.; global MSP</t>
  </si>
  <si>
    <t xml:space="preserve">https://www.sentinelpartners.com/companies/</t>
  </si>
  <si>
    <t xml:space="preserve">Ping Identity</t>
  </si>
  <si>
    <t xml:space="preserve">Identity software</t>
  </si>
  <si>
    <t xml:space="preserve">pingidentity.com</t>
  </si>
  <si>
    <t xml:space="preserve">Andre Durand</t>
  </si>
  <si>
    <t xml:space="preserve">Identity for AI agents roadmap</t>
  </si>
  <si>
    <t xml:space="preserve">Merged with ForgeRock; revenue est.</t>
  </si>
  <si>
    <t xml:space="preserve">Precisely</t>
  </si>
  <si>
    <t xml:space="preserve">Data integrity software</t>
  </si>
  <si>
    <t xml:space="preserve">Burlington</t>
  </si>
  <si>
    <t xml:space="preserve">precisely.com</t>
  </si>
  <si>
    <t xml:space="preserve">Josh Rogers</t>
  </si>
  <si>
    <t xml:space="preserve">Data readiness for AI positioning</t>
  </si>
  <si>
    <t xml:space="preserve">Revenue est.; Clearlake/TA</t>
  </si>
  <si>
    <t xml:space="preserve">Quest Software</t>
  </si>
  <si>
    <t xml:space="preserve">Enterprise software</t>
  </si>
  <si>
    <t xml:space="preserve">Aliso Viejo</t>
  </si>
  <si>
    <t xml:space="preserve">quest.com</t>
  </si>
  <si>
    <t xml:space="preserve">Patrick Nichols</t>
  </si>
  <si>
    <t xml:space="preserve">AI data governance and Copilot readiness offerings</t>
  </si>
  <si>
    <t xml:space="preserve">Transportation Insight</t>
  </si>
  <si>
    <t xml:space="preserve">Freight brokerage/logistics</t>
  </si>
  <si>
    <t xml:space="preserve">Hickory</t>
  </si>
  <si>
    <t xml:space="preserve">transportationinsight.com</t>
  </si>
  <si>
    <t xml:space="preserve">Gryphon Investors</t>
  </si>
  <si>
    <t xml:space="preserve">COO; CIO; CTO</t>
  </si>
  <si>
    <t xml:space="preserve">Merged with Nolan Transportation Group; data platform focus</t>
  </si>
  <si>
    <t xml:space="preserve">Gross revenue est.</t>
  </si>
  <si>
    <t xml:space="preserve">https://www.gryphon-inv.com/companies/</t>
  </si>
  <si>
    <t xml:space="preserve">Trucordia</t>
  </si>
  <si>
    <t xml:space="preserve">Insurance brokerage</t>
  </si>
  <si>
    <t xml:space="preserve">Lindon</t>
  </si>
  <si>
    <t xml:space="preserve">trucordia.com</t>
  </si>
  <si>
    <t xml:space="preserve">Felix Morgan</t>
  </si>
  <si>
    <t xml:space="preserve">Rebranded from PCF Insurance; investing in unified data platform</t>
  </si>
  <si>
    <t xml:space="preserve">Revenue est.; HGGC + Carlyle</t>
  </si>
  <si>
    <t xml:space="preserve">3Cloud</t>
  </si>
  <si>
    <t xml:space="preserve">Azure IT services</t>
  </si>
  <si>
    <t xml:space="preserve">3cloudsolutions.com</t>
  </si>
  <si>
    <t xml:space="preserve">Mike Rocco</t>
  </si>
  <si>
    <t xml:space="preserve">COO; CTO; Chief Delivery Officer</t>
  </si>
  <si>
    <t xml:space="preserve">Microsoft Azure AI/Copilot partner of the year; heavy AI hiring</t>
  </si>
  <si>
    <t xml:space="preserve">Potential partner as much as buyer</t>
  </si>
  <si>
    <t xml:space="preserve">BeyondTrust</t>
  </si>
  <si>
    <t xml:space="preserve">Identity security software</t>
  </si>
  <si>
    <t xml:space="preserve">Johns Creek</t>
  </si>
  <si>
    <t xml:space="preserve">beyondtrust.com</t>
  </si>
  <si>
    <t xml:space="preserve">Janine Seebeck</t>
  </si>
  <si>
    <t xml:space="preserve">Identity security for AI agents</t>
  </si>
  <si>
    <t xml:space="preserve">Revenue est.; Clearlake/Francisco Partners</t>
  </si>
  <si>
    <t xml:space="preserve">Clarience Technologies</t>
  </si>
  <si>
    <t xml:space="preserve">Vehicle lighting/telematics</t>
  </si>
  <si>
    <t xml:space="preserve">Falconer</t>
  </si>
  <si>
    <t xml:space="preserve">clarience.com</t>
  </si>
  <si>
    <t xml:space="preserve">Genstar Capital</t>
  </si>
  <si>
    <t xml:space="preserve">Brian Kupchella</t>
  </si>
  <si>
    <t xml:space="preserve">Telematics/fleet data (Road Ready) product line</t>
  </si>
  <si>
    <t xml:space="preserve">Revenue est.; formerly Truck-Lite</t>
  </si>
  <si>
    <t xml:space="preserve">https://www.gencap.com/</t>
  </si>
  <si>
    <t xml:space="preserve">GSM Outdoors</t>
  </si>
  <si>
    <t xml:space="preserve">Outdoor/sporting goods brands</t>
  </si>
  <si>
    <t xml:space="preserve">Irving</t>
  </si>
  <si>
    <t xml:space="preserve">gsmoutdoors.com</t>
  </si>
  <si>
    <t xml:space="preserve">Gridiron Capital</t>
  </si>
  <si>
    <t xml:space="preserve">Eddie Castro</t>
  </si>
  <si>
    <t xml:space="preserve">COO; CIO; VP eCommerce</t>
  </si>
  <si>
    <t xml:space="preserve">App-based subscription products</t>
  </si>
  <si>
    <t xml:space="preserve">https://gridironcapital.com/sector/consumer-products-services/</t>
  </si>
  <si>
    <t xml:space="preserve">Jensen Hughes</t>
  </si>
  <si>
    <t xml:space="preserve">Engineering &amp; fire safety consulting</t>
  </si>
  <si>
    <t xml:space="preserve">Baltimore</t>
  </si>
  <si>
    <t xml:space="preserve">jensenhughes.com</t>
  </si>
  <si>
    <t xml:space="preserve">Raj Arora</t>
  </si>
  <si>
    <t xml:space="preserve">Digital twin and code-compliance software initiatives</t>
  </si>
  <si>
    <t xml:space="preserve">Revenue est.; 90+ offices</t>
  </si>
  <si>
    <t xml:space="preserve">MRI Software</t>
  </si>
  <si>
    <t xml:space="preserve">Real estate software</t>
  </si>
  <si>
    <t xml:space="preserve">Solon</t>
  </si>
  <si>
    <t xml:space="preserve">mrisoftware.com</t>
  </si>
  <si>
    <t xml:space="preserve">Harvest Partners</t>
  </si>
  <si>
    <t xml:space="preserve">Patrick Ghilani</t>
  </si>
  <si>
    <t xml:space="preserve">MRI Agora AI platform</t>
  </si>
  <si>
    <t xml:space="preserve">Revenue est.; Harvest/TA/GI Partners</t>
  </si>
  <si>
    <t xml:space="preserve">https://www.harvestpartners.com/portfolio/</t>
  </si>
  <si>
    <t xml:space="preserve">Mediaocean</t>
  </si>
  <si>
    <t xml:space="preserve">Advertising software</t>
  </si>
  <si>
    <t xml:space="preserve">mediaocean.com</t>
  </si>
  <si>
    <t xml:space="preserve">Vista Equity Partners</t>
  </si>
  <si>
    <t xml:space="preserve">Bill Wise</t>
  </si>
  <si>
    <t xml:space="preserve">AI media planning after Innovid acquisition</t>
  </si>
  <si>
    <t xml:space="preserve">Vista/CVC; revenue est.</t>
  </si>
  <si>
    <t xml:space="preserve">https://www.vistaequitypartners.com/companies/</t>
  </si>
  <si>
    <t xml:space="preserve">ModMed</t>
  </si>
  <si>
    <t xml:space="preserve">Specialty EHR software</t>
  </si>
  <si>
    <t xml:space="preserve">Boca Raton</t>
  </si>
  <si>
    <t xml:space="preserve">modmed.com</t>
  </si>
  <si>
    <t xml:space="preserve">Daniel Cane</t>
  </si>
  <si>
    <t xml:space="preserve">Ambient AI scribe launched</t>
  </si>
  <si>
    <t xml:space="preserve">Revenue est.; Clearlake 2025</t>
  </si>
  <si>
    <t xml:space="preserve">Montway Auto Transport</t>
  </si>
  <si>
    <t xml:space="preserve">Vehicle logistics</t>
  </si>
  <si>
    <t xml:space="preserve">Schaumburg</t>
  </si>
  <si>
    <t xml:space="preserve">montway.com</t>
  </si>
  <si>
    <t xml:space="preserve">COO; CTO; VP Operations</t>
  </si>
  <si>
    <t xml:space="preserve">Tech-enabled brokerage platform</t>
  </si>
  <si>
    <t xml:space="preserve">https://www.aeainvestors.com/portfolio/</t>
  </si>
  <si>
    <t xml:space="preserve">Signant Health</t>
  </si>
  <si>
    <t xml:space="preserve">eClinical software/services</t>
  </si>
  <si>
    <t xml:space="preserve">Blue Bell</t>
  </si>
  <si>
    <t xml:space="preserve">signanthealth.com</t>
  </si>
  <si>
    <t xml:space="preserve">Roger Smith</t>
  </si>
  <si>
    <t xml:space="preserve">AI-enabled clinical trial platform</t>
  </si>
  <si>
    <t xml:space="preserve">Smart Care Equipment Solutions</t>
  </si>
  <si>
    <t xml:space="preserve">Commercial kitchen equipment service</t>
  </si>
  <si>
    <t xml:space="preserve">St. Paul</t>
  </si>
  <si>
    <t xml:space="preserve">smartcaresolutions.com</t>
  </si>
  <si>
    <t xml:space="preserve">Wind Point Partners</t>
  </si>
  <si>
    <t xml:space="preserve">Bill Emory</t>
  </si>
  <si>
    <t xml:space="preserve">COO; CIO; VP Operations</t>
  </si>
  <si>
    <t xml:space="preserve">Field-service tech investment</t>
  </si>
  <si>
    <t xml:space="preserve">https://www.wppartners.com/companies/</t>
  </si>
  <si>
    <t xml:space="preserve">Symplr</t>
  </si>
  <si>
    <t xml:space="preserve">Healthcare operations software</t>
  </si>
  <si>
    <t xml:space="preserve">symplr.com</t>
  </si>
  <si>
    <t xml:space="preserve">BJ Schaknowski</t>
  </si>
  <si>
    <t xml:space="preserve">AI workforce management features</t>
  </si>
  <si>
    <t xml:space="preserve">Revenue est.; Clearlake/Charlesbank</t>
  </si>
  <si>
    <t xml:space="preserve">UserTesting</t>
  </si>
  <si>
    <t xml:space="preserve">UX research software</t>
  </si>
  <si>
    <t xml:space="preserve">usertesting.com</t>
  </si>
  <si>
    <t xml:space="preserve">AI insight summaries</t>
  </si>
  <si>
    <t xml:space="preserve">Thoma Bravo/Sunstone; merged with UserZoom</t>
  </si>
  <si>
    <t xml:space="preserve">Worldwide Clinical Trials</t>
  </si>
  <si>
    <t xml:space="preserve">CRO</t>
  </si>
  <si>
    <t xml:space="preserve">Morrisville</t>
  </si>
  <si>
    <t xml:space="preserve">worldwide.com</t>
  </si>
  <si>
    <t xml:space="preserve">Peter Benton</t>
  </si>
  <si>
    <t xml:space="preserve">COO; CIO; VP Clinical Operations</t>
  </si>
  <si>
    <t xml:space="preserve">Acquiring Catalyst Clinical Research Jan 2026; AI in trial ops</t>
  </si>
  <si>
    <t xml:space="preserve">https://www.kohlberg.com/news/</t>
  </si>
  <si>
    <t xml:space="preserve">Buildertrend</t>
  </si>
  <si>
    <t xml:space="preserve">Construction management software</t>
  </si>
  <si>
    <t xml:space="preserve">buildertrend.com</t>
  </si>
  <si>
    <t xml:space="preserve">Chris Tidman</t>
  </si>
  <si>
    <t xml:space="preserve">AI features for estimating and scheduling</t>
  </si>
  <si>
    <t xml:space="preserve">Revenue est.; HGGC + Bain Capital Tech Opportunities</t>
  </si>
  <si>
    <t xml:space="preserve">Caylent</t>
  </si>
  <si>
    <t xml:space="preserve">AWS cloud consultancy</t>
  </si>
  <si>
    <t xml:space="preserve">caylent.com</t>
  </si>
  <si>
    <t xml:space="preserve">JP La Torre</t>
  </si>
  <si>
    <t xml:space="preserve">COO; CTO; VP Delivery</t>
  </si>
  <si>
    <t xml:space="preserve">AWS GenAI competency; Bedrock practice</t>
  </si>
  <si>
    <t xml:space="preserve">Gryphon 2024; competitor/partner profile</t>
  </si>
  <si>
    <t xml:space="preserve">DecoPac</t>
  </si>
  <si>
    <t xml:space="preserve">Cake decorating products</t>
  </si>
  <si>
    <t xml:space="preserve">Anoka</t>
  </si>
  <si>
    <t xml:space="preserve">decopac.com</t>
  </si>
  <si>
    <t xml:space="preserve">PhotoCake digital printing platform</t>
  </si>
  <si>
    <t xml:space="preserve">Sentinel acquired July 2026 from Kohlberg; revenue est.</t>
  </si>
  <si>
    <t xml:space="preserve">https://www.prnewswire.com/news-releases/sentinel-capital-partners-acquires-decopac-302819011.html</t>
  </si>
  <si>
    <t xml:space="preserve">Denodo</t>
  </si>
  <si>
    <t xml:space="preserve">Data virtualization software</t>
  </si>
  <si>
    <t xml:space="preserve">Palo Alto</t>
  </si>
  <si>
    <t xml:space="preserve">denodo.com</t>
  </si>
  <si>
    <t xml:space="preserve">Angel Vina</t>
  </si>
  <si>
    <t xml:space="preserve">Logical data fabric for AI; agentic data features</t>
  </si>
  <si>
    <t xml:space="preserve">HGGC 2023 investment</t>
  </si>
  <si>
    <t xml:space="preserve">ElevatePFS</t>
  </si>
  <si>
    <t xml:space="preserve">Healthcare RCM services</t>
  </si>
  <si>
    <t xml:space="preserve">elevatepfs.com</t>
  </si>
  <si>
    <t xml:space="preserve">RCM automation is core pitch</t>
  </si>
  <si>
    <t xml:space="preserve">Audax 2025; hospital revenue cycle outsourcing</t>
  </si>
  <si>
    <t xml:space="preserve">https://audaxprivateequity.com/portfolio</t>
  </si>
  <si>
    <t xml:space="preserve">Everservice</t>
  </si>
  <si>
    <t xml:space="preserve">Outsourced business services</t>
  </si>
  <si>
    <t xml:space="preserve">everservice.com</t>
  </si>
  <si>
    <t xml:space="preserve">Contact center automation and AI intake for legal/home services</t>
  </si>
  <si>
    <t xml:space="preserve">Audax 2023; legal intake and answering services</t>
  </si>
  <si>
    <t xml:space="preserve">Eze Castle Integration</t>
  </si>
  <si>
    <t xml:space="preserve">MSP for financial services</t>
  </si>
  <si>
    <t xml:space="preserve">eci.com</t>
  </si>
  <si>
    <t xml:space="preserve">AI/data services for hedge funds</t>
  </si>
  <si>
    <t xml:space="preserve">Huge</t>
  </si>
  <si>
    <t xml:space="preserve">Digital agency</t>
  </si>
  <si>
    <t xml:space="preserve">Brooklyn</t>
  </si>
  <si>
    <t xml:space="preserve">hugeinc.com</t>
  </si>
  <si>
    <t xml:space="preserve">Lisa De Bonis</t>
  </si>
  <si>
    <t xml:space="preserve">COO; Chief Technology Officer; Chief Growth Officer</t>
  </si>
  <si>
    <t xml:space="preserve">Positioned as AI-native experience agency; LIVE platform</t>
  </si>
  <si>
    <t xml:space="preserve">AEA acquired from IPG 2024</t>
  </si>
  <si>
    <t xml:space="preserve">Sonatype</t>
  </si>
  <si>
    <t xml:space="preserve">Software supply chain security</t>
  </si>
  <si>
    <t xml:space="preserve">Fulton</t>
  </si>
  <si>
    <t xml:space="preserve">sonatype.com</t>
  </si>
  <si>
    <t xml:space="preserve">Wayne Jackson</t>
  </si>
  <si>
    <t xml:space="preserve">AI model/open-source component governance</t>
  </si>
  <si>
    <t xml:space="preserve">Vista 2019; revenue est.</t>
  </si>
  <si>
    <t xml:space="preserve">Valenz Health</t>
  </si>
  <si>
    <t xml:space="preserve">Healthcare payment integrity</t>
  </si>
  <si>
    <t xml:space="preserve">valenzhealth.com</t>
  </si>
  <si>
    <t xml:space="preserve">Rob Gelb</t>
  </si>
  <si>
    <t xml:space="preserve">Data-driven cost containment platform</t>
  </si>
  <si>
    <t xml:space="preserve">Kelso 2024</t>
  </si>
  <si>
    <t xml:space="preserve">https://www.kelso.com/news</t>
  </si>
  <si>
    <t xml:space="preserve">phData</t>
  </si>
  <si>
    <t xml:space="preserve">Data &amp; AI services</t>
  </si>
  <si>
    <t xml:space="preserve">Minneapolis</t>
  </si>
  <si>
    <t xml:space="preserve">phdata.io</t>
  </si>
  <si>
    <t xml:space="preserve">Ryan Bosshart</t>
  </si>
  <si>
    <t xml:space="preserve">Snowflake/Databricks Elite partner; AI services core</t>
  </si>
  <si>
    <t xml:space="preserve">Gryphon Data &amp; AI Services vertical</t>
  </si>
  <si>
    <t xml:space="preserve">Bluesight</t>
  </si>
  <si>
    <t xml:space="preserve">Hospital pharmacy software</t>
  </si>
  <si>
    <t xml:space="preserve">Alexandria</t>
  </si>
  <si>
    <t xml:space="preserve">bluesight.com</t>
  </si>
  <si>
    <t xml:space="preserve">Kevin MacDonald</t>
  </si>
  <si>
    <t xml:space="preserve">Drug diversion analytics</t>
  </si>
  <si>
    <t xml:space="preserve">Thoma Bravo Discover; band est.</t>
  </si>
  <si>
    <t xml:space="preserve">Cuesta Partners</t>
  </si>
  <si>
    <t xml:space="preserve">AI &amp; data advisory</t>
  </si>
  <si>
    <t xml:space="preserve">cuestapartners.com</t>
  </si>
  <si>
    <t xml:space="preserve">Managing Partner; COO; Chief Delivery Officer</t>
  </si>
  <si>
    <t xml:space="preserve">Core business is AI and data advisory to PE-backed companies</t>
  </si>
  <si>
    <t xml:space="preserve">Kohlberg investment March 2026; likely below $50M; strategic partner/competitor</t>
  </si>
  <si>
    <t xml:space="preserve">Docupace</t>
  </si>
  <si>
    <t xml:space="preserve">Wealth management fintech</t>
  </si>
  <si>
    <t xml:space="preserve">Los Angeles</t>
  </si>
  <si>
    <t xml:space="preserve">docupace.com</t>
  </si>
  <si>
    <t xml:space="preserve">AI document processing for advisor workflows</t>
  </si>
  <si>
    <t xml:space="preserve">Acquired InvestEdge; new CEO 2025</t>
  </si>
  <si>
    <t xml:space="preserve">https://www.gencap.com/news/</t>
  </si>
  <si>
    <t xml:space="preserve">Fusion Risk Management</t>
  </si>
  <si>
    <t xml:space="preserve">Operational resilience software</t>
  </si>
  <si>
    <t xml:space="preserve">fusionrm.com</t>
  </si>
  <si>
    <t xml:space="preserve">Michael Campbell</t>
  </si>
  <si>
    <t xml:space="preserve">AI-driven resilience insights</t>
  </si>
  <si>
    <t xml:space="preserve">Vista Endeavor fund; band est.</t>
  </si>
  <si>
    <t xml:space="preserve">Hueman People Solutions</t>
  </si>
  <si>
    <t xml:space="preserve">RPO/staffing</t>
  </si>
  <si>
    <t xml:space="preserve">Jacksonville</t>
  </si>
  <si>
    <t xml:space="preserve">hueman.com</t>
  </si>
  <si>
    <t xml:space="preserve">Shore Capital Partners</t>
  </si>
  <si>
    <t xml:space="preserve">Dwight Cooper</t>
  </si>
  <si>
    <t xml:space="preserve">AI recruiting tools in RPO delivery</t>
  </si>
  <si>
    <t xml:space="preserve">Inc. 5000 2026 honoree; band est.</t>
  </si>
  <si>
    <t xml:space="preserve">https://www.citybiz.co/article/889044/shore-capital-places-24-portfolio-companies-on-2026-inc-5000/</t>
  </si>
  <si>
    <t xml:space="preserve">Ncontracts</t>
  </si>
  <si>
    <t xml:space="preserve">GRC software for banks</t>
  </si>
  <si>
    <t xml:space="preserve">Brentwood</t>
  </si>
  <si>
    <t xml:space="preserve">ncontracts.com</t>
  </si>
  <si>
    <t xml:space="preserve">Michael Berman</t>
  </si>
  <si>
    <t xml:space="preserve">AI-assisted compliance features</t>
  </si>
  <si>
    <t xml:space="preserve">Gryphon 2020</t>
  </si>
  <si>
    <t xml:space="preserve">Trinamix</t>
  </si>
  <si>
    <t xml:space="preserve">Oracle cloud consultancy</t>
  </si>
  <si>
    <t xml:space="preserve">Pleasanton</t>
  </si>
  <si>
    <t xml:space="preserve">trinamix.com</t>
  </si>
  <si>
    <t xml:space="preserve">COO; Chief Delivery Officer; VP Consulting</t>
  </si>
  <si>
    <t xml:space="preserve">Oracle AI/SCM consulting</t>
  </si>
  <si>
    <t xml:space="preserve">AEA Enterprise fund; band est.</t>
  </si>
  <si>
    <t xml:space="preserve">Michael Baker International</t>
  </si>
  <si>
    <t xml:space="preserve">engineering &amp; architecture</t>
  </si>
  <si>
    <t xml:space="preserve">mbakerintl.com</t>
  </si>
  <si>
    <t xml:space="preserve">DC Capital Partners</t>
  </si>
  <si>
    <t xml:space="preserve">Brian Lutes</t>
  </si>
  <si>
    <t xml:space="preserve">COO; CIO; VP Digital</t>
  </si>
  <si>
    <t xml:space="preserve">Investing in digital twin and AI-enabled asset management</t>
  </si>
  <si>
    <t xml:space="preserve">ENR 2026 Top 500 rank 28</t>
  </si>
  <si>
    <t xml:space="preserve">https://www.enr.com/toplists/2026-top-500-design-firms-1</t>
  </si>
  <si>
    <t xml:space="preserve">Pace Analytical Services</t>
  </si>
  <si>
    <t xml:space="preserve">environmental consulting</t>
  </si>
  <si>
    <t xml:space="preserve">pacelabs.com</t>
  </si>
  <si>
    <t xml:space="preserve">Eric Roman</t>
  </si>
  <si>
    <t xml:space="preserve">COO; CIO; VP Laboratory Operations</t>
  </si>
  <si>
    <t xml:space="preserve">Lab automation and LIMS data initiatives</t>
  </si>
  <si>
    <t xml:space="preserve">Environmental testing labs; band estimated</t>
  </si>
  <si>
    <t xml:space="preserve">https://www.pacelabs.com</t>
  </si>
  <si>
    <t xml:space="preserve">TaskUs</t>
  </si>
  <si>
    <t xml:space="preserve">BPO &amp; customer experience outsourcing</t>
  </si>
  <si>
    <t xml:space="preserve">New Braunfels</t>
  </si>
  <si>
    <t xml:space="preserve">taskus.com</t>
  </si>
  <si>
    <t xml:space="preserve">Bryce Maddock</t>
  </si>
  <si>
    <t xml:space="preserve">COO; CIO; Chief AI Officer</t>
  </si>
  <si>
    <t xml:space="preserve">AI services and data labeling business line</t>
  </si>
  <si>
    <t xml:space="preserve">2024 revenue about $995M; taken private by Blackstone and founders 2025</t>
  </si>
  <si>
    <t xml:space="preserve">https://www.taskus.com</t>
  </si>
  <si>
    <t xml:space="preserve">UES</t>
  </si>
  <si>
    <t xml:space="preserve">Orlando</t>
  </si>
  <si>
    <t xml:space="preserve">teamues.com</t>
  </si>
  <si>
    <t xml:space="preserve">BDT &amp; MSD Partners</t>
  </si>
  <si>
    <t xml:space="preserve">Gary Hutchinson</t>
  </si>
  <si>
    <t xml:space="preserve">Rapid roll-up of geotechnical and materials testing firms</t>
  </si>
  <si>
    <t xml:space="preserve">ENR 2026 Top 500 rank 39</t>
  </si>
  <si>
    <t xml:space="preserve">Woolpert</t>
  </si>
  <si>
    <t xml:space="preserve">Dayton</t>
  </si>
  <si>
    <t xml:space="preserve">woolpert.com</t>
  </si>
  <si>
    <t xml:space="preserve">Long Point Capital</t>
  </si>
  <si>
    <t xml:space="preserve">Neil Churman</t>
  </si>
  <si>
    <t xml:space="preserve">Geospatial AI and cloud data platform work</t>
  </si>
  <si>
    <t xml:space="preserve">ENR 2026 Top 500 rank 36</t>
  </si>
  <si>
    <t xml:space="preserve">Ardurra Group</t>
  </si>
  <si>
    <t xml:space="preserve">ardurra.com</t>
  </si>
  <si>
    <t xml:space="preserve">Littlejohn &amp; Co.</t>
  </si>
  <si>
    <t xml:space="preserve">Ernesto Aguilar</t>
  </si>
  <si>
    <t xml:space="preserve">Acquisitive PE platform integrating many regional firms</t>
  </si>
  <si>
    <t xml:space="preserve">ENR 2026 Top 500 rank 48</t>
  </si>
  <si>
    <t xml:space="preserve">Businessolver</t>
  </si>
  <si>
    <t xml:space="preserve">HR &amp; benefits outsourcing</t>
  </si>
  <si>
    <t xml:space="preserve">West Des Moines</t>
  </si>
  <si>
    <t xml:space="preserve">businessolver.com</t>
  </si>
  <si>
    <t xml:space="preserve">Warburg Pincus; Stone Point Capital</t>
  </si>
  <si>
    <t xml:space="preserve">Jon Shanahan</t>
  </si>
  <si>
    <t xml:space="preserve">Sofia AI virtual benefits assistant</t>
  </si>
  <si>
    <t xml:space="preserve">Benefits administration SaaS and services; band estimated</t>
  </si>
  <si>
    <t xml:space="preserve">https://www.businessolver.com</t>
  </si>
  <si>
    <t xml:space="preserve">Cielo</t>
  </si>
  <si>
    <t xml:space="preserve">staffing &amp; recruiting</t>
  </si>
  <si>
    <t xml:space="preserve">Brookfield</t>
  </si>
  <si>
    <t xml:space="preserve">cielotalent.com</t>
  </si>
  <si>
    <t xml:space="preserve">Marissa Geist</t>
  </si>
  <si>
    <t xml:space="preserve">COO; CIO; Chief Technology Officer</t>
  </si>
  <si>
    <t xml:space="preserve">Cielo Digital Accelerators with AI sourcing</t>
  </si>
  <si>
    <t xml:space="preserve">Largest US RPO provider; band estimated</t>
  </si>
  <si>
    <t xml:space="preserve">https://www.cielotalent.com</t>
  </si>
  <si>
    <t xml:space="preserve">ENTRUST Solutions Group</t>
  </si>
  <si>
    <t xml:space="preserve">Lisle</t>
  </si>
  <si>
    <t xml:space="preserve">entrustsol.com</t>
  </si>
  <si>
    <t xml:space="preserve">Kohlberg &amp; Co.</t>
  </si>
  <si>
    <t xml:space="preserve">Daniel Kavanaugh</t>
  </si>
  <si>
    <t xml:space="preserve">Utility asset data and GIS automation</t>
  </si>
  <si>
    <t xml:space="preserve">ENR 2026 Top 500 rank 58</t>
  </si>
  <si>
    <t xml:space="preserve">Startek</t>
  </si>
  <si>
    <t xml:space="preserve">startek.com</t>
  </si>
  <si>
    <t xml:space="preserve">Capital Square Partners</t>
  </si>
  <si>
    <t xml:space="preserve">Bharat Rao</t>
  </si>
  <si>
    <t xml:space="preserve">Gen AI CX solutions marketing</t>
  </si>
  <si>
    <t xml:space="preserve">Taken private 2024; last public revenue about $380M</t>
  </si>
  <si>
    <t xml:space="preserve">https://www.startek.com</t>
  </si>
  <si>
    <t xml:space="preserve">Trinity Consultants</t>
  </si>
  <si>
    <t xml:space="preserve">trinityconsultants.com</t>
  </si>
  <si>
    <t xml:space="preserve">Oak Hill Capital</t>
  </si>
  <si>
    <t xml:space="preserve">Kris Hoag</t>
  </si>
  <si>
    <t xml:space="preserve">Air quality modeling software business (BREEZE)</t>
  </si>
  <si>
    <t xml:space="preserve">Revenue band estimated from headcount; PE-owned since 2021</t>
  </si>
  <si>
    <t xml:space="preserve">https://www.trinityconsultants.com</t>
  </si>
  <si>
    <t xml:space="preserve">Accurate Group</t>
  </si>
  <si>
    <t xml:space="preserve">appraisal &amp; valuation</t>
  </si>
  <si>
    <t xml:space="preserve">Independence</t>
  </si>
  <si>
    <t xml:space="preserve">accurategroup.com</t>
  </si>
  <si>
    <t xml:space="preserve">Aquiline Capital Partners</t>
  </si>
  <si>
    <t xml:space="preserve">Paul Doman</t>
  </si>
  <si>
    <t xml:space="preserve">Tech-enabled appraisal and title workflow</t>
  </si>
  <si>
    <t xml:space="preserve">Band estimated</t>
  </si>
  <si>
    <t xml:space="preserve">https://www.accurategroup.com</t>
  </si>
  <si>
    <t xml:space="preserve">Class Valuation</t>
  </si>
  <si>
    <t xml:space="preserve">classvaluation.com</t>
  </si>
  <si>
    <t xml:space="preserve">John Fraas</t>
  </si>
  <si>
    <t xml:space="preserve">Digital appraisal and 3D property scanning tech</t>
  </si>
  <si>
    <t xml:space="preserve">Appraisal management company; band estimated</t>
  </si>
  <si>
    <t xml:space="preserve">https://www.classvaluation.com</t>
  </si>
  <si>
    <t xml:space="preserve">1-800 Contacts</t>
  </si>
  <si>
    <t xml:space="preserve">online contact lens retailer</t>
  </si>
  <si>
    <t xml:space="preserve">Draper</t>
  </si>
  <si>
    <t xml:space="preserve">1800contacts.com</t>
  </si>
  <si>
    <t xml:space="preserve">KKR / Leonard Green &amp; Partners</t>
  </si>
  <si>
    <t xml:space="preserve">John Graham</t>
  </si>
  <si>
    <t xml:space="preserve">CTO; COO; VP Customer Experience; VP Data</t>
  </si>
  <si>
    <t xml:space="preserve">Online vision exam technology</t>
  </si>
  <si>
    <t xml:space="preserve">KKR acquired 2020; LGP lists as portfolio</t>
  </si>
  <si>
    <t xml:space="preserve">https://www.leonardgreen.com/portfolio/</t>
  </si>
  <si>
    <t xml:space="preserve">Backcountry</t>
  </si>
  <si>
    <t xml:space="preserve">online outdoor gear retailer</t>
  </si>
  <si>
    <t xml:space="preserve">Park City</t>
  </si>
  <si>
    <t xml:space="preserve">backcountry.com</t>
  </si>
  <si>
    <t xml:space="preserve">TSG Consumer Partners</t>
  </si>
  <si>
    <t xml:space="preserve">Melanie Cox</t>
  </si>
  <si>
    <t xml:space="preserve">CTO; COO; VP Ecommerce; VP Merchandising</t>
  </si>
  <si>
    <t xml:space="preserve">Gearhead expert service model and personalization</t>
  </si>
  <si>
    <t xml:space="preserve">Also Competitive Cyclist and Steep &amp; Cheap</t>
  </si>
  <si>
    <t xml:space="preserve">https://portfolio.tsgconsumer.com/</t>
  </si>
  <si>
    <t xml:space="preserve">Cooper's Hawk Winery &amp; Restaurants</t>
  </si>
  <si>
    <t xml:space="preserve">wine club and restaurant chain</t>
  </si>
  <si>
    <t xml:space="preserve">chwinery.com</t>
  </si>
  <si>
    <t xml:space="preserve">Ares Management</t>
  </si>
  <si>
    <t xml:space="preserve">Tim McEnery</t>
  </si>
  <si>
    <t xml:space="preserve">CIO; COO; VP Wine Club; CMO</t>
  </si>
  <si>
    <t xml:space="preserve">Largest wine club in US; membership data asset</t>
  </si>
  <si>
    <t xml:space="preserve">Consumer membership model</t>
  </si>
  <si>
    <t xml:space="preserve">https://chwinery.com</t>
  </si>
  <si>
    <t xml:space="preserve">Hungryroot</t>
  </si>
  <si>
    <t xml:space="preserve">AI-driven grocery delivery</t>
  </si>
  <si>
    <t xml:space="preserve">hungryroot.com</t>
  </si>
  <si>
    <t xml:space="preserve">L Catterton</t>
  </si>
  <si>
    <t xml:space="preserve">Ben McKean</t>
  </si>
  <si>
    <t xml:space="preserve">CTO; COO; VP Data Science; VP Operations</t>
  </si>
  <si>
    <t xml:space="preserve">AI recommendation engine is core product pitch</t>
  </si>
  <si>
    <t xml:space="preserve">Profitable; reported $500M+ revenue</t>
  </si>
  <si>
    <t xml:space="preserve">https://www.lcatterton.com/investments.html</t>
  </si>
  <si>
    <t xml:space="preserve">Purpose Brands (Anytime Fitness / Orangetheory)</t>
  </si>
  <si>
    <t xml:space="preserve">fitness franchisor</t>
  </si>
  <si>
    <t xml:space="preserve">Woodbury</t>
  </si>
  <si>
    <t xml:space="preserve">purposebrands.com</t>
  </si>
  <si>
    <t xml:space="preserve">Roark Capital</t>
  </si>
  <si>
    <t xml:space="preserve">Chuck Runyon</t>
  </si>
  <si>
    <t xml:space="preserve">CIO; COO; VP Franchise; CMO</t>
  </si>
  <si>
    <t xml:space="preserve">Consolidating tech stack post-merger</t>
  </si>
  <si>
    <t xml:space="preserve">Formed by 2024 merger of Self Esteem Brands and Orangetheory</t>
  </si>
  <si>
    <t xml:space="preserve">https://purposebrands.com</t>
  </si>
  <si>
    <t xml:space="preserve">Function of Beauty</t>
  </si>
  <si>
    <t xml:space="preserve">personalized haircare DTC</t>
  </si>
  <si>
    <t xml:space="preserve">functionofbeauty.com</t>
  </si>
  <si>
    <t xml:space="preserve">COO; CTO; VP Ecommerce; VP Retail Sales</t>
  </si>
  <si>
    <t xml:space="preserve">Algorithmic personalization engine</t>
  </si>
  <si>
    <t xml:space="preserve">Expanded to Target</t>
  </si>
  <si>
    <t xml:space="preserve">Hanna Andersson</t>
  </si>
  <si>
    <t xml:space="preserve">children's apparel DTC</t>
  </si>
  <si>
    <t xml:space="preserve">OR</t>
  </si>
  <si>
    <t xml:space="preserve">hannaandersson.com</t>
  </si>
  <si>
    <t xml:space="preserve">Aimée Lapic</t>
  </si>
  <si>
    <t xml:space="preserve">COO; CTO; VP Ecommerce; CMO</t>
  </si>
  <si>
    <t xml:space="preserve">Fully digital since 2020</t>
  </si>
  <si>
    <t xml:space="preserve">Closed stores to go DTC-only</t>
  </si>
  <si>
    <t xml:space="preserve">https://hannaandersson.com</t>
  </si>
  <si>
    <t xml:space="preserve">Tonal</t>
  </si>
  <si>
    <t xml:space="preserve">connected strength fitness DTC</t>
  </si>
  <si>
    <t xml:space="preserve">tonal.com</t>
  </si>
  <si>
    <t xml:space="preserve">Krystal Zell</t>
  </si>
  <si>
    <t xml:space="preserve">CTO; COO; VP Ecommerce; VP Hardware</t>
  </si>
  <si>
    <t xml:space="preserve">AI-driven digital weight system</t>
  </si>
  <si>
    <t xml:space="preserve">Launched Tonal 2 in 2024</t>
  </si>
  <si>
    <t xml:space="preserve">Anaplan</t>
  </si>
  <si>
    <t xml:space="preserve">connected planning / FP&amp;A</t>
  </si>
  <si>
    <t xml:space="preserve">anaplan.com</t>
  </si>
  <si>
    <t xml:space="preserve">Bill Schuh</t>
  </si>
  <si>
    <t xml:space="preserve">CPO; CTO; VP Engineering</t>
  </si>
  <si>
    <t xml:space="preserve">PlanIQ and Anaplan Intelligence GenAI</t>
  </si>
  <si>
    <t xml:space="preserve">HQ relocated to Miami</t>
  </si>
  <si>
    <t xml:space="preserve">https://www.thomabravo.com/portfolio</t>
  </si>
  <si>
    <t xml:space="preserve">Applied Systems</t>
  </si>
  <si>
    <t xml:space="preserve">insurance agency management</t>
  </si>
  <si>
    <t xml:space="preserve">University Park</t>
  </si>
  <si>
    <t xml:space="preserve">appliedsystems.com</t>
  </si>
  <si>
    <t xml:space="preserve">Hellman &amp; Friedman; Stone Point Capital</t>
  </si>
  <si>
    <t xml:space="preserve">Taylor Rhodes</t>
  </si>
  <si>
    <t xml:space="preserve">Applied Epic AI features</t>
  </si>
  <si>
    <t xml:space="preserve">Insurtech</t>
  </si>
  <si>
    <t xml:space="preserve">https://www.appliedsystems.com</t>
  </si>
  <si>
    <t xml:space="preserve">Aptean</t>
  </si>
  <si>
    <t xml:space="preserve">vertical ERP &amp; supply chain</t>
  </si>
  <si>
    <t xml:space="preserve">Alpharetta</t>
  </si>
  <si>
    <t xml:space="preserve">aptean.com</t>
  </si>
  <si>
    <t xml:space="preserve">TA Associates; Vista Equity Partners; Insight Partners; Charlesbank</t>
  </si>
  <si>
    <t xml:space="preserve">TVN Reddy</t>
  </si>
  <si>
    <t xml:space="preserve">CPO; CTO; VP Engineering; COO</t>
  </si>
  <si>
    <t xml:space="preserve">Aptean AI roadmap; acquired Logility 2025</t>
  </si>
  <si>
    <t xml:space="preserve">Roll-up of niche vertical software</t>
  </si>
  <si>
    <t xml:space="preserve">https://www.aptean.com</t>
  </si>
  <si>
    <t xml:space="preserve">Availity</t>
  </si>
  <si>
    <t xml:space="preserve">healthcare clearinghouse network</t>
  </si>
  <si>
    <t xml:space="preserve">availity.com</t>
  </si>
  <si>
    <t xml:space="preserve">Novo Holdings</t>
  </si>
  <si>
    <t xml:space="preserve">Russ Thomas</t>
  </si>
  <si>
    <t xml:space="preserve">Availity AI-powered prior auth</t>
  </si>
  <si>
    <t xml:space="preserve">https://www.availity.com</t>
  </si>
  <si>
    <t xml:space="preserve">Avalara</t>
  </si>
  <si>
    <t xml:space="preserve">tax compliance software</t>
  </si>
  <si>
    <t xml:space="preserve">avalara.com</t>
  </si>
  <si>
    <t xml:space="preserve">Scott McFarlane</t>
  </si>
  <si>
    <t xml:space="preserve">Avi AI tax assistant</t>
  </si>
  <si>
    <t xml:space="preserve">Take-private 2022 for $8.4B</t>
  </si>
  <si>
    <t xml:space="preserve">https://www.vistaequitypartners.com/about/companies/</t>
  </si>
  <si>
    <t xml:space="preserve">Bottomline Technologies</t>
  </si>
  <si>
    <t xml:space="preserve">B2B payments &amp; fintech software</t>
  </si>
  <si>
    <t xml:space="preserve">bottomline.com</t>
  </si>
  <si>
    <t xml:space="preserve">Craig Saks</t>
  </si>
  <si>
    <t xml:space="preserve">AI fraud detection and payment automation</t>
  </si>
  <si>
    <t xml:space="preserve">Take-private 2022</t>
  </si>
  <si>
    <t xml:space="preserve">Cision</t>
  </si>
  <si>
    <t xml:space="preserve">PR &amp; media intelligence</t>
  </si>
  <si>
    <t xml:space="preserve">cision.com</t>
  </si>
  <si>
    <t xml:space="preserve">Platinum Equity</t>
  </si>
  <si>
    <t xml:space="preserve">Cali Tran</t>
  </si>
  <si>
    <t xml:space="preserve">CPO; CTO; COO</t>
  </si>
  <si>
    <t xml:space="preserve">CisionOne AI</t>
  </si>
  <si>
    <t xml:space="preserve">Martech; owns Brandwatch</t>
  </si>
  <si>
    <t xml:space="preserve">https://www.cision.com</t>
  </si>
  <si>
    <t xml:space="preserve">ConnectWise</t>
  </si>
  <si>
    <t xml:space="preserve">MSP business management software</t>
  </si>
  <si>
    <t xml:space="preserve">connectwise.com</t>
  </si>
  <si>
    <t xml:space="preserve">Manny Rivelo</t>
  </si>
  <si>
    <t xml:space="preserve">ConnectWise Sidekick AI companion</t>
  </si>
  <si>
    <t xml:space="preserve">Serves 45k+ MSPs</t>
  </si>
  <si>
    <t xml:space="preserve">Coupa Software</t>
  </si>
  <si>
    <t xml:space="preserve">business spend management</t>
  </si>
  <si>
    <t xml:space="preserve">San Mateo</t>
  </si>
  <si>
    <t xml:space="preserve">coupa.com</t>
  </si>
  <si>
    <t xml:space="preserve">Leagh Turner</t>
  </si>
  <si>
    <t xml:space="preserve">Coupa Navi AI agents launched 2025</t>
  </si>
  <si>
    <t xml:space="preserve">Take-private 2023 for $8B</t>
  </si>
  <si>
    <t xml:space="preserve">EAB</t>
  </si>
  <si>
    <t xml:space="preserve">higher-ed technology &amp; research</t>
  </si>
  <si>
    <t xml:space="preserve">eab.com</t>
  </si>
  <si>
    <t xml:space="preserve">David Felsenthal</t>
  </si>
  <si>
    <t xml:space="preserve">Navigate360 AI advising</t>
  </si>
  <si>
    <t xml:space="preserve">Tech-enabled services plus SaaS</t>
  </si>
  <si>
    <t xml:space="preserve">https://www.eab.com</t>
  </si>
  <si>
    <t xml:space="preserve">ECI Software Solutions</t>
  </si>
  <si>
    <t xml:space="preserve">SMB vertical ERP</t>
  </si>
  <si>
    <t xml:space="preserve">Fort Worth</t>
  </si>
  <si>
    <t xml:space="preserve">ecisolutions.com</t>
  </si>
  <si>
    <t xml:space="preserve">Leonard Green &amp; Partners; Apax</t>
  </si>
  <si>
    <t xml:space="preserve">Trevor Gruenewald</t>
  </si>
  <si>
    <t xml:space="preserve">ECI AI across product lines</t>
  </si>
  <si>
    <t xml:space="preserve">https://www.ecisolutions.com</t>
  </si>
  <si>
    <t xml:space="preserve">Ellucian</t>
  </si>
  <si>
    <t xml:space="preserve">higher-ed ERP &amp; SIS</t>
  </si>
  <si>
    <t xml:space="preserve">Reston</t>
  </si>
  <si>
    <t xml:space="preserve">ellucian.com</t>
  </si>
  <si>
    <t xml:space="preserve">Blackstone; Vista Equity Partners</t>
  </si>
  <si>
    <t xml:space="preserve">Laura Ipsen</t>
  </si>
  <si>
    <t xml:space="preserve">Ellucian Journey AI</t>
  </si>
  <si>
    <t xml:space="preserve">Vista co-investor</t>
  </si>
  <si>
    <t xml:space="preserve">https://www.ellucian.com</t>
  </si>
  <si>
    <t xml:space="preserve">Inovalon</t>
  </si>
  <si>
    <t xml:space="preserve">healthcare cloud analytics</t>
  </si>
  <si>
    <t xml:space="preserve">Bowie</t>
  </si>
  <si>
    <t xml:space="preserve">inovalon.com</t>
  </si>
  <si>
    <t xml:space="preserve">Nordic Capital; Insight Partners</t>
  </si>
  <si>
    <t xml:space="preserve">Keith Dunleavy</t>
  </si>
  <si>
    <t xml:space="preserve">Inovalon ONE AI</t>
  </si>
  <si>
    <t xml:space="preserve">Insight co-investor</t>
  </si>
  <si>
    <t xml:space="preserve">https://www.inovalon.com</t>
  </si>
  <si>
    <t xml:space="preserve">Instructure</t>
  </si>
  <si>
    <t xml:space="preserve">LMS (Canvas)</t>
  </si>
  <si>
    <t xml:space="preserve">Salt Lake City</t>
  </si>
  <si>
    <t xml:space="preserve">instructure.com</t>
  </si>
  <si>
    <t xml:space="preserve">Steve Daly</t>
  </si>
  <si>
    <t xml:space="preserve">IgniteAI and OpenAI partnership</t>
  </si>
  <si>
    <t xml:space="preserve">$4.8B take-private 2024</t>
  </si>
  <si>
    <t xml:space="preserve">https://www.instructure.com</t>
  </si>
  <si>
    <t xml:space="preserve">Integral Ad Science</t>
  </si>
  <si>
    <t xml:space="preserve">ad verification</t>
  </si>
  <si>
    <t xml:space="preserve">integralads.com</t>
  </si>
  <si>
    <t xml:space="preserve">Novacap</t>
  </si>
  <si>
    <t xml:space="preserve">Lisa Utzschneider</t>
  </si>
  <si>
    <t xml:space="preserve">AI-driven brand safety</t>
  </si>
  <si>
    <t xml:space="preserve">Take-private 2025; martech</t>
  </si>
  <si>
    <t xml:space="preserve">https://www.integralads.com</t>
  </si>
  <si>
    <t xml:space="preserve">Jamf</t>
  </si>
  <si>
    <t xml:space="preserve">Apple device management</t>
  </si>
  <si>
    <t xml:space="preserve">jamf.com</t>
  </si>
  <si>
    <t xml:space="preserve">Francisco Partners</t>
  </si>
  <si>
    <t xml:space="preserve">John Strosahl</t>
  </si>
  <si>
    <t xml:space="preserve">Jamf AI Assistant</t>
  </si>
  <si>
    <t xml:space="preserve">$2.2B take-private announced Oct 2025</t>
  </si>
  <si>
    <t xml:space="preserve">https://www.franciscopartners.com/investments</t>
  </si>
  <si>
    <t xml:space="preserve">Medallia</t>
  </si>
  <si>
    <t xml:space="preserve">customer experience management</t>
  </si>
  <si>
    <t xml:space="preserve">medallia.com</t>
  </si>
  <si>
    <t xml:space="preserve">Mark Bishof</t>
  </si>
  <si>
    <t xml:space="preserve">Medallia AI agents for experience orchestration</t>
  </si>
  <si>
    <t xml:space="preserve">Vertical CX suites for hospitality and retail</t>
  </si>
  <si>
    <t xml:space="preserve">Merative</t>
  </si>
  <si>
    <t xml:space="preserve">health data &amp; analytics</t>
  </si>
  <si>
    <t xml:space="preserve">merative.com</t>
  </si>
  <si>
    <t xml:space="preserve">Gerry McCarthy</t>
  </si>
  <si>
    <t xml:space="preserve">Clinical decision support AI</t>
  </si>
  <si>
    <t xml:space="preserve">Former IBM Watson Health</t>
  </si>
  <si>
    <t xml:space="preserve">https://newsroom.ibm.com/2022-01-21-Francisco-Partners-to-Acquire-IBMs-Healthcare-Data-and-Analytics-Assets</t>
  </si>
  <si>
    <t xml:space="preserve">Netsmart Technologies</t>
  </si>
  <si>
    <t xml:space="preserve">behavioral &amp; human services EHR</t>
  </si>
  <si>
    <t xml:space="preserve">ntst.com</t>
  </si>
  <si>
    <t xml:space="preserve">GI Partners; TA Associates</t>
  </si>
  <si>
    <t xml:space="preserve">Mike Valentine</t>
  </si>
  <si>
    <t xml:space="preserve">Bells AI documentation</t>
  </si>
  <si>
    <t xml:space="preserve">https://www.gipartners.com/private-equity/portfolio/netsmart</t>
  </si>
  <si>
    <t xml:space="preserve">NextGen Healthcare</t>
  </si>
  <si>
    <t xml:space="preserve">ambulatory EHR &amp; RCM</t>
  </si>
  <si>
    <t xml:space="preserve">nextgen.com</t>
  </si>
  <si>
    <t xml:space="preserve">David Sides</t>
  </si>
  <si>
    <t xml:space="preserve">NextGen Ambient Assist AI scribe</t>
  </si>
  <si>
    <t xml:space="preserve">$1.8B take-private 2023</t>
  </si>
  <si>
    <t xml:space="preserve">PowerSchool</t>
  </si>
  <si>
    <t xml:space="preserve">K-12 SIS &amp; edtech</t>
  </si>
  <si>
    <t xml:space="preserve">Folsom</t>
  </si>
  <si>
    <t xml:space="preserve">powerschool.com</t>
  </si>
  <si>
    <t xml:space="preserve">Hardeep Gulati</t>
  </si>
  <si>
    <t xml:space="preserve">PowerBuddy AI</t>
  </si>
  <si>
    <t xml:space="preserve">$5.6B take-private 2024</t>
  </si>
  <si>
    <t xml:space="preserve">https://www.powerschool.com</t>
  </si>
  <si>
    <t xml:space="preserve">Sovos</t>
  </si>
  <si>
    <t xml:space="preserve">tax compliance &amp; e-invoicing</t>
  </si>
  <si>
    <t xml:space="preserve">sovos.com</t>
  </si>
  <si>
    <t xml:space="preserve">Hg; TA Associates</t>
  </si>
  <si>
    <t xml:space="preserve">Kevin Akeroyd</t>
  </si>
  <si>
    <t xml:space="preserve">Sovi AI tax assistant</t>
  </si>
  <si>
    <t xml:space="preserve">https://www.sovos.com</t>
  </si>
  <si>
    <t xml:space="preserve">Verint Systems</t>
  </si>
  <si>
    <t xml:space="preserve">CX automation / contact center</t>
  </si>
  <si>
    <t xml:space="preserve">Melville</t>
  </si>
  <si>
    <t xml:space="preserve">verint.com</t>
  </si>
  <si>
    <t xml:space="preserve">Dan Bodner</t>
  </si>
  <si>
    <t xml:space="preserve">Positioned as CX Automation with AI bots</t>
  </si>
  <si>
    <t xml:space="preserve">$2B take-private by Thoma Bravo 2025</t>
  </si>
  <si>
    <t xml:space="preserve">https://www.staffingindustry.com/news/global-daily-news/thoma-bravo-makes-deals-to-acquire-dayforce-for-123b-verint-systems-for-2b</t>
  </si>
  <si>
    <t xml:space="preserve">WellSky</t>
  </si>
  <si>
    <t xml:space="preserve">post-acute &amp; community care</t>
  </si>
  <si>
    <t xml:space="preserve">wellsky.com</t>
  </si>
  <si>
    <t xml:space="preserve">TPG; Leonard Green &amp; Partners</t>
  </si>
  <si>
    <t xml:space="preserve">Bill Miller</t>
  </si>
  <si>
    <t xml:space="preserve">WellSky AI care insights</t>
  </si>
  <si>
    <t xml:space="preserve">https://wellsky.com</t>
  </si>
  <si>
    <t xml:space="preserve">isolved</t>
  </si>
  <si>
    <t xml:space="preserve">HCM for SMB</t>
  </si>
  <si>
    <t xml:space="preserve">isolvedhcm.com</t>
  </si>
  <si>
    <t xml:space="preserve">Accel-KKR</t>
  </si>
  <si>
    <t xml:space="preserve">Mark Duffell</t>
  </si>
  <si>
    <t xml:space="preserve">isolved People Heroes AI</t>
  </si>
  <si>
    <t xml:space="preserve">HR tech</t>
  </si>
  <si>
    <t xml:space="preserve">https://www.isolvedhcm.com</t>
  </si>
  <si>
    <t xml:space="preserve">Acquia</t>
  </si>
  <si>
    <t xml:space="preserve">digital experience platform</t>
  </si>
  <si>
    <t xml:space="preserve">acquia.com</t>
  </si>
  <si>
    <t xml:space="preserve">Steve Reny</t>
  </si>
  <si>
    <t xml:space="preserve">Acquia AI Composer</t>
  </si>
  <si>
    <t xml:space="preserve">Drupal-based DXP</t>
  </si>
  <si>
    <t xml:space="preserve">AvidXchange</t>
  </si>
  <si>
    <t xml:space="preserve">AP automation &amp; payments</t>
  </si>
  <si>
    <t xml:space="preserve">avidxchange.com</t>
  </si>
  <si>
    <t xml:space="preserve">Michael Praeger</t>
  </si>
  <si>
    <t xml:space="preserve">AI-driven invoice capture</t>
  </si>
  <si>
    <t xml:space="preserve">$2.2B take-private by TPG and Corpay 2025</t>
  </si>
  <si>
    <t xml:space="preserve">https://www.avidxchange.com</t>
  </si>
  <si>
    <t xml:space="preserve">Bazaarvoice</t>
  </si>
  <si>
    <t xml:space="preserve">UGC &amp; reviews platform</t>
  </si>
  <si>
    <t xml:space="preserve">bazaarvoice.com</t>
  </si>
  <si>
    <t xml:space="preserve">Thomas H. Lee Partners</t>
  </si>
  <si>
    <t xml:space="preserve">Keith Nealon</t>
  </si>
  <si>
    <t xml:space="preserve">HarmonyAI</t>
  </si>
  <si>
    <t xml:space="preserve">Martech</t>
  </si>
  <si>
    <t xml:space="preserve">https://www.bazaarvoice.com</t>
  </si>
  <si>
    <t xml:space="preserve">Boomi</t>
  </si>
  <si>
    <t xml:space="preserve">iPaaS integration</t>
  </si>
  <si>
    <t xml:space="preserve">Chesterbrook</t>
  </si>
  <si>
    <t xml:space="preserve">boomi.com</t>
  </si>
  <si>
    <t xml:space="preserve">Francisco Partners; TPG</t>
  </si>
  <si>
    <t xml:space="preserve">Steve Lucas</t>
  </si>
  <si>
    <t xml:space="preserve">Boomi Agentstudio and Agent Control Tower</t>
  </si>
  <si>
    <t xml:space="preserve">$4B carve-out from Dell 2021</t>
  </si>
  <si>
    <t xml:space="preserve">Bullhorn</t>
  </si>
  <si>
    <t xml:space="preserve">staffing &amp; recruiting software</t>
  </si>
  <si>
    <t xml:space="preserve">bullhorn.com</t>
  </si>
  <si>
    <t xml:space="preserve">Stone Point Capital; Insight Partners</t>
  </si>
  <si>
    <t xml:space="preserve">Art Papas</t>
  </si>
  <si>
    <t xml:space="preserve">Bullhorn Amplify AI agents</t>
  </si>
  <si>
    <t xml:space="preserve">https://www.bullhorn.com</t>
  </si>
  <si>
    <t xml:space="preserve">CentralSquare Technologies</t>
  </si>
  <si>
    <t xml:space="preserve">public safety &amp; govtech software</t>
  </si>
  <si>
    <t xml:space="preserve">Lake Mary</t>
  </si>
  <si>
    <t xml:space="preserve">centralsquare.com</t>
  </si>
  <si>
    <t xml:space="preserve">Bain Capital; Vista Equity Partners</t>
  </si>
  <si>
    <t xml:space="preserve">AI-enabled CAD and 911 products</t>
  </si>
  <si>
    <t xml:space="preserve">https://www.centralsquare.com</t>
  </si>
  <si>
    <t xml:space="preserve">Constant Contact</t>
  </si>
  <si>
    <t xml:space="preserve">SMB email marketing</t>
  </si>
  <si>
    <t xml:space="preserve">constantcontact.com</t>
  </si>
  <si>
    <t xml:space="preserve">Clearlake Capital; Siris Capital</t>
  </si>
  <si>
    <t xml:space="preserve">Frank Vella</t>
  </si>
  <si>
    <t xml:space="preserve">AI content generator</t>
  </si>
  <si>
    <t xml:space="preserve">https://www.constantcontact.com</t>
  </si>
  <si>
    <t xml:space="preserve">Duck Creek Technologies</t>
  </si>
  <si>
    <t xml:space="preserve">P&amp;C insurance core software</t>
  </si>
  <si>
    <t xml:space="preserve">duckcreek.com</t>
  </si>
  <si>
    <t xml:space="preserve">Mike Jackowski</t>
  </si>
  <si>
    <t xml:space="preserve">Duck Creek AI underwriting workbench</t>
  </si>
  <si>
    <t xml:space="preserve">Take-private 2023</t>
  </si>
  <si>
    <t xml:space="preserve">Emburse</t>
  </si>
  <si>
    <t xml:space="preserve">travel &amp; expense management</t>
  </si>
  <si>
    <t xml:space="preserve">emburse.com</t>
  </si>
  <si>
    <t xml:space="preserve">K1 Investment Management</t>
  </si>
  <si>
    <t xml:space="preserve">Marne Martin</t>
  </si>
  <si>
    <t xml:space="preserve">Emburse AI expense audit</t>
  </si>
  <si>
    <t xml:space="preserve">https://www.emburse.com</t>
  </si>
  <si>
    <t xml:space="preserve">Everbridge</t>
  </si>
  <si>
    <t xml:space="preserve">critical event management</t>
  </si>
  <si>
    <t xml:space="preserve">everbridge.com</t>
  </si>
  <si>
    <t xml:space="preserve">David Wagner</t>
  </si>
  <si>
    <t xml:space="preserve">Everbridge 360 AI risk intelligence</t>
  </si>
  <si>
    <t xml:space="preserve">Take-private 2024</t>
  </si>
  <si>
    <t xml:space="preserve">Granicus</t>
  </si>
  <si>
    <t xml:space="preserve">govtech CX &amp; communications</t>
  </si>
  <si>
    <t xml:space="preserve">granicus.com</t>
  </si>
  <si>
    <t xml:space="preserve">Vista Equity Partners; Harvest Partners</t>
  </si>
  <si>
    <t xml:space="preserve">Mark Hynes</t>
  </si>
  <si>
    <t xml:space="preserve">Granicus AI for public sector</t>
  </si>
  <si>
    <t xml:space="preserve">Greenway Health</t>
  </si>
  <si>
    <t xml:space="preserve">ambulatory EHR</t>
  </si>
  <si>
    <t xml:space="preserve">greenwayhealth.com</t>
  </si>
  <si>
    <t xml:space="preserve">Pratap Sarker</t>
  </si>
  <si>
    <t xml:space="preserve">Greenway ambient AI documentation</t>
  </si>
  <si>
    <t xml:space="preserve">Vista portfolio since 2013</t>
  </si>
  <si>
    <t xml:space="preserve">MeridianLink</t>
  </si>
  <si>
    <t xml:space="preserve">lending &amp; account opening software</t>
  </si>
  <si>
    <t xml:space="preserve">Costa Mesa</t>
  </si>
  <si>
    <t xml:space="preserve">meridianlink.com</t>
  </si>
  <si>
    <t xml:space="preserve">Centerbridge Partners</t>
  </si>
  <si>
    <t xml:space="preserve">Larry Katz</t>
  </si>
  <si>
    <t xml:space="preserve">MeridianLink AI decisioning</t>
  </si>
  <si>
    <t xml:space="preserve">$2B take-private 2025</t>
  </si>
  <si>
    <t xml:space="preserve">https://www.meridianlink.com</t>
  </si>
  <si>
    <t xml:space="preserve">Mindbody</t>
  </si>
  <si>
    <t xml:space="preserve">wellness business management</t>
  </si>
  <si>
    <t xml:space="preserve">San Luis Obispo</t>
  </si>
  <si>
    <t xml:space="preserve">mindbodyonline.com</t>
  </si>
  <si>
    <t xml:space="preserve">Fritz Lanman</t>
  </si>
  <si>
    <t xml:space="preserve">AI-driven marketing suite</t>
  </si>
  <si>
    <t xml:space="preserve">Owns ClassPass</t>
  </si>
  <si>
    <t xml:space="preserve">Olo</t>
  </si>
  <si>
    <t xml:space="preserve">restaurant ordering &amp; payments SaaS</t>
  </si>
  <si>
    <t xml:space="preserve">olo.com</t>
  </si>
  <si>
    <t xml:space="preserve">Noah Glass</t>
  </si>
  <si>
    <t xml:space="preserve">Olo Catering+ and AI guest data initiatives</t>
  </si>
  <si>
    <t xml:space="preserve">Taken private by Thoma Bravo Sept 2025 for $2.0B</t>
  </si>
  <si>
    <t xml:space="preserve">https://www.saasrise.com/blog/vertical-saas-ma-vc-report-2026</t>
  </si>
  <si>
    <t xml:space="preserve">Optimizely</t>
  </si>
  <si>
    <t xml:space="preserve">digital experience &amp; experimentation</t>
  </si>
  <si>
    <t xml:space="preserve">optimizely.com</t>
  </si>
  <si>
    <t xml:space="preserve">Insight Partners</t>
  </si>
  <si>
    <t xml:space="preserve">Alex Atzberger</t>
  </si>
  <si>
    <t xml:space="preserve">Opal AI agents</t>
  </si>
  <si>
    <t xml:space="preserve">Martech; formerly Episerver</t>
  </si>
  <si>
    <t xml:space="preserve">https://www.insightpartners.com/portfolio/</t>
  </si>
  <si>
    <t xml:space="preserve">PROS Holdings</t>
  </si>
  <si>
    <t xml:space="preserve">pricing &amp; CPQ software</t>
  </si>
  <si>
    <t xml:space="preserve">pros.com</t>
  </si>
  <si>
    <t xml:space="preserve">Jeff Cotten</t>
  </si>
  <si>
    <t xml:space="preserve">AI-driven pricing optimization core product</t>
  </si>
  <si>
    <t xml:space="preserve">$1.4B take-private by Thoma Bravo 2025</t>
  </si>
  <si>
    <t xml:space="preserve">https://www.cxtoday.com/crm/thoma-bravo-to-snap-up-pros-for-1-4bn-follow-up-its-verint-dayforce-acquisitions/</t>
  </si>
  <si>
    <t xml:space="preserve">Planview</t>
  </si>
  <si>
    <t xml:space="preserve">portfolio &amp; work management</t>
  </si>
  <si>
    <t xml:space="preserve">planview.com</t>
  </si>
  <si>
    <t xml:space="preserve">TPG; TA Associates</t>
  </si>
  <si>
    <t xml:space="preserve">Razat Gaurav</t>
  </si>
  <si>
    <t xml:space="preserve">Planview Copilot</t>
  </si>
  <si>
    <t xml:space="preserve">https://www.planview.com</t>
  </si>
  <si>
    <t xml:space="preserve">Pluralsight</t>
  </si>
  <si>
    <t xml:space="preserve">tech skills learning platform</t>
  </si>
  <si>
    <t xml:space="preserve">pluralsight.com</t>
  </si>
  <si>
    <t xml:space="preserve">Iris AI learning assistant</t>
  </si>
  <si>
    <t xml:space="preserve">Recapitalized 2024</t>
  </si>
  <si>
    <t xml:space="preserve">Renaissance Learning</t>
  </si>
  <si>
    <t xml:space="preserve">K-12 assessment &amp; edtech</t>
  </si>
  <si>
    <t xml:space="preserve">Bloomington</t>
  </si>
  <si>
    <t xml:space="preserve">renaissance.com</t>
  </si>
  <si>
    <t xml:space="preserve">Francisco Partners; Blackstone</t>
  </si>
  <si>
    <t xml:space="preserve">Chris Bauleke</t>
  </si>
  <si>
    <t xml:space="preserve">AI-powered literacy assessment</t>
  </si>
  <si>
    <t xml:space="preserve">Sitecore</t>
  </si>
  <si>
    <t xml:space="preserve">sitecore.com</t>
  </si>
  <si>
    <t xml:space="preserve">Dave O'Flanagan</t>
  </si>
  <si>
    <t xml:space="preserve">Sitecore Stream AI</t>
  </si>
  <si>
    <t xml:space="preserve">https://www.sitecore.com</t>
  </si>
  <si>
    <t xml:space="preserve">SurveyMonkey</t>
  </si>
  <si>
    <t xml:space="preserve">survey &amp; feedback software</t>
  </si>
  <si>
    <t xml:space="preserve">surveymonkey.com</t>
  </si>
  <si>
    <t xml:space="preserve">Symphony Technology Group</t>
  </si>
  <si>
    <t xml:space="preserve">Eric Johnson</t>
  </si>
  <si>
    <t xml:space="preserve">SurveyMonkey Genius AI</t>
  </si>
  <si>
    <t xml:space="preserve">Formerly Momentive</t>
  </si>
  <si>
    <t xml:space="preserve">https://www.surveymonkey.com</t>
  </si>
  <si>
    <t xml:space="preserve">Tricentis</t>
  </si>
  <si>
    <t xml:space="preserve">continuous testing</t>
  </si>
  <si>
    <t xml:space="preserve">tricentis.com</t>
  </si>
  <si>
    <t xml:space="preserve">Insight Partners; GTCR</t>
  </si>
  <si>
    <t xml:space="preserve">Kevin Thompson</t>
  </si>
  <si>
    <t xml:space="preserve">CTO; VP Engineering; CPO</t>
  </si>
  <si>
    <t xml:space="preserve">Tricentis Copilot</t>
  </si>
  <si>
    <t xml:space="preserve">Zuora</t>
  </si>
  <si>
    <t xml:space="preserve">subscription billing</t>
  </si>
  <si>
    <t xml:space="preserve">Redwood City</t>
  </si>
  <si>
    <t xml:space="preserve">zuora.com</t>
  </si>
  <si>
    <t xml:space="preserve">Silver Lake; GIC</t>
  </si>
  <si>
    <t xml:space="preserve">Tien Tzuo</t>
  </si>
  <si>
    <t xml:space="preserve">Zuora AI monetization</t>
  </si>
  <si>
    <t xml:space="preserve">Take-private 2025</t>
  </si>
  <si>
    <t xml:space="preserve">https://www.zuora.com</t>
  </si>
  <si>
    <t xml:space="preserve">Zywave</t>
  </si>
  <si>
    <t xml:space="preserve">insurance distribution software</t>
  </si>
  <si>
    <t xml:space="preserve">zywave.com</t>
  </si>
  <si>
    <t xml:space="preserve">Clearlake Capital</t>
  </si>
  <si>
    <t xml:space="preserve">Jason Liu</t>
  </si>
  <si>
    <t xml:space="preserve">AI submissions and quoting</t>
  </si>
  <si>
    <t xml:space="preserve">https://www.zywave.com</t>
  </si>
  <si>
    <t xml:space="preserve">iCIMS</t>
  </si>
  <si>
    <t xml:space="preserve">talent acquisition software</t>
  </si>
  <si>
    <t xml:space="preserve">Holmdel</t>
  </si>
  <si>
    <t xml:space="preserve">icims.com</t>
  </si>
  <si>
    <t xml:space="preserve">Jason Edelboim</t>
  </si>
  <si>
    <t xml:space="preserve">iCIMS Copilot GenAI recruiting</t>
  </si>
  <si>
    <t xml:space="preserve">Abrigo</t>
  </si>
  <si>
    <t xml:space="preserve">bank &amp; credit union risk software</t>
  </si>
  <si>
    <t xml:space="preserve">abrigo.com</t>
  </si>
  <si>
    <t xml:space="preserve">Accel-KKR; Carlyle</t>
  </si>
  <si>
    <t xml:space="preserve">Jay Blandford</t>
  </si>
  <si>
    <t xml:space="preserve">Abrigo Fraud Detection AI</t>
  </si>
  <si>
    <t xml:space="preserve">Fintech software</t>
  </si>
  <si>
    <t xml:space="preserve">https://www.accel-kkr.com/portfolio/</t>
  </si>
  <si>
    <t xml:space="preserve">Accela</t>
  </si>
  <si>
    <t xml:space="preserve">govtech permitting &amp; licensing</t>
  </si>
  <si>
    <t xml:space="preserve">accela.com</t>
  </si>
  <si>
    <t xml:space="preserve">Gary Kovacs</t>
  </si>
  <si>
    <t xml:space="preserve">Accela AI for permitting</t>
  </si>
  <si>
    <t xml:space="preserve">Berkshire Partners co-investor</t>
  </si>
  <si>
    <t xml:space="preserve">Acumatica</t>
  </si>
  <si>
    <t xml:space="preserve">cloud ERP for SMB</t>
  </si>
  <si>
    <t xml:space="preserve">Bellevue</t>
  </si>
  <si>
    <t xml:space="preserve">acumatica.com</t>
  </si>
  <si>
    <t xml:space="preserve">John Case</t>
  </si>
  <si>
    <t xml:space="preserve">Acumatica AI Studio launched 2025</t>
  </si>
  <si>
    <t xml:space="preserve">Acquired by Vista from EQT in 2025</t>
  </si>
  <si>
    <t xml:space="preserve">https://www.acumatica.com</t>
  </si>
  <si>
    <t xml:space="preserve">Allvue Systems</t>
  </si>
  <si>
    <t xml:space="preserve">alternative investment software</t>
  </si>
  <si>
    <t xml:space="preserve">allvuesystems.com</t>
  </si>
  <si>
    <t xml:space="preserve">Allvue Agent Studio AI</t>
  </si>
  <si>
    <t xml:space="preserve">Formed from Black Mountain and AltaReturn</t>
  </si>
  <si>
    <t xml:space="preserve">Birdeye</t>
  </si>
  <si>
    <t xml:space="preserve">customer experience &amp; reputation</t>
  </si>
  <si>
    <t xml:space="preserve">birdeye.com</t>
  </si>
  <si>
    <t xml:space="preserve">Naveen Gupta</t>
  </si>
  <si>
    <t xml:space="preserve">BirdAI GenAI for local businesses</t>
  </si>
  <si>
    <t xml:space="preserve">Bonterra</t>
  </si>
  <si>
    <t xml:space="preserve">nonprofit &amp; social good software</t>
  </si>
  <si>
    <t xml:space="preserve">bonterratech.com</t>
  </si>
  <si>
    <t xml:space="preserve">Scott Brighton</t>
  </si>
  <si>
    <t xml:space="preserve">Bonterra Impact AI</t>
  </si>
  <si>
    <t xml:space="preserve">https://www.bonterratech.com</t>
  </si>
  <si>
    <t xml:space="preserve">Cority</t>
  </si>
  <si>
    <t xml:space="preserve">EHS &amp; quality software</t>
  </si>
  <si>
    <t xml:space="preserve">Toronto</t>
  </si>
  <si>
    <t xml:space="preserve">cority.com</t>
  </si>
  <si>
    <t xml:space="preserve">Mark Wallace</t>
  </si>
  <si>
    <t xml:space="preserve">CorityOne AI assistant</t>
  </si>
  <si>
    <t xml:space="preserve">Canadian HQ with large US footprint</t>
  </si>
  <si>
    <t xml:space="preserve">Experity</t>
  </si>
  <si>
    <t xml:space="preserve">urgent care EHR/PM</t>
  </si>
  <si>
    <t xml:space="preserve">Machesney Park</t>
  </si>
  <si>
    <t xml:space="preserve">experityhealth.com</t>
  </si>
  <si>
    <t xml:space="preserve">David Stern</t>
  </si>
  <si>
    <t xml:space="preserve">Experity Ambient AI</t>
  </si>
  <si>
    <t xml:space="preserve">https://www.experityhealth.com</t>
  </si>
  <si>
    <t xml:space="preserve">Gainsight</t>
  </si>
  <si>
    <t xml:space="preserve">customer success software</t>
  </si>
  <si>
    <t xml:space="preserve">gainsight.com</t>
  </si>
  <si>
    <t xml:space="preserve">Chuck Ganapathi</t>
  </si>
  <si>
    <t xml:space="preserve">Staircase AI acquisition and Gainsight AI agents</t>
  </si>
  <si>
    <t xml:space="preserve">Greenhouse Software</t>
  </si>
  <si>
    <t xml:space="preserve">applicant tracking</t>
  </si>
  <si>
    <t xml:space="preserve">greenhouse.com</t>
  </si>
  <si>
    <t xml:space="preserve">Daniel Chait</t>
  </si>
  <si>
    <t xml:space="preserve">Greenhouse AI screening</t>
  </si>
  <si>
    <t xml:space="preserve">https://www.greenhouse.com</t>
  </si>
  <si>
    <t xml:space="preserve">Jaggaer</t>
  </si>
  <si>
    <t xml:space="preserve">source-to-pay procurement</t>
  </si>
  <si>
    <t xml:space="preserve">jaggaer.com</t>
  </si>
  <si>
    <t xml:space="preserve">Andy Hovancik</t>
  </si>
  <si>
    <t xml:space="preserve">JAI autonomous procurement agents</t>
  </si>
  <si>
    <t xml:space="preserve">Supply chain software</t>
  </si>
  <si>
    <t xml:space="preserve">Kyruus Health</t>
  </si>
  <si>
    <t xml:space="preserve">provider data &amp; patient access</t>
  </si>
  <si>
    <t xml:space="preserve">kyruushealth.com</t>
  </si>
  <si>
    <t xml:space="preserve">Graham Gardner</t>
  </si>
  <si>
    <t xml:space="preserve">AI care navigation</t>
  </si>
  <si>
    <t xml:space="preserve">Merged with HealthSparq</t>
  </si>
  <si>
    <t xml:space="preserve">https://www.kyruushealth.com</t>
  </si>
  <si>
    <t xml:space="preserve">LogicMonitor</t>
  </si>
  <si>
    <t xml:space="preserve">IT observability</t>
  </si>
  <si>
    <t xml:space="preserve">Santa Barbara</t>
  </si>
  <si>
    <t xml:space="preserve">logicmonitor.com</t>
  </si>
  <si>
    <t xml:space="preserve">Christina Kosmowski</t>
  </si>
  <si>
    <t xml:space="preserve">Edwin AI agentic AIOps</t>
  </si>
  <si>
    <t xml:space="preserve">$800M growth investment 2024</t>
  </si>
  <si>
    <t xml:space="preserve">Nintex</t>
  </si>
  <si>
    <t xml:space="preserve">process automation</t>
  </si>
  <si>
    <t xml:space="preserve">nintex.com</t>
  </si>
  <si>
    <t xml:space="preserve">Amit Mathradas</t>
  </si>
  <si>
    <t xml:space="preserve">Nintex Agentic Automation</t>
  </si>
  <si>
    <t xml:space="preserve">https://www.nintex.com</t>
  </si>
  <si>
    <t xml:space="preserve">Payscale</t>
  </si>
  <si>
    <t xml:space="preserve">compensation data &amp; software</t>
  </si>
  <si>
    <t xml:space="preserve">payscale.com</t>
  </si>
  <si>
    <t xml:space="preserve">Payscale AI pay analytics</t>
  </si>
  <si>
    <t xml:space="preserve">Quickbase</t>
  </si>
  <si>
    <t xml:space="preserve">low-code / no-code platform</t>
  </si>
  <si>
    <t xml:space="preserve">quickbase.com</t>
  </si>
  <si>
    <t xml:space="preserve">Ed Jennings</t>
  </si>
  <si>
    <t xml:space="preserve">Quickbase AI Smart Builder</t>
  </si>
  <si>
    <t xml:space="preserve">Salesloft</t>
  </si>
  <si>
    <t xml:space="preserve">revenue orchestration / sales tech</t>
  </si>
  <si>
    <t xml:space="preserve">salesloft.com</t>
  </si>
  <si>
    <t xml:space="preserve">David Obrand</t>
  </si>
  <si>
    <t xml:space="preserve">Rhythm AI signal engine</t>
  </si>
  <si>
    <t xml:space="preserve">Martech / sales tech</t>
  </si>
  <si>
    <t xml:space="preserve">Unanet</t>
  </si>
  <si>
    <t xml:space="preserve">govcon &amp; AEC ERP</t>
  </si>
  <si>
    <t xml:space="preserve">Dulles</t>
  </si>
  <si>
    <t xml:space="preserve">unanet.com</t>
  </si>
  <si>
    <t xml:space="preserve">Cove Hill Partners</t>
  </si>
  <si>
    <t xml:space="preserve">Craig Halliday</t>
  </si>
  <si>
    <t xml:space="preserve">Unanet AI assistant</t>
  </si>
  <si>
    <t xml:space="preserve">https://unanet.com</t>
  </si>
  <si>
    <t xml:space="preserve">VelocityEHS</t>
  </si>
  <si>
    <t xml:space="preserve">EHS &amp; ESG software</t>
  </si>
  <si>
    <t xml:space="preserve">ehs.com</t>
  </si>
  <si>
    <t xml:space="preserve">John Damgaard</t>
  </si>
  <si>
    <t xml:space="preserve">ActiveEHS AI</t>
  </si>
  <si>
    <t xml:space="preserve">https://www.ehs.com</t>
  </si>
  <si>
    <t xml:space="preserve">Vendavo</t>
  </si>
  <si>
    <t xml:space="preserve">B2B pricing optimization</t>
  </si>
  <si>
    <t xml:space="preserve">vendavo.com</t>
  </si>
  <si>
    <t xml:space="preserve">Alex Hoff</t>
  </si>
  <si>
    <t xml:space="preserve">AI-driven price guidance</t>
  </si>
  <si>
    <t xml:space="preserve">WorkWave</t>
  </si>
  <si>
    <t xml:space="preserve">field service &amp; pest/lawn software</t>
  </si>
  <si>
    <t xml:space="preserve">workwave.com</t>
  </si>
  <si>
    <t xml:space="preserve">EQT; TA Associates</t>
  </si>
  <si>
    <t xml:space="preserve">David Giannetto</t>
  </si>
  <si>
    <t xml:space="preserve">WorkWave Wavelytics AI</t>
  </si>
  <si>
    <t xml:space="preserve">https://www.workwave.com</t>
  </si>
  <si>
    <t xml:space="preserve">Wrike</t>
  </si>
  <si>
    <t xml:space="preserve">work management</t>
  </si>
  <si>
    <t xml:space="preserve">wrike.com</t>
  </si>
  <si>
    <t xml:space="preserve">Thomas Scott</t>
  </si>
  <si>
    <t xml:space="preserve">Wrike Work Intelligence AI</t>
  </si>
  <si>
    <t xml:space="preserve">Carve-out from Citrix 2022</t>
  </si>
  <si>
    <t xml:space="preserve">https://www.wrike.com</t>
  </si>
  <si>
    <t xml:space="preserve">Xactly</t>
  </si>
  <si>
    <t xml:space="preserve">sales performance management</t>
  </si>
  <si>
    <t xml:space="preserve">xactly.com</t>
  </si>
  <si>
    <t xml:space="preserve">Arnab Mishra</t>
  </si>
  <si>
    <t xml:space="preserve">Xactly AI forecasting</t>
  </si>
  <si>
    <t xml:space="preserve">bswift</t>
  </si>
  <si>
    <t xml:space="preserve">benefits administration tech</t>
  </si>
  <si>
    <t xml:space="preserve">bswift.com</t>
  </si>
  <si>
    <t xml:space="preserve">Ted Bloomberg</t>
  </si>
  <si>
    <t xml:space="preserve">Emma AI benefits assistant</t>
  </si>
  <si>
    <t xml:space="preserve">Carve-out from CVS/Aetna 2022</t>
  </si>
  <si>
    <t xml:space="preserve">Cendyn</t>
  </si>
  <si>
    <t xml:space="preserve">hospitality CRM &amp; revenue tech</t>
  </si>
  <si>
    <t xml:space="preserve">cendyn.com</t>
  </si>
  <si>
    <t xml:space="preserve">Tim Sullivan</t>
  </si>
  <si>
    <t xml:space="preserve">AI revenue management</t>
  </si>
  <si>
    <t xml:space="preserve">Martech for hotels</t>
  </si>
  <si>
    <t xml:space="preserve">BlueGrace Logistics</t>
  </si>
  <si>
    <t xml:space="preserve">freight brokerage / managed transportation</t>
  </si>
  <si>
    <t xml:space="preserve">mybluegrace.com</t>
  </si>
  <si>
    <t xml:space="preserve">Bobby Harris</t>
  </si>
  <si>
    <t xml:space="preserve">COO; CTO; VP Operations; VP Sales</t>
  </si>
  <si>
    <t xml:space="preserve">BlueShip TMS platform; data and automation focus</t>
  </si>
  <si>
    <t xml:space="preserve">TT 2026 Logistics No. 58</t>
  </si>
  <si>
    <t xml:space="preserve">https://www.ttnews.com/logistics/rankings/2026</t>
  </si>
  <si>
    <t xml:space="preserve">Lazer Logistics</t>
  </si>
  <si>
    <t xml:space="preserve">yard management / spotting / shuttle</t>
  </si>
  <si>
    <t xml:space="preserve">lazerlogistics.com</t>
  </si>
  <si>
    <t xml:space="preserve">Adam Newsome</t>
  </si>
  <si>
    <t xml:space="preserve">COO; CIO; VP Operations; VP Technology</t>
  </si>
  <si>
    <t xml:space="preserve">Pairing AI with operators to surface risk early (TT 2026)</t>
  </si>
  <si>
    <t xml:space="preserve">TT 2026 Logistics No. 76; acquired by EQT 2023</t>
  </si>
  <si>
    <t xml:space="preserve">https://www.ttnews.com/articles/logistics-firms-embrace-ai</t>
  </si>
  <si>
    <t xml:space="preserve">PLS Logistics Services</t>
  </si>
  <si>
    <t xml:space="preserve">Cranberry Township</t>
  </si>
  <si>
    <t xml:space="preserve">plslogistics.com</t>
  </si>
  <si>
    <t xml:space="preserve">Calera Capital</t>
  </si>
  <si>
    <t xml:space="preserve">Greg Burns</t>
  </si>
  <si>
    <t xml:space="preserve">Using AI as "force multiplier" to automate routine tasks (TT 2026)</t>
  </si>
  <si>
    <t xml:space="preserve">TT 2026 Logistics No. 65</t>
  </si>
  <si>
    <t xml:space="preserve">Andersen Group</t>
  </si>
  <si>
    <t xml:space="preserve">public tax &amp; advisory</t>
  </si>
  <si>
    <t xml:space="preserve">andersen.com</t>
  </si>
  <si>
    <t xml:space="preserve">Mark Vorsatz</t>
  </si>
  <si>
    <t xml:space="preserve">IPO 2025 (NYSE: ANDG); 2026 guidance $955-970M</t>
  </si>
  <si>
    <t xml:space="preserve">2025 revenue $839M</t>
  </si>
  <si>
    <t xml:space="preserve">https://investor.andersen.com/news-events/investor-press-releases/detail/248/andersen-reports-record-fourth-quarter-and-full-year-2025-financial-results-and-initiates-2026-guidance</t>
  </si>
  <si>
    <t xml:space="preserve">Withum</t>
  </si>
  <si>
    <t xml:space="preserve">regional CPA firm</t>
  </si>
  <si>
    <t xml:space="preserve">Princeton</t>
  </si>
  <si>
    <t xml:space="preserve">withum.com</t>
  </si>
  <si>
    <t xml:space="preserve">Pat Walsh</t>
  </si>
  <si>
    <t xml:space="preserve">Withum Digital; Microsoft partner; AI advisory</t>
  </si>
  <si>
    <t xml:space="preserve">IPA 500 #22; partner-owned</t>
  </si>
  <si>
    <t xml:space="preserve">BPM LLP</t>
  </si>
  <si>
    <t xml:space="preserve">bpm.com</t>
  </si>
  <si>
    <t xml:space="preserve">Jim Wallace</t>
  </si>
  <si>
    <t xml:space="preserve">Tech-heavy client base; BPM advisory/AI practice</t>
  </si>
  <si>
    <t xml:space="preserve">IPA 500 #32; AT Top 100 #33</t>
  </si>
  <si>
    <t xml:space="preserve">Kearney &amp; Company</t>
  </si>
  <si>
    <t xml:space="preserve">government audit &amp; advisory</t>
  </si>
  <si>
    <t xml:space="preserve">kearneyco.com</t>
  </si>
  <si>
    <t xml:space="preserve">Federal financial management; data analytics practice</t>
  </si>
  <si>
    <t xml:space="preserve">IPA 500 #29</t>
  </si>
  <si>
    <t xml:space="preserve">Bennett Thrasher</t>
  </si>
  <si>
    <t xml:space="preserve">btcpa.net</t>
  </si>
  <si>
    <t xml:space="preserve">Jeff Eischeid</t>
  </si>
  <si>
    <t xml:space="preserve">Publicly resisting PE</t>
  </si>
  <si>
    <t xml:space="preserve">IPA 500 #62</t>
  </si>
  <si>
    <t xml:space="preserve">BerryDunn</t>
  </si>
  <si>
    <t xml:space="preserve">berrydunn.com</t>
  </si>
  <si>
    <t xml:space="preserve">Sarah Belliveau</t>
  </si>
  <si>
    <t xml:space="preserve">Large government/healthcare consulting practice</t>
  </si>
  <si>
    <t xml:space="preserve">IPA 500 #43</t>
  </si>
  <si>
    <t xml:space="preserve">Clark Schaefer Hackett</t>
  </si>
  <si>
    <t xml:space="preserve">Miamisburg</t>
  </si>
  <si>
    <t xml:space="preserve">cshco.com</t>
  </si>
  <si>
    <t xml:space="preserve">CSH tech consulting</t>
  </si>
  <si>
    <t xml:space="preserve">IPA 500 #65</t>
  </si>
  <si>
    <t xml:space="preserve">Frank Rimerman + Co.</t>
  </si>
  <si>
    <t xml:space="preserve">frankrimerman.com</t>
  </si>
  <si>
    <t xml:space="preserve">Silicon Valley tech/VC client base</t>
  </si>
  <si>
    <t xml:space="preserve">IPA 500 #38</t>
  </si>
  <si>
    <t xml:space="preserve">H&amp;CO</t>
  </si>
  <si>
    <t xml:space="preserve">Coral Gables</t>
  </si>
  <si>
    <t xml:space="preserve">hco.com</t>
  </si>
  <si>
    <t xml:space="preserve">SAP/ERP practice</t>
  </si>
  <si>
    <t xml:space="preserve">IPA 500 #66</t>
  </si>
  <si>
    <t xml:space="preserve">Katz Sapper &amp; Miller (KSM)</t>
  </si>
  <si>
    <t xml:space="preserve">ksmcpa.com</t>
  </si>
  <si>
    <t xml:space="preserve">Tim Cook</t>
  </si>
  <si>
    <t xml:space="preserve">30% growth 2025</t>
  </si>
  <si>
    <t xml:space="preserve">2025 revenue $215.3M; AT lists PE connection (unverified sponsor)</t>
  </si>
  <si>
    <t xml:space="preserve">Kaufman Rossin</t>
  </si>
  <si>
    <t xml:space="preserve">kaufmanrossin.com</t>
  </si>
  <si>
    <t xml:space="preserve">Blain Heckaman</t>
  </si>
  <si>
    <t xml:space="preserve">Launched PE practice 2026; fund admin spinout</t>
  </si>
  <si>
    <t xml:space="preserve">IPA 500 #49</t>
  </si>
  <si>
    <t xml:space="preserve">LBMC</t>
  </si>
  <si>
    <t xml:space="preserve">lbmc.com</t>
  </si>
  <si>
    <t xml:space="preserve">Jim Meade</t>
  </si>
  <si>
    <t xml:space="preserve">LBMC Technology Solutions; cybersecurity</t>
  </si>
  <si>
    <t xml:space="preserve">IPA 500 #35</t>
  </si>
  <si>
    <t xml:space="preserve">MGO (Macias Gini &amp; O'Connell)</t>
  </si>
  <si>
    <t xml:space="preserve">mgocpa.com</t>
  </si>
  <si>
    <t xml:space="preserve">Cannabis/tech/public sector niches</t>
  </si>
  <si>
    <t xml:space="preserve">AT Top 100 firm; revenue band estimate</t>
  </si>
  <si>
    <t xml:space="preserve">https://www.mgocpa.com/</t>
  </si>
  <si>
    <t xml:space="preserve">Prager Metis</t>
  </si>
  <si>
    <t xml:space="preserve">pragermetis.com</t>
  </si>
  <si>
    <t xml:space="preserve">Glenn Friedman</t>
  </si>
  <si>
    <t xml:space="preserve">PM ITS tech JV with KTI 2025</t>
  </si>
  <si>
    <t xml:space="preserve">IPA 500 #58</t>
  </si>
  <si>
    <t xml:space="preserve">RKL LLP</t>
  </si>
  <si>
    <t xml:space="preserve">Lancaster</t>
  </si>
  <si>
    <t xml:space="preserve">rklcpa.com</t>
  </si>
  <si>
    <t xml:space="preserve">Ed Monborne</t>
  </si>
  <si>
    <t xml:space="preserve">RKL eSolutions (ERP/tech)</t>
  </si>
  <si>
    <t xml:space="preserve">IPA 500 #54</t>
  </si>
  <si>
    <t xml:space="preserve">SC&amp;H Group</t>
  </si>
  <si>
    <t xml:space="preserve">regional CPA &amp; advisory firm</t>
  </si>
  <si>
    <t xml:space="preserve">Sparks</t>
  </si>
  <si>
    <t xml:space="preserve">schgroup.com</t>
  </si>
  <si>
    <t xml:space="preserve">Tech advisory/automation practice</t>
  </si>
  <si>
    <t xml:space="preserve">IPA 500 #60</t>
  </si>
  <si>
    <t xml:space="preserve">Schneider Downs</t>
  </si>
  <si>
    <t xml:space="preserve">schneiderdowns.com</t>
  </si>
  <si>
    <t xml:space="preserve">Technology advisory practice</t>
  </si>
  <si>
    <t xml:space="preserve">IPA 500 #55</t>
  </si>
  <si>
    <t xml:space="preserve">Warren Averett</t>
  </si>
  <si>
    <t xml:space="preserve">Birmingham</t>
  </si>
  <si>
    <t xml:space="preserve">warrenaverett.com</t>
  </si>
  <si>
    <t xml:space="preserve">Mary Elliott</t>
  </si>
  <si>
    <t xml:space="preserve">Wealth arm partnered with Wealth Partners Capital/HGGC</t>
  </si>
  <si>
    <t xml:space="preserve">IPA 500 #48; CPA firm itself not PE-backed</t>
  </si>
  <si>
    <t xml:space="preserve">Anders CPAs + Advisors</t>
  </si>
  <si>
    <t xml:space="preserve">anderscpa.com</t>
  </si>
  <si>
    <t xml:space="preserve">Anders Technology practice</t>
  </si>
  <si>
    <t xml:space="preserve">IPA 500 #72</t>
  </si>
  <si>
    <t xml:space="preserve">Auxis</t>
  </si>
  <si>
    <t xml:space="preserve">outsourced finance &amp; accounting BPO</t>
  </si>
  <si>
    <t xml:space="preserve">Plantation</t>
  </si>
  <si>
    <t xml:space="preserve">auxis.com</t>
  </si>
  <si>
    <t xml:space="preserve">New Mountain Capital (via Grant Thornton Advisors)</t>
  </si>
  <si>
    <t xml:space="preserve">Acquired by Grant Thornton Advisors Sep 2025; intelligent automation focus</t>
  </si>
  <si>
    <t xml:space="preserve">https://cpatrendlines.com/2026/02/16/cornerstone-pe-deal-tracker-pe-update-alan-whitman-plants-a-flag-in-the-private-equity-landscape-2020-2026/</t>
  </si>
  <si>
    <t xml:space="preserve">Centri Business Consulting</t>
  </si>
  <si>
    <t xml:space="preserve">accounting advisory / CFO services</t>
  </si>
  <si>
    <t xml:space="preserve">Philadelphia</t>
  </si>
  <si>
    <t xml:space="preserve">centriconsulting.com</t>
  </si>
  <si>
    <t xml:space="preserve">Technical accounting &amp; CFO advisory</t>
  </si>
  <si>
    <t xml:space="preserve">IPA 500 #109</t>
  </si>
  <si>
    <t xml:space="preserve">Dean Dorton</t>
  </si>
  <si>
    <t xml:space="preserve">Lexington</t>
  </si>
  <si>
    <t xml:space="preserve">KY</t>
  </si>
  <si>
    <t xml:space="preserve">deandorton.com</t>
  </si>
  <si>
    <t xml:space="preserve">Dean Dorton technology practice</t>
  </si>
  <si>
    <t xml:space="preserve">IPA 500 #67</t>
  </si>
  <si>
    <t xml:space="preserve">Global Tax Management</t>
  </si>
  <si>
    <t xml:space="preserve">corporate tax services</t>
  </si>
  <si>
    <t xml:space="preserve">gtmtax.com</t>
  </si>
  <si>
    <t xml:space="preserve">Tax technology/automation services</t>
  </si>
  <si>
    <t xml:space="preserve">IPA 500 #99</t>
  </si>
  <si>
    <t xml:space="preserve">HoganTaylor</t>
  </si>
  <si>
    <t xml:space="preserve">Tulsa</t>
  </si>
  <si>
    <t xml:space="preserve">hogantaylor.com</t>
  </si>
  <si>
    <t xml:space="preserve">HoganTaylor Technology</t>
  </si>
  <si>
    <t xml:space="preserve">IPA 500 #77</t>
  </si>
  <si>
    <t xml:space="preserve">Lutz</t>
  </si>
  <si>
    <t xml:space="preserve">lutz.us</t>
  </si>
  <si>
    <t xml:space="preserve">Lutz Tech (MSP)</t>
  </si>
  <si>
    <t xml:space="preserve">IPA 500 #71</t>
  </si>
  <si>
    <t xml:space="preserve">PYA</t>
  </si>
  <si>
    <t xml:space="preserve">regional CPA firm (healthcare)</t>
  </si>
  <si>
    <t xml:space="preserve">Knoxville</t>
  </si>
  <si>
    <t xml:space="preserve">pyapc.com</t>
  </si>
  <si>
    <t xml:space="preserve">Healthcare analytics practice</t>
  </si>
  <si>
    <t xml:space="preserve">IPA 500 #82</t>
  </si>
  <si>
    <t xml:space="preserve">REDW</t>
  </si>
  <si>
    <t xml:space="preserve">Albuquerque</t>
  </si>
  <si>
    <t xml:space="preserve">NM</t>
  </si>
  <si>
    <t xml:space="preserve">redw.com</t>
  </si>
  <si>
    <t xml:space="preserve">Tribal/government niche</t>
  </si>
  <si>
    <t xml:space="preserve">IPA 500 #96</t>
  </si>
  <si>
    <t xml:space="preserve">Sensiba</t>
  </si>
  <si>
    <t xml:space="preserve">sensiba.com</t>
  </si>
  <si>
    <t xml:space="preserve">B Corp; tech/VC clients</t>
  </si>
  <si>
    <t xml:space="preserve">IPA 500 #75</t>
  </si>
  <si>
    <t xml:space="preserve">Wolf &amp; Company</t>
  </si>
  <si>
    <t xml:space="preserve">wolfandco.com</t>
  </si>
  <si>
    <t xml:space="preserve">Fintech/banking focus; Wolf Ventures</t>
  </si>
  <si>
    <t xml:space="preserve">IPA 500 #69</t>
  </si>
  <si>
    <t xml:space="preserve">Alliant Credit Union</t>
  </si>
  <si>
    <t xml:space="preserve">digital credit union</t>
  </si>
  <si>
    <t xml:space="preserve">alliantcreditunion.org</t>
  </si>
  <si>
    <t xml:space="preserve">Dennis Devine</t>
  </si>
  <si>
    <t xml:space="preserve">CIO; COO; Chief Digital Officer; Chief Technology Officer</t>
  </si>
  <si>
    <t xml:space="preserve">Fully digital branchless model; partnerships with fintechs</t>
  </si>
  <si>
    <t xml:space="preserve">$19.7B assets; national digital CU</t>
  </si>
  <si>
    <t xml:space="preserve">https://www.mx.com/blog/biggest-us-credit-unions-by-asset-size/</t>
  </si>
  <si>
    <t xml:space="preserve">Customers Bancorp</t>
  </si>
  <si>
    <t xml:space="preserve">fintech-forward regional bank</t>
  </si>
  <si>
    <t xml:space="preserve">West Reading</t>
  </si>
  <si>
    <t xml:space="preserve">customersbank.com</t>
  </si>
  <si>
    <t xml:space="preserve">Sam Sidhu</t>
  </si>
  <si>
    <t xml:space="preserve">CIO; COO; Chief Technology Officer; Head of Digital Banking</t>
  </si>
  <si>
    <t xml:space="preserve">CBIT instant payments platform; heavy fintech and technology orientation</t>
  </si>
  <si>
    <t xml:space="preserve">~$22B assets; branch-light commercial model</t>
  </si>
  <si>
    <t xml:space="preserve">https://investors.customersbank.com</t>
  </si>
  <si>
    <t xml:space="preserve">Digital Federal Credit Union (DCU)</t>
  </si>
  <si>
    <t xml:space="preserve">credit union</t>
  </si>
  <si>
    <t xml:space="preserve">dcu.org</t>
  </si>
  <si>
    <t xml:space="preserve">Shruti Miyashiro</t>
  </si>
  <si>
    <t xml:space="preserve">DCU FinTech Innovation Center; merging with First Tech</t>
  </si>
  <si>
    <t xml:space="preserve">~$13B assets</t>
  </si>
  <si>
    <t xml:space="preserve">https://plaincu.com/rankings/largest</t>
  </si>
  <si>
    <t xml:space="preserve">Donegal Group</t>
  </si>
  <si>
    <t xml:space="preserve">regional P&amp;C insurance carrier</t>
  </si>
  <si>
    <t xml:space="preserve">Marietta</t>
  </si>
  <si>
    <t xml:space="preserve">donegalgroup.com</t>
  </si>
  <si>
    <t xml:space="preserve">Kevin G. Burke</t>
  </si>
  <si>
    <t xml:space="preserve">CIO; COO; Chief Claims Officer</t>
  </si>
  <si>
    <t xml:space="preserve">Multi-year systems modernization program completed 2025</t>
  </si>
  <si>
    <t xml:space="preserve">Mutual-controlled regional carrier</t>
  </si>
  <si>
    <t xml:space="preserve">https://investors.donegalgroup.com</t>
  </si>
  <si>
    <t xml:space="preserve">Employers Holdings</t>
  </si>
  <si>
    <t xml:space="preserve">workers compensation insurance carrier</t>
  </si>
  <si>
    <t xml:space="preserve">Reno</t>
  </si>
  <si>
    <t xml:space="preserve">NV</t>
  </si>
  <si>
    <t xml:space="preserve">employers.com</t>
  </si>
  <si>
    <t xml:space="preserve">Katherine H. Antonello</t>
  </si>
  <si>
    <t xml:space="preserve">CIO; COO; Chief Claims Officer; Chief Data Officer</t>
  </si>
  <si>
    <t xml:space="preserve">Cerity digital small-business insurer; analytics-driven underwriting</t>
  </si>
  <si>
    <t xml:space="preserve">Small business workers comp specialist</t>
  </si>
  <si>
    <t xml:space="preserve">https://ir.employers.com</t>
  </si>
  <si>
    <t xml:space="preserve">First Tech Federal Credit Union</t>
  </si>
  <si>
    <t xml:space="preserve">Hillsboro</t>
  </si>
  <si>
    <t xml:space="preserve">firsttechfed.com</t>
  </si>
  <si>
    <t xml:space="preserve">Greg Mitchell</t>
  </si>
  <si>
    <t xml:space="preserve">CIO; COO; Chief Digital Officer; Chief Data Officer</t>
  </si>
  <si>
    <t xml:space="preserve">Tech-sector member base; announced merger with Digital FCU 2025</t>
  </si>
  <si>
    <t xml:space="preserve">~$17B assets; serves tech company employees</t>
  </si>
  <si>
    <t xml:space="preserve">HCI Group</t>
  </si>
  <si>
    <t xml:space="preserve">homeowners insurance carrier and insurtech</t>
  </si>
  <si>
    <t xml:space="preserve">hcigroup.com</t>
  </si>
  <si>
    <t xml:space="preserve">Paresh Patel</t>
  </si>
  <si>
    <t xml:space="preserve">CIO; COO; Chief Technology Officer; Chief Claims Officer</t>
  </si>
  <si>
    <t xml:space="preserve">Exzeo insurtech subsidiary spun toward IPO; TypTap digital insurer</t>
  </si>
  <si>
    <t xml:space="preserve">Florida homeowners; technology-driven</t>
  </si>
  <si>
    <t xml:space="preserve">https://www.insurancebusinessmag.com/us/news/breaking-news/financial-results-palomar-skyward-octave-specialty-hci-group-kemper-574407.aspx</t>
  </si>
  <si>
    <t xml:space="preserve">Lemonade</t>
  </si>
  <si>
    <t xml:space="preserve">insurtech carrier</t>
  </si>
  <si>
    <t xml:space="preserve">lemonade.com</t>
  </si>
  <si>
    <t xml:space="preserve">Daniel Schreiber</t>
  </si>
  <si>
    <t xml:space="preserve">CIO; COO; Chief Technology Officer</t>
  </si>
  <si>
    <t xml:space="preserve">AI-native claims and underwriting (AI Jim and Maya bots)</t>
  </si>
  <si>
    <t xml:space="preserve">Renters home pet car; AI-first brand</t>
  </si>
  <si>
    <t xml:space="preserve">https://investor.lemonade.com</t>
  </si>
  <si>
    <t xml:space="preserve">Navient</t>
  </si>
  <si>
    <t xml:space="preserve">education loan servicer and lender</t>
  </si>
  <si>
    <t xml:space="preserve">Herndon</t>
  </si>
  <si>
    <t xml:space="preserve">navient.com</t>
  </si>
  <si>
    <t xml:space="preserve">David Yowan</t>
  </si>
  <si>
    <t xml:space="preserve">Outsourced servicing to MOHELA 2024; restructuring to lower cost</t>
  </si>
  <si>
    <t xml:space="preserve">Earnest refinance lending brand</t>
  </si>
  <si>
    <t xml:space="preserve">https://navient.com/investors</t>
  </si>
  <si>
    <t xml:space="preserve">Oportun Financial</t>
  </si>
  <si>
    <t xml:space="preserve">mission-driven consumer lender</t>
  </si>
  <si>
    <t xml:space="preserve">San Carlos</t>
  </si>
  <si>
    <t xml:space="preserve">oportun.com</t>
  </si>
  <si>
    <t xml:space="preserve">Raul Vazquez</t>
  </si>
  <si>
    <t xml:space="preserve">CIO; COO; Chief Technology Officer; Chief Credit Officer</t>
  </si>
  <si>
    <t xml:space="preserve">AI underwriting for thin-file borrowers since inception</t>
  </si>
  <si>
    <t xml:space="preserve">Serves underbanked Hispanic market</t>
  </si>
  <si>
    <t xml:space="preserve">https://finance.yahoo.com/news/oportun-vs-enova-fintech-lender-144700183.html</t>
  </si>
  <si>
    <t xml:space="preserve">Pagaya Technologies</t>
  </si>
  <si>
    <t xml:space="preserve">AI credit network</t>
  </si>
  <si>
    <t xml:space="preserve">pagaya.com</t>
  </si>
  <si>
    <t xml:space="preserve">Gal Krubiner</t>
  </si>
  <si>
    <t xml:space="preserve">AI-native credit decisioning network for lenders and auto; US HQ NYC with Israel R&amp;D</t>
  </si>
  <si>
    <t xml:space="preserve">Dual HQ New York and Tel Aviv</t>
  </si>
  <si>
    <t xml:space="preserve">https://investor.pagaya.com</t>
  </si>
  <si>
    <t xml:space="preserve">Palomar Holdings</t>
  </si>
  <si>
    <t xml:space="preserve">specialty insurance carrier</t>
  </si>
  <si>
    <t xml:space="preserve">La Jolla</t>
  </si>
  <si>
    <t xml:space="preserve">plmr.com</t>
  </si>
  <si>
    <t xml:space="preserve">Mac Armstrong</t>
  </si>
  <si>
    <t xml:space="preserve">CIO; COO; Chief Underwriting Officer</t>
  </si>
  <si>
    <t xml:space="preserve">Data-driven catastrophe pricing; PLMR-FRNT fronting platform</t>
  </si>
  <si>
    <t xml:space="preserve">Earthquake and specialty property; fast grower</t>
  </si>
  <si>
    <t xml:space="preserve">Paymentus Holdings</t>
  </si>
  <si>
    <t xml:space="preserve">bill payment platform</t>
  </si>
  <si>
    <t xml:space="preserve">paymentus.com</t>
  </si>
  <si>
    <t xml:space="preserve">Dushyant Sharma</t>
  </si>
  <si>
    <t xml:space="preserve">CIO; COO; Chief Technology Officer; Chief Product Officer</t>
  </si>
  <si>
    <t xml:space="preserve">Instant Payment Network; AI in customer engagement and IVR</t>
  </si>
  <si>
    <t xml:space="preserve">Utilities insurers and municipalities billers</t>
  </si>
  <si>
    <t xml:space="preserve">https://finance.yahoo.com/quote/PAY/</t>
  </si>
  <si>
    <t xml:space="preserve">Regional Management Corp</t>
  </si>
  <si>
    <t xml:space="preserve">consumer installment lender</t>
  </si>
  <si>
    <t xml:space="preserve">Greer</t>
  </si>
  <si>
    <t xml:space="preserve">regionalmanagement.com</t>
  </si>
  <si>
    <t xml:space="preserve">Robert W. Beck</t>
  </si>
  <si>
    <t xml:space="preserve">CIO; COO; Chief Digital Officer; Chief Credit Officer</t>
  </si>
  <si>
    <t xml:space="preserve">Custom ML credit scorecards cited in investor materials</t>
  </si>
  <si>
    <t xml:space="preserve">Branch-based lender expanding digitally</t>
  </si>
  <si>
    <t xml:space="preserve">https://ir.regionalmanagement.com</t>
  </si>
  <si>
    <t xml:space="preserve">Seacoast Banking Corp of Florida</t>
  </si>
  <si>
    <t xml:space="preserve">regional bank</t>
  </si>
  <si>
    <t xml:space="preserve">Stuart</t>
  </si>
  <si>
    <t xml:space="preserve">seacoastbank.com</t>
  </si>
  <si>
    <t xml:space="preserve">Charles M. Shaffer</t>
  </si>
  <si>
    <t xml:space="preserve">CIO; COO; Chief Digital Officer; Chief Analytics Officer</t>
  </si>
  <si>
    <t xml:space="preserve">Long-standing analytics and customer data platform emphasis in investor decks</t>
  </si>
  <si>
    <t xml:space="preserve">~$16B assets; acquiring Villages Bancorp 2025</t>
  </si>
  <si>
    <t xml:space="preserve">https://ir.seacoastbanking.com</t>
  </si>
  <si>
    <t xml:space="preserve">The Bancorp Inc</t>
  </si>
  <si>
    <t xml:space="preserve">thebancorp.com</t>
  </si>
  <si>
    <t xml:space="preserve">Damian M. Kozlowski</t>
  </si>
  <si>
    <t xml:space="preserve">CIO; COO; Chief Technology Officer; Head of Fintech Solutions</t>
  </si>
  <si>
    <t xml:space="preserve">Sponsor bank to Chime and SoFi; API-driven banking infrastructure</t>
  </si>
  <si>
    <t xml:space="preserve">~$8B assets; leading BaaS issuer bank</t>
  </si>
  <si>
    <t xml:space="preserve">https://investors.thebancorp.com</t>
  </si>
  <si>
    <t xml:space="preserve">Upstart Holdings</t>
  </si>
  <si>
    <t xml:space="preserve">AI lending marketplace</t>
  </si>
  <si>
    <t xml:space="preserve">upstart.com</t>
  </si>
  <si>
    <t xml:space="preserve">Dave Girouard</t>
  </si>
  <si>
    <t xml:space="preserve">CIO; COO; Chief Technology Officer; Chief Data Scientist</t>
  </si>
  <si>
    <t xml:space="preserve">AI-native credit underwriting; partners with 100+ banks and CUs</t>
  </si>
  <si>
    <t xml:space="preserve">Personal auto HELOC lending via bank partners</t>
  </si>
  <si>
    <t xml:space="preserve">https://ir.upstart.com</t>
  </si>
  <si>
    <t xml:space="preserve">VyStar Credit Union</t>
  </si>
  <si>
    <t xml:space="preserve">vystarcu.org</t>
  </si>
  <si>
    <t xml:space="preserve">Brian Wolfburg</t>
  </si>
  <si>
    <t xml:space="preserve">Digital banking replatform after 2022 outage; fintech venture investments</t>
  </si>
  <si>
    <t xml:space="preserve">~$14B assets; Northeast Florida and Georgia</t>
  </si>
  <si>
    <t xml:space="preserve">WaFd Inc</t>
  </si>
  <si>
    <t xml:space="preserve">wafdbank.com</t>
  </si>
  <si>
    <t xml:space="preserve">Brent J. Beardall</t>
  </si>
  <si>
    <t xml:space="preserve">Pilot Bank AI/ML fraud and voice initiatives publicly discussed by CEO</t>
  </si>
  <si>
    <t xml:space="preserve">~$27B assets after Luther Burbank; 9-state Western footprint</t>
  </si>
  <si>
    <t xml:space="preserve">https://www.wafdbank.com/about-us/investor-relations</t>
  </si>
  <si>
    <t xml:space="preserve">Bowhead Specialty Holdings</t>
  </si>
  <si>
    <t xml:space="preserve">specialty P&amp;C insurance carrier</t>
  </si>
  <si>
    <t xml:space="preserve">bowheadspecialty.com</t>
  </si>
  <si>
    <t xml:space="preserve">Stephen Sills</t>
  </si>
  <si>
    <t xml:space="preserve">Baleen Specialty digital small-account platform</t>
  </si>
  <si>
    <t xml:space="preserve">IPO 2024; casualty healthcare professional liability</t>
  </si>
  <si>
    <t xml:space="preserve">https://ir.bowheadspecialty.com</t>
  </si>
  <si>
    <t xml:space="preserve">Cardinal Financial</t>
  </si>
  <si>
    <t xml:space="preserve">independent mortgage lender</t>
  </si>
  <si>
    <t xml:space="preserve">cardinalfinancial.com</t>
  </si>
  <si>
    <t xml:space="preserve">Justin Schwartz</t>
  </si>
  <si>
    <t xml:space="preserve">Proprietary Octane loan origination platform built in-house</t>
  </si>
  <si>
    <t xml:space="preserve">Retail and wholesale; tech-first culture</t>
  </si>
  <si>
    <t xml:space="preserve">https://www.scotsmanguide.com/rankings/top-mortgage-lenders/</t>
  </si>
  <si>
    <t xml:space="preserve">Coastal Financial Corp</t>
  </si>
  <si>
    <t xml:space="preserve">Everett</t>
  </si>
  <si>
    <t xml:space="preserve">coastalbank.com</t>
  </si>
  <si>
    <t xml:space="preserve">Eric M. Sprink</t>
  </si>
  <si>
    <t xml:space="preserve">CIO; COO; Chief Risk Officer; Head of CCBX</t>
  </si>
  <si>
    <t xml:space="preserve">CCBX BaaS division; heavy investment in compliance automation and data</t>
  </si>
  <si>
    <t xml:space="preserve">~$4.5B assets; BaaS revenue dominates gross revenue</t>
  </si>
  <si>
    <t xml:space="preserve">https://ir.coastalbank.com</t>
  </si>
  <si>
    <t xml:space="preserve">Dave Inc</t>
  </si>
  <si>
    <t xml:space="preserve">neobank and cash advance</t>
  </si>
  <si>
    <t xml:space="preserve">dave.com</t>
  </si>
  <si>
    <t xml:space="preserve">Jason Wilk</t>
  </si>
  <si>
    <t xml:space="preserve">CashAI underwriting engine central to unit economics</t>
  </si>
  <si>
    <t xml:space="preserve">ExtraCash and banking for underbanked</t>
  </si>
  <si>
    <t xml:space="preserve">https://investors.dave.com</t>
  </si>
  <si>
    <t xml:space="preserve">Live Oak Bancshares</t>
  </si>
  <si>
    <t xml:space="preserve">digital SBA lender bank</t>
  </si>
  <si>
    <t xml:space="preserve">liveoakbank.com</t>
  </si>
  <si>
    <t xml:space="preserve">James S. Mahan III</t>
  </si>
  <si>
    <t xml:space="preserve">CIO; COO; Chief Technology Officer; Head of Small Business Lending</t>
  </si>
  <si>
    <t xml:space="preserve">Founder of nCino and Apiture; invests in AI-driven small business lending tools</t>
  </si>
  <si>
    <t xml:space="preserve">~$13B assets; #1 SBA 7(a) lender; branchless</t>
  </si>
  <si>
    <t xml:space="preserve">https://www.liveoakbank.com/investor-relations/</t>
  </si>
  <si>
    <t xml:space="preserve">Michigan State University Federal Credit Union</t>
  </si>
  <si>
    <t xml:space="preserve">East Lansing</t>
  </si>
  <si>
    <t xml:space="preserve">msufcu.org</t>
  </si>
  <si>
    <t xml:space="preserve">April Clobes</t>
  </si>
  <si>
    <t xml:space="preserve">CIO; COO; Chief Innovation Officer; Chief Digital Officer</t>
  </si>
  <si>
    <t xml:space="preserve">Runs The Lab at MSUFCU fintech incubator and Reseda Group venture arm; AI pilots</t>
  </si>
  <si>
    <t xml:space="preserve">~$8B assets; known fintech innovator among CUs</t>
  </si>
  <si>
    <t xml:space="preserve">Origin Bancorp</t>
  </si>
  <si>
    <t xml:space="preserve">community bank</t>
  </si>
  <si>
    <t xml:space="preserve">Ruston</t>
  </si>
  <si>
    <t xml:space="preserve">origin.bank</t>
  </si>
  <si>
    <t xml:space="preserve">Drake Mills</t>
  </si>
  <si>
    <t xml:space="preserve">CIO; COO; Chief Banking Officer</t>
  </si>
  <si>
    <t xml:space="preserve">Optimize Origin efficiency program announced 2025</t>
  </si>
  <si>
    <t xml:space="preserve">$9.6B assets; Texas and Louisiana footprint</t>
  </si>
  <si>
    <t xml:space="preserve">https://www.americanbanker.com/news/best-banks-to-work-for-2025-3b-to-10b-of-assets</t>
  </si>
  <si>
    <t xml:space="preserve">Patelco Credit Union</t>
  </si>
  <si>
    <t xml:space="preserve">Dublin</t>
  </si>
  <si>
    <t xml:space="preserve">patelco.org</t>
  </si>
  <si>
    <t xml:space="preserve">Erin Mendez</t>
  </si>
  <si>
    <t xml:space="preserve">CIO; COO; Chief Information Security Officer; Chief Digital Officer</t>
  </si>
  <si>
    <t xml:space="preserve">Post-2024 ransomware technology and security rebuild</t>
  </si>
  <si>
    <t xml:space="preserve">~$9B assets; Bay Area</t>
  </si>
  <si>
    <t xml:space="preserve">Triumph Financial</t>
  </si>
  <si>
    <t xml:space="preserve">transportation payments and factoring bank</t>
  </si>
  <si>
    <t xml:space="preserve">tfin.com</t>
  </si>
  <si>
    <t xml:space="preserve">Aaron P. Graft</t>
  </si>
  <si>
    <t xml:space="preserve">CIO; COO; Chief Technology Officer; President of TriumphPay</t>
  </si>
  <si>
    <t xml:space="preserve">Acquired Greenscreens.ai freight pricing intelligence 2025; LoadPay and AI invoice automation</t>
  </si>
  <si>
    <t xml:space="preserve">Bank holding company built around freight payments network</t>
  </si>
  <si>
    <t xml:space="preserve">https://ir.tfin.com</t>
  </si>
  <si>
    <t xml:space="preserve">Better Home &amp; Finance</t>
  </si>
  <si>
    <t xml:space="preserve">digital mortgage lender</t>
  </si>
  <si>
    <t xml:space="preserve">better.com</t>
  </si>
  <si>
    <t xml:space="preserve">Vishal Garg</t>
  </si>
  <si>
    <t xml:space="preserve">Betsy voice AI loan assistant; Tinman AI platform licensed to other lenders</t>
  </si>
  <si>
    <t xml:space="preserve">Public via SPAC 2023; AI-first positioning</t>
  </si>
  <si>
    <t xml:space="preserve">https://investors.better.com</t>
  </si>
  <si>
    <t xml:space="preserve">Open Lending Corp</t>
  </si>
  <si>
    <t xml:space="preserve">auto lending enablement</t>
  </si>
  <si>
    <t xml:space="preserve">openlending.com</t>
  </si>
  <si>
    <t xml:space="preserve">Jessica Buss</t>
  </si>
  <si>
    <t xml:space="preserve">Lenders Protection AI-driven risk analytics for CU and bank auto loans</t>
  </si>
  <si>
    <t xml:space="preserve">Serves 400+ credit unions and banks</t>
  </si>
  <si>
    <t xml:space="preserve">https://investors.openlending.com</t>
  </si>
  <si>
    <t xml:space="preserve">Turn 14 Distribution</t>
  </si>
  <si>
    <t xml:space="preserve">performance/aftermarket parts</t>
  </si>
  <si>
    <t xml:space="preserve">Horsham</t>
  </si>
  <si>
    <t xml:space="preserve">turn14.com</t>
  </si>
  <si>
    <t xml:space="preserve">CIO; COO; VP Operations</t>
  </si>
  <si>
    <t xml:space="preserve">Heavy in-house tech and data</t>
  </si>
  <si>
    <t xml:space="preserve">Revenue estimate</t>
  </si>
  <si>
    <t xml:space="preserve">https://www.mdm.com/top_distributors/</t>
  </si>
  <si>
    <t xml:space="preserve">Würth Industry North America</t>
  </si>
  <si>
    <t xml:space="preserve">fasteners/C-parts/MRO</t>
  </si>
  <si>
    <t xml:space="preserve">wurthindustry.com</t>
  </si>
  <si>
    <t xml:space="preserve">Digital kanban and RFID inventory tech</t>
  </si>
  <si>
    <t xml:space="preserve">Sub of Würth Group (Germany)</t>
  </si>
  <si>
    <t xml:space="preserve">https://www.mdm.com/top_distributors/distributor_categories/mro-industrial/</t>
  </si>
  <si>
    <t xml:space="preserve">Bossard Americas</t>
  </si>
  <si>
    <t xml:space="preserve">fasteners/smart factory logistics</t>
  </si>
  <si>
    <t xml:space="preserve">Cedar Falls</t>
  </si>
  <si>
    <t xml:space="preserve">bossard.com</t>
  </si>
  <si>
    <t xml:space="preserve">VP Operations; CIO; GM Americas</t>
  </si>
  <si>
    <t xml:space="preserve">SmartBin IoT inventory systems</t>
  </si>
  <si>
    <t xml:space="preserve">MDM 2026 fasteners $292M; Bossard Group (Swiss) sub</t>
  </si>
  <si>
    <t xml:space="preserve">https://www.mdm.com/wp-content/uploads/2026/06/MDM-2026-TD-Report-2.pdf</t>
  </si>
  <si>
    <t xml:space="preserve">Checkers &amp; Rally's</t>
  </si>
  <si>
    <t xml:space="preserve">QSR franchisor</t>
  </si>
  <si>
    <t xml:space="preserve">checkers.com</t>
  </si>
  <si>
    <t xml:space="preserve">Frances Allen</t>
  </si>
  <si>
    <t xml:space="preserve">COO; CIO; VP Franchise Operations</t>
  </si>
  <si>
    <t xml:space="preserve">Early adopter of Presto AI voice drive-thru</t>
  </si>
  <si>
    <t xml:space="preserve">Lender-owned after 2020 restructuring; band reflects systemwide sales estimate</t>
  </si>
  <si>
    <t xml:space="preserve">https://www.checkers.com</t>
  </si>
  <si>
    <t xml:space="preserve">Del Taco</t>
  </si>
  <si>
    <t xml:space="preserve">Lake Forest</t>
  </si>
  <si>
    <t xml:space="preserve">deltaco.com</t>
  </si>
  <si>
    <t xml:space="preserve">Deployed Presto AI voice drive-thru</t>
  </si>
  <si>
    <t xml:space="preserve">Sold by Jack in the Box to Yadav Enterprises 2025; band reflects systemwide sales estimate</t>
  </si>
  <si>
    <t xml:space="preserve">https://www.restaurantdive.com/news/top-mergers-acquisitions-restaraurant-2026/807212/</t>
  </si>
  <si>
    <t xml:space="preserve">Black Box</t>
  </si>
  <si>
    <t xml:space="preserve">Systems integrator / network services</t>
  </si>
  <si>
    <t xml:space="preserve">Lawrence</t>
  </si>
  <si>
    <t xml:space="preserve">blackbox.com</t>
  </si>
  <si>
    <t xml:space="preserve">Sanjeev Verma</t>
  </si>
  <si>
    <t xml:space="preserve">CIO; CTO; VP Global Services; COO</t>
  </si>
  <si>
    <t xml:space="preserve">AI-ready data center and network integration</t>
  </si>
  <si>
    <t xml:space="preserve">Owned by AGC Networks (Essar)</t>
  </si>
  <si>
    <t xml:space="preserve">https://www.blackbox.com</t>
  </si>
  <si>
    <t xml:space="preserve">Collabera</t>
  </si>
  <si>
    <t xml:space="preserve">IT staffing / digital services</t>
  </si>
  <si>
    <t xml:space="preserve">Basking Ridge</t>
  </si>
  <si>
    <t xml:space="preserve">collabera.com</t>
  </si>
  <si>
    <t xml:space="preserve">Hiten Patel</t>
  </si>
  <si>
    <t xml:space="preserve">CIO; COO; VP Digital; VP Delivery</t>
  </si>
  <si>
    <t xml:space="preserve">Collabera Digital AI/ML engineering arm</t>
  </si>
  <si>
    <t xml:space="preserve">Private US-HQ with global delivery</t>
  </si>
  <si>
    <t xml:space="preserve">https://www.collabera.com</t>
  </si>
  <si>
    <t xml:space="preserve">Fulcrum IT Partners</t>
  </si>
  <si>
    <t xml:space="preserve">Solution provider platform</t>
  </si>
  <si>
    <t xml:space="preserve">fulcrumitpartners.com</t>
  </si>
  <si>
    <t xml:space="preserve">Kyle Lanzinger</t>
  </si>
  <si>
    <t xml:space="preserve">CIO; CTO; Platform GMs; VP Managed Services</t>
  </si>
  <si>
    <t xml:space="preserve">Roll-up of Advizex; Sirius Canada spin; AI advisory</t>
  </si>
  <si>
    <t xml:space="preserve">Holding company for multiple integrators</t>
  </si>
  <si>
    <t xml:space="preserve">https://www.fulcrumitpartners.com</t>
  </si>
  <si>
    <t xml:space="preserve">General Datatech (GDT)</t>
  </si>
  <si>
    <t xml:space="preserve">Solution provider / systems integrator</t>
  </si>
  <si>
    <t xml:space="preserve">gdt.com</t>
  </si>
  <si>
    <t xml:space="preserve">J.W. Roberts</t>
  </si>
  <si>
    <t xml:space="preserve">AI and automation-focused network modernization</t>
  </si>
  <si>
    <t xml:space="preserve">Cisco Gold partner</t>
  </si>
  <si>
    <t xml:space="preserve">https://www.gdt.com</t>
  </si>
  <si>
    <t xml:space="preserve">Iron Bow Technologies</t>
  </si>
  <si>
    <t xml:space="preserve">Federal solution provider</t>
  </si>
  <si>
    <t xml:space="preserve">ironbow.com</t>
  </si>
  <si>
    <t xml:space="preserve">Rene LaVigne</t>
  </si>
  <si>
    <t xml:space="preserve">CIO; CTO; VP Federal; VP Managed Services</t>
  </si>
  <si>
    <t xml:space="preserve">AI and cyber solutions for defense and civilian agencies</t>
  </si>
  <si>
    <t xml:space="preserve">2025 CRN SP500</t>
  </si>
  <si>
    <t xml:space="preserve">https://www.businesswire.com/news/home/20250528493388/en/Iron-Bow-Technologies-Named-to-CRN-Solution-Provider-500-List-for-2025</t>
  </si>
  <si>
    <t xml:space="preserve">Logicalis US</t>
  </si>
  <si>
    <t xml:space="preserve">us.logicalis.com</t>
  </si>
  <si>
    <t xml:space="preserve">Mike Houghton</t>
  </si>
  <si>
    <t xml:space="preserve">Logicalis Intelligent Connectivity and AI services</t>
  </si>
  <si>
    <t xml:space="preserve">Subsidiary of Datatec (JSE)</t>
  </si>
  <si>
    <t xml:space="preserve">https://www.us.logicalis.com</t>
  </si>
  <si>
    <t xml:space="preserve">Mainline Information Systems</t>
  </si>
  <si>
    <t xml:space="preserve">Solution provider / VAR</t>
  </si>
  <si>
    <t xml:space="preserve">Tallahassee</t>
  </si>
  <si>
    <t xml:space="preserve">mainline.com</t>
  </si>
  <si>
    <t xml:space="preserve">Jeff Dobbelaere</t>
  </si>
  <si>
    <t xml:space="preserve">CIO; CTO; VP Infrastructure; VP Data</t>
  </si>
  <si>
    <t xml:space="preserve">IBM AI and hybrid cloud infrastructure integrator</t>
  </si>
  <si>
    <t xml:space="preserve">Large IBM business partner</t>
  </si>
  <si>
    <t xml:space="preserve">https://www.mainline.com</t>
  </si>
  <si>
    <t xml:space="preserve">ThunderCat Technology</t>
  </si>
  <si>
    <t xml:space="preserve">thundercattech.com</t>
  </si>
  <si>
    <t xml:space="preserve">Tom Deierlein</t>
  </si>
  <si>
    <t xml:space="preserve">CIO; CTO; VP Federal Programs; COO</t>
  </si>
  <si>
    <t xml:space="preserve">Federal AI infrastructure and data center solutions</t>
  </si>
  <si>
    <t xml:space="preserve">Service-disabled veteran-owned</t>
  </si>
  <si>
    <t xml:space="preserve">https://seekingalpha.com/pr/20116841-thundercat-technology-named-to-crn-solution-provider-500-list-for-2025</t>
  </si>
  <si>
    <t xml:space="preserve">CTG (Computer Task Group)</t>
  </si>
  <si>
    <t xml:space="preserve">IT solutions / staffing</t>
  </si>
  <si>
    <t xml:space="preserve">Buffalo</t>
  </si>
  <si>
    <t xml:space="preserve">ctg.com</t>
  </si>
  <si>
    <t xml:space="preserve">Sam Cooper</t>
  </si>
  <si>
    <t xml:space="preserve">CIO; COO; VP Solutions; VP Delivery</t>
  </si>
  <si>
    <t xml:space="preserve">Cegeka-owned; AI and data solutions</t>
  </si>
  <si>
    <t xml:space="preserve">Acquired by Cegeka 2023</t>
  </si>
  <si>
    <t xml:space="preserve">https://www.ctg.com</t>
  </si>
  <si>
    <t xml:space="preserve">Denali Advanced Integration</t>
  </si>
  <si>
    <t xml:space="preserve">Redmond</t>
  </si>
  <si>
    <t xml:space="preserve">denaliai.com</t>
  </si>
  <si>
    <t xml:space="preserve">Majdi Daher</t>
  </si>
  <si>
    <t xml:space="preserve">CIO; CTO; VP Infrastructure; VP Cloud</t>
  </si>
  <si>
    <t xml:space="preserve">Data center and AI infrastructure integration</t>
  </si>
  <si>
    <t xml:space="preserve">Pacific Northwest integrator</t>
  </si>
  <si>
    <t xml:space="preserve">https://www.denaliai.com</t>
  </si>
  <si>
    <t xml:space="preserve">Genesis10</t>
  </si>
  <si>
    <t xml:space="preserve">genesis10.com</t>
  </si>
  <si>
    <t xml:space="preserve">Harley Lippman</t>
  </si>
  <si>
    <t xml:space="preserve">CIO; COO; VP Delivery; VP Consulting</t>
  </si>
  <si>
    <t xml:space="preserve">Domestic delivery centers and AI upskilling programs</t>
  </si>
  <si>
    <t xml:space="preserve">Private US-HQ with onshore delivery model</t>
  </si>
  <si>
    <t xml:space="preserve">https://www.genesis10.com</t>
  </si>
  <si>
    <t xml:space="preserve">Grid Dynamics</t>
  </si>
  <si>
    <t xml:space="preserve">griddynamics.com</t>
  </si>
  <si>
    <t xml:space="preserve">Leonard Livschitz</t>
  </si>
  <si>
    <t xml:space="preserve">GigaCube AI accelerators; agentic AI services</t>
  </si>
  <si>
    <t xml:space="preserve">NASDAQ: GDYN</t>
  </si>
  <si>
    <t xml:space="preserve">https://ir.griddynamics.com</t>
  </si>
  <si>
    <t xml:space="preserve">Impact Networking</t>
  </si>
  <si>
    <t xml:space="preserve">impactmybiz.com</t>
  </si>
  <si>
    <t xml:space="preserve">Frank Cucco</t>
  </si>
  <si>
    <t xml:space="preserve">COO; CIO; VP Managed IT; VP Cybersecurity</t>
  </si>
  <si>
    <t xml:space="preserve">Launched AI consulting and automation services</t>
  </si>
  <si>
    <t xml:space="preserve">Midwest office technology and IT services</t>
  </si>
  <si>
    <t xml:space="preserve">https://www.impactmybiz.com</t>
  </si>
  <si>
    <t xml:space="preserve">Myriad360</t>
  </si>
  <si>
    <t xml:space="preserve">myriad360.com</t>
  </si>
  <si>
    <t xml:space="preserve">Robert Mandell</t>
  </si>
  <si>
    <t xml:space="preserve">CIO; CTO; VP Infrastructure; CISO</t>
  </si>
  <si>
    <t xml:space="preserve">Deep AI infrastructure and data center practice</t>
  </si>
  <si>
    <t xml:space="preserve">Fast-growing NYC integrator</t>
  </si>
  <si>
    <t xml:space="preserve">https://www.myriad360.com</t>
  </si>
  <si>
    <t xml:space="preserve">Sayers</t>
  </si>
  <si>
    <t xml:space="preserve">Vernon Hills</t>
  </si>
  <si>
    <t xml:space="preserve">sayers.com</t>
  </si>
  <si>
    <t xml:space="preserve">Ken Sayers</t>
  </si>
  <si>
    <t xml:space="preserve">Cybersecurity and AI-ready infrastructure</t>
  </si>
  <si>
    <t xml:space="preserve">Family-founded Chicago-area integrator</t>
  </si>
  <si>
    <t xml:space="preserve">https://www.sayers.com</t>
  </si>
  <si>
    <t xml:space="preserve">Sentinel Technologies</t>
  </si>
  <si>
    <t xml:space="preserve">sentinel.com</t>
  </si>
  <si>
    <t xml:space="preserve">Richard Fromm</t>
  </si>
  <si>
    <t xml:space="preserve">CIO; CTO; VP Managed Services; VP Operations</t>
  </si>
  <si>
    <t xml:space="preserve">Managed security and AI-enabled service desk</t>
  </si>
  <si>
    <t xml:space="preserve">Family-founded Chicago integrator</t>
  </si>
  <si>
    <t xml:space="preserve">https://www.sentinel.com</t>
  </si>
  <si>
    <t xml:space="preserve">Evolving Solutions</t>
  </si>
  <si>
    <t xml:space="preserve">Hamel</t>
  </si>
  <si>
    <t xml:space="preserve">evolvingsol.com</t>
  </si>
  <si>
    <t xml:space="preserve">Jaime Gmach</t>
  </si>
  <si>
    <t xml:space="preserve">Hybrid cloud and AI-ready data platforms</t>
  </si>
  <si>
    <t xml:space="preserve">Upper Midwest integrator</t>
  </si>
  <si>
    <t xml:space="preserve">https://www.evolvingsol.com</t>
  </si>
  <si>
    <t xml:space="preserve">Mastech Digital</t>
  </si>
  <si>
    <t xml:space="preserve">IT staffing / data engineering</t>
  </si>
  <si>
    <t xml:space="preserve">mastechdigital.com</t>
  </si>
  <si>
    <t xml:space="preserve">Nirav Patel</t>
  </si>
  <si>
    <t xml:space="preserve">CIO; COO; VP Data and Analytics; VP Delivery</t>
  </si>
  <si>
    <t xml:space="preserve">Mastech InfoTrellis AI and data modernization</t>
  </si>
  <si>
    <t xml:space="preserve">NYSE American: MHH</t>
  </si>
  <si>
    <t xml:space="preserve">https://www.mastechdigital.com</t>
  </si>
  <si>
    <t xml:space="preserve">Pariveda Solutions</t>
  </si>
  <si>
    <t xml:space="preserve">Technology consulting</t>
  </si>
  <si>
    <t xml:space="preserve">parivedasolutions.com</t>
  </si>
  <si>
    <t xml:space="preserve">Bruce Ballengee</t>
  </si>
  <si>
    <t xml:space="preserve">CIO; CTO; Chief Digital Officer; VP Engineering</t>
  </si>
  <si>
    <t xml:space="preserve">AI and data engineering practice</t>
  </si>
  <si>
    <t xml:space="preserve">ESOP-owned consultancy</t>
  </si>
  <si>
    <t xml:space="preserve">https://www.parivedasolutions.com</t>
  </si>
  <si>
    <t xml:space="preserve">2nd Watch</t>
  </si>
  <si>
    <t xml:space="preserve">Cloud consulting / MSP</t>
  </si>
  <si>
    <t xml:space="preserve">2ndwatch.com</t>
  </si>
  <si>
    <t xml:space="preserve">Doug Schneider</t>
  </si>
  <si>
    <t xml:space="preserve">CIO; CTO; VP Cloud; VP Data</t>
  </si>
  <si>
    <t xml:space="preserve">Cloud modernization and data/AI services</t>
  </si>
  <si>
    <t xml:space="preserve">AWS and Azure partner</t>
  </si>
  <si>
    <t xml:space="preserve">https://www.2ndwatch.com</t>
  </si>
  <si>
    <t xml:space="preserve">Launch Consulting Group</t>
  </si>
  <si>
    <t xml:space="preserve">launchconsulting.com</t>
  </si>
  <si>
    <t xml:space="preserve">Larry Nelson</t>
  </si>
  <si>
    <t xml:space="preserve">CIO; CTO; Chief Digital Officer; VP Data</t>
  </si>
  <si>
    <t xml:space="preserve">Data and AI consulting for enterprises</t>
  </si>
  <si>
    <t xml:space="preserve">Pacific Northwest digital consultancy</t>
  </si>
  <si>
    <t xml:space="preserve">https://www.launchconsulting.com</t>
  </si>
  <si>
    <t xml:space="preserve">Logic20/20</t>
  </si>
  <si>
    <t xml:space="preserve">logic2020.com</t>
  </si>
  <si>
    <t xml:space="preserve">Christian O'Meara</t>
  </si>
  <si>
    <t xml:space="preserve">CIO; COO; VP Digital; VP Data</t>
  </si>
  <si>
    <t xml:space="preserve">Advanced analytics and AI advisory</t>
  </si>
  <si>
    <t xml:space="preserve">Business and technology consulting</t>
  </si>
  <si>
    <t xml:space="preserve">https://www.logic2020.com</t>
  </si>
  <si>
    <t xml:space="preserve">Akerman</t>
  </si>
  <si>
    <t xml:space="preserve">Am Law 100 law firm</t>
  </si>
  <si>
    <t xml:space="preserve">akerman.com</t>
  </si>
  <si>
    <t xml:space="preserve">Scott Meyers</t>
  </si>
  <si>
    <t xml:space="preserve">COO; Chief Innovation Officer; CIO; Chief Knowledge Officer</t>
  </si>
  <si>
    <t xml:space="preserve">Akerman Data Law Center; R&amp;D Council innovation program</t>
  </si>
  <si>
    <t xml:space="preserve">290 FL lawyers; Am Law 100 lower tier</t>
  </si>
  <si>
    <t xml:space="preserve">https://abovethelaw.com/2025/07/the-100-largest-law-firms-in-florida-2024/</t>
  </si>
  <si>
    <t xml:space="preserve">Baker Botts</t>
  </si>
  <si>
    <t xml:space="preserve">Am Law 200 law firm</t>
  </si>
  <si>
    <t xml:space="preserve">bakerbotts.com</t>
  </si>
  <si>
    <t xml:space="preserve">Danny David</t>
  </si>
  <si>
    <t xml:space="preserve">COO; CIO; Chief Knowledge Officer</t>
  </si>
  <si>
    <t xml:space="preserve">Record 2025 revenue; energy/tech focus</t>
  </si>
  <si>
    <t xml:space="preserve">Am Law 100 lower tier; FY2025 record revenue</t>
  </si>
  <si>
    <t xml:space="preserve">https://texaslawbook.net/law-firms-in-texas-off-to-a-very-strong-start-in-2026/</t>
  </si>
  <si>
    <t xml:space="preserve">Baker Donelson</t>
  </si>
  <si>
    <t xml:space="preserve">Memphis</t>
  </si>
  <si>
    <t xml:space="preserve">bakerdonelson.com</t>
  </si>
  <si>
    <t xml:space="preserve">Timothy Lupinacci</t>
  </si>
  <si>
    <t xml:space="preserve">Firmwide generative AI rollout and AI practice group</t>
  </si>
  <si>
    <t xml:space="preserve">Am Law 200 #102 (FY2025 gross revenue $558.4M)</t>
  </si>
  <si>
    <t xml:space="preserve">https://abovethelaw.com/2026/05/the-am-law-200-biglaws-second-hundred-firms-bask-in-financial-success-with-strong-metrics-across-the-board/</t>
  </si>
  <si>
    <t xml:space="preserve">Ballard Spahr</t>
  </si>
  <si>
    <t xml:space="preserve">ballardspahr.com</t>
  </si>
  <si>
    <t xml:space="preserve">Peter Michaud</t>
  </si>
  <si>
    <t xml:space="preserve">Client Value and Innovation team; Lane Powell merger 2025</t>
  </si>
  <si>
    <t xml:space="preserve">Am Law 100 lower tier</t>
  </si>
  <si>
    <t xml:space="preserve">https://en.wikipedia.org/wiki/Ballard_Spahr</t>
  </si>
  <si>
    <t xml:space="preserve">Barnes &amp; Thornburg</t>
  </si>
  <si>
    <t xml:space="preserve">btlaw.com</t>
  </si>
  <si>
    <t xml:space="preserve">Andrew Detherage</t>
  </si>
  <si>
    <t xml:space="preserve">Innovation and data analytics team</t>
  </si>
  <si>
    <t xml:space="preserve">Am Law 100 lower tier; double-digit gains</t>
  </si>
  <si>
    <t xml:space="preserve">https://www.beneschlaw.com/wp-content/uploads/2025/08/The-Money-Rolled-Right-in-for-Am-Law-200-Firms-in-the-Midwest-5-.pdf</t>
  </si>
  <si>
    <t xml:space="preserve">Davis Wright Tremaine</t>
  </si>
  <si>
    <t xml:space="preserve">dwt.com</t>
  </si>
  <si>
    <t xml:space="preserve">Scott MacCormack</t>
  </si>
  <si>
    <t xml:space="preserve">DWT De Novo innovation/legal ops unit</t>
  </si>
  <si>
    <t xml:space="preserve">Am Law 200 Pacific NW firm</t>
  </si>
  <si>
    <t xml:space="preserve">https://en.wikipedia.org/wiki/Davis_Wright_Tremaine</t>
  </si>
  <si>
    <t xml:space="preserve">Fenwick &amp; West</t>
  </si>
  <si>
    <t xml:space="preserve">Mountain View</t>
  </si>
  <si>
    <t xml:space="preserve">fenwick.com</t>
  </si>
  <si>
    <t xml:space="preserve">Richard Dickson</t>
  </si>
  <si>
    <t xml:space="preserve">Tech-client base; early genAI adoption</t>
  </si>
  <si>
    <t xml:space="preserve">Am Law 100 tech firm; FY2024 est</t>
  </si>
  <si>
    <t xml:space="preserve">https://en.wikipedia.org/wiki/Fenwick_&amp;_West</t>
  </si>
  <si>
    <t xml:space="preserve">Fish &amp; Richardson</t>
  </si>
  <si>
    <t xml:space="preserve">IP law firm (Am Law 200)</t>
  </si>
  <si>
    <t xml:space="preserve">fr.com</t>
  </si>
  <si>
    <t xml:space="preserve">John Adkisson</t>
  </si>
  <si>
    <t xml:space="preserve">IP practice heavy in AI patent work; litigation analytics</t>
  </si>
  <si>
    <t xml:space="preserve">Am Law 200 #103 (FY2025 $556.4M)</t>
  </si>
  <si>
    <t xml:space="preserve">Fox Rothschild</t>
  </si>
  <si>
    <t xml:space="preserve">foxrothschild.com</t>
  </si>
  <si>
    <t xml:space="preserve">Mark Morris</t>
  </si>
  <si>
    <t xml:space="preserve">COO; Chief Innovation Officer; CIO</t>
  </si>
  <si>
    <t xml:space="preserve">Chief Innovation Officer role</t>
  </si>
  <si>
    <t xml:space="preserve">https://en.wikipedia.org/wiki/Fox_Rothschild</t>
  </si>
  <si>
    <t xml:space="preserve">Gordon Rees Scully Mansukhani</t>
  </si>
  <si>
    <t xml:space="preserve">insurance defense law firm (Am Law 100)</t>
  </si>
  <si>
    <t xml:space="preserve">grsm.com</t>
  </si>
  <si>
    <t xml:space="preserve">Dion Cominos</t>
  </si>
  <si>
    <t xml:space="preserve">Highest billable hours per lawyer in Am Law 100</t>
  </si>
  <si>
    <t xml:space="preserve">50-state defense firm</t>
  </si>
  <si>
    <t xml:space="preserve">https://www.legal.io/blog/5609720/The-2025-Am-Law-100-By-the-Numbers</t>
  </si>
  <si>
    <t xml:space="preserve">Gunderson Dettmer</t>
  </si>
  <si>
    <t xml:space="preserve">gunder.com</t>
  </si>
  <si>
    <t xml:space="preserve">David Young</t>
  </si>
  <si>
    <t xml:space="preserve">Built in-house genAI tool ChatGD; active legal AI adopter</t>
  </si>
  <si>
    <t xml:space="preserve">Am Law 200 #101 (FY2025 $557.5M); venture/tech clients</t>
  </si>
  <si>
    <t xml:space="preserve">Haynes Boone</t>
  </si>
  <si>
    <t xml:space="preserve">haynesboone.com</t>
  </si>
  <si>
    <t xml:space="preserve">Taylor Wilson</t>
  </si>
  <si>
    <t xml:space="preserve">Innovation team; genAI pilots</t>
  </si>
  <si>
    <t xml:space="preserve">Texas-based; ~700 lawyers; FY2024 est</t>
  </si>
  <si>
    <t xml:space="preserve">https://en.wikipedia.org/wiki/Haynes_and_Boone</t>
  </si>
  <si>
    <t xml:space="preserve">Husch Blackwell</t>
  </si>
  <si>
    <t xml:space="preserve">huschblackwell.com</t>
  </si>
  <si>
    <t xml:space="preserve">Catherine Hanaway</t>
  </si>
  <si>
    <t xml:space="preserve">Launched Husch Blackwell consulting arm; internal genAI tools</t>
  </si>
  <si>
    <t xml:space="preserve">FY2025 revenue $781.6M (+10.4%); Am Law 100 #78 in 2025</t>
  </si>
  <si>
    <t xml:space="preserve">https://molawyersmedia.com/2026/06/10/missouri-law-firms-2025-revenue-growth/</t>
  </si>
  <si>
    <t xml:space="preserve">Intapp</t>
  </si>
  <si>
    <t xml:space="preserve">law firm and professional services software</t>
  </si>
  <si>
    <t xml:space="preserve">intapp.com</t>
  </si>
  <si>
    <t xml:space="preserve">John Hall</t>
  </si>
  <si>
    <t xml:space="preserve">Intapp Assist genAI; Applied AI strategy</t>
  </si>
  <si>
    <t xml:space="preserve">NASDAQ: INTA; FY2025 revenue ~$500M</t>
  </si>
  <si>
    <t xml:space="preserve">https://en.wikipedia.org/wiki/Intapp</t>
  </si>
  <si>
    <t xml:space="preserve">Jackson Lewis</t>
  </si>
  <si>
    <t xml:space="preserve">labor &amp; employment law firm (Am Law 100)</t>
  </si>
  <si>
    <t xml:space="preserve">Berkeley Heights</t>
  </si>
  <si>
    <t xml:space="preserve">jacksonlewis.com</t>
  </si>
  <si>
    <t xml:space="preserve">Kevin Lauri</t>
  </si>
  <si>
    <t xml:space="preserve">Data analytics and AI-focused employment practice</t>
  </si>
  <si>
    <t xml:space="preserve">Am Law 100 in 2025</t>
  </si>
  <si>
    <t xml:space="preserve">https://www.jacksonlewis.com/firm/news-and-press/jackson-lewis-named-2025-am-law-100-gross-revenue-ranking</t>
  </si>
  <si>
    <t xml:space="preserve">LegalZoom</t>
  </si>
  <si>
    <t xml:space="preserve">online legal services platform</t>
  </si>
  <si>
    <t xml:space="preserve">legalzoom.com</t>
  </si>
  <si>
    <t xml:space="preserve">Jeff Stibel</t>
  </si>
  <si>
    <t xml:space="preserve">COO; Chief Product Officer; CIO</t>
  </si>
  <si>
    <t xml:space="preserve">AI-powered Doc Assist and attorney network; public company</t>
  </si>
  <si>
    <t xml:space="preserve">NASDAQ: LZ; FY2024 revenue ~$680M</t>
  </si>
  <si>
    <t xml:space="preserve">https://en.wikipedia.org/wiki/LegalZoom</t>
  </si>
  <si>
    <t xml:space="preserve">Littler Mendelson</t>
  </si>
  <si>
    <t xml:space="preserve">littler.com</t>
  </si>
  <si>
    <t xml:space="preserve">Erin Webber</t>
  </si>
  <si>
    <t xml:space="preserve">Littler CaseSmart and Littler X platforms; long-running innovation unit</t>
  </si>
  <si>
    <t xml:space="preserve">Largest employment firm; Am Law 100</t>
  </si>
  <si>
    <t xml:space="preserve">https://en.wikipedia.org/wiki/Littler_Mendelson</t>
  </si>
  <si>
    <t xml:space="preserve">Lowenstein Sandler</t>
  </si>
  <si>
    <t xml:space="preserve">Roseland</t>
  </si>
  <si>
    <t xml:space="preserve">lowenstein.com</t>
  </si>
  <si>
    <t xml:space="preserve">Gary Wingens</t>
  </si>
  <si>
    <t xml:space="preserve">Dedicated innovation/AI team; RPL $1.75M</t>
  </si>
  <si>
    <t xml:space="preserve">Am Law 200 #104 (FY2025 $523.4M)</t>
  </si>
  <si>
    <t xml:space="preserve">Manatt Phelps &amp; Phillips</t>
  </si>
  <si>
    <t xml:space="preserve">law firm + consulting hybrid (Am Law 200)</t>
  </si>
  <si>
    <t xml:space="preserve">manatt.com</t>
  </si>
  <si>
    <t xml:space="preserve">Donna Wilson</t>
  </si>
  <si>
    <t xml:space="preserve">Manatt Health/consulting arm; digital health and AI advisory</t>
  </si>
  <si>
    <t xml:space="preserve">Am Law 200 #106 (FY2025 $509.7M)</t>
  </si>
  <si>
    <t xml:space="preserve">Ogletree Deakins</t>
  </si>
  <si>
    <t xml:space="preserve">ogletree.com</t>
  </si>
  <si>
    <t xml:space="preserve">Matthew Keen</t>
  </si>
  <si>
    <t xml:space="preserve">Client-facing tech tools and AI practice</t>
  </si>
  <si>
    <t xml:space="preserve">Am Law 100 employment firm</t>
  </si>
  <si>
    <t xml:space="preserve">https://en.wikipedia.org/wiki/Ogletree,_Deakins,_Nash,_Smoak_&amp;_Stewart</t>
  </si>
  <si>
    <t xml:space="preserve">Shook Hardy &amp; Bacon</t>
  </si>
  <si>
    <t xml:space="preserve">shb.com</t>
  </si>
  <si>
    <t xml:space="preserve">Madeleine McDonough</t>
  </si>
  <si>
    <t xml:space="preserve">Shook Innovation lab; data analytics for product liability</t>
  </si>
  <si>
    <t xml:space="preserve">FY2025 revenue $643.4M (+28.4%)</t>
  </si>
  <si>
    <t xml:space="preserve">Taft Stettinius &amp; Hollister</t>
  </si>
  <si>
    <t xml:space="preserve">Cincinnati</t>
  </si>
  <si>
    <t xml:space="preserve">taftlaw.com</t>
  </si>
  <si>
    <t xml:space="preserve">Robert Hicks</t>
  </si>
  <si>
    <t xml:space="preserve">Merger-driven growth (Sherman &amp; Howard 2025); innovation function</t>
  </si>
  <si>
    <t xml:space="preserve">FY2024 revenue &gt;$700M; ~1,000 lawyers</t>
  </si>
  <si>
    <t xml:space="preserve">https://www.taftlaw.com/news-events/news/taft-rises-four-spots-on-2025-am-law-100/</t>
  </si>
  <si>
    <t xml:space="preserve">Womble Bond Dickinson (US)</t>
  </si>
  <si>
    <t xml:space="preserve">womblebonddickinson.com</t>
  </si>
  <si>
    <t xml:space="preserve">Betty Temple</t>
  </si>
  <si>
    <t xml:space="preserve">Innovation and legal ops group; Lewis Roca merger talks</t>
  </si>
  <si>
    <t xml:space="preserve">Transatlantic firm; US arm revenue est</t>
  </si>
  <si>
    <t xml:space="preserve">https://en.wikipedia.org/wiki/Womble_Bond_Dickinson_(US)_LLP</t>
  </si>
  <si>
    <t xml:space="preserve">Benesch Friedlander Coplan &amp; Aronoff</t>
  </si>
  <si>
    <t xml:space="preserve">beneschlaw.com</t>
  </si>
  <si>
    <t xml:space="preserve">Gregg Eisenberg</t>
  </si>
  <si>
    <t xml:space="preserve">Double-digit growth; innovation and data initiatives</t>
  </si>
  <si>
    <t xml:space="preserve">FY2023 $271.2M (+14.5%); FY2024 est</t>
  </si>
  <si>
    <t xml:space="preserve">https://abovethelaw.com/2024/05/am-law-200-2024/</t>
  </si>
  <si>
    <t xml:space="preserve">Cole Scott &amp; Kissane</t>
  </si>
  <si>
    <t xml:space="preserve">insurance defense law firm (Am Law 200)</t>
  </si>
  <si>
    <t xml:space="preserve">csklegal.com</t>
  </si>
  <si>
    <t xml:space="preserve">Richard Cole</t>
  </si>
  <si>
    <t xml:space="preserve">COO; CIO; Executive Director</t>
  </si>
  <si>
    <t xml:space="preserve">High-volume defense workflow; PPP $6.35M</t>
  </si>
  <si>
    <t xml:space="preserve">Largest FL firm by headcount (597 lawyers)</t>
  </si>
  <si>
    <t xml:space="preserve">FTI Technology</t>
  </si>
  <si>
    <t xml:space="preserve">eDiscovery / legal tech consulting</t>
  </si>
  <si>
    <t xml:space="preserve">fticonsulting.com</t>
  </si>
  <si>
    <t xml:space="preserve">Sophie Ross</t>
  </si>
  <si>
    <t xml:space="preserve">Genesis genAI review and IG services</t>
  </si>
  <si>
    <t xml:space="preserve">Segment of FTI Consulting (NYSE: FCN)</t>
  </si>
  <si>
    <t xml:space="preserve">https://en.wikipedia.org/wiki/FTI_Consulting</t>
  </si>
  <si>
    <t xml:space="preserve">Fisher Phillips</t>
  </si>
  <si>
    <t xml:space="preserve">labor &amp; employment law firm (Am Law 200)</t>
  </si>
  <si>
    <t xml:space="preserve">fisherphillips.com</t>
  </si>
  <si>
    <t xml:space="preserve">John Polson</t>
  </si>
  <si>
    <t xml:space="preserve">AI practice group and proprietary FP tools; Chief Innovation Officer role</t>
  </si>
  <si>
    <t xml:space="preserve">Am Law 200 #110 (FY2025 $464.2M)</t>
  </si>
  <si>
    <t xml:space="preserve">Honigman</t>
  </si>
  <si>
    <t xml:space="preserve">Detroit</t>
  </si>
  <si>
    <t xml:space="preserve">honigman.com</t>
  </si>
  <si>
    <t xml:space="preserve">David Foltyn</t>
  </si>
  <si>
    <t xml:space="preserve">Chief Innovation Officer; early Harvey adopter</t>
  </si>
  <si>
    <t xml:space="preserve">Michigan's largest firm; Am Law 200</t>
  </si>
  <si>
    <t xml:space="preserve">https://prod.crainsdetroit.com/data-center/michigans-largest-law-firms-honigman-tops-2025-list</t>
  </si>
  <si>
    <t xml:space="preserve">KLDiscovery</t>
  </si>
  <si>
    <t xml:space="preserve">eDiscovery and data recovery</t>
  </si>
  <si>
    <t xml:space="preserve">kldiscovery.com</t>
  </si>
  <si>
    <t xml:space="preserve">Christopher Weiler</t>
  </si>
  <si>
    <t xml:space="preserve">Nebula platform with AI review; Ontrack data recovery</t>
  </si>
  <si>
    <t xml:space="preserve">Lender-owned after 2024 recapitalization; FY2023 revenue ~$350M</t>
  </si>
  <si>
    <t xml:space="preserve">Quarles &amp; Brady</t>
  </si>
  <si>
    <t xml:space="preserve">quarles.com</t>
  </si>
  <si>
    <t xml:space="preserve">Michael Aldana</t>
  </si>
  <si>
    <t xml:space="preserve">Innovation team and legal tech pilots</t>
  </si>
  <si>
    <t xml:space="preserve">Am Law 200 Midwest firm</t>
  </si>
  <si>
    <t xml:space="preserve">https://en.wikipedia.org/wiki/Quarles_&amp;_Brady</t>
  </si>
  <si>
    <t xml:space="preserve">Spencer Fane</t>
  </si>
  <si>
    <t xml:space="preserve">spencerfane.com</t>
  </si>
  <si>
    <t xml:space="preserve">Patrick Whalen</t>
  </si>
  <si>
    <t xml:space="preserve">Rapid lateral growth; tech-enabled expansion model</t>
  </si>
  <si>
    <t xml:space="preserve">FY2025 revenue $404M (+25.5%)</t>
  </si>
  <si>
    <t xml:space="preserve">Thompson Hine</t>
  </si>
  <si>
    <t xml:space="preserve">thompsonhine.com</t>
  </si>
  <si>
    <t xml:space="preserve">Deborah Read</t>
  </si>
  <si>
    <t xml:space="preserve">SmartPaTH legal project management program</t>
  </si>
  <si>
    <t xml:space="preserve">Am Law 200; innovation-focused</t>
  </si>
  <si>
    <t xml:space="preserve">https://en.wikipedia.org/wiki/Thompson_Hine</t>
  </si>
  <si>
    <t xml:space="preserve">TransPerfect Legal Solutions</t>
  </si>
  <si>
    <t xml:space="preserve">eDiscovery / legal language services</t>
  </si>
  <si>
    <t xml:space="preserve">transperfectlegal.com</t>
  </si>
  <si>
    <t xml:space="preserve">Phil Shawe</t>
  </si>
  <si>
    <t xml:space="preserve">Reef AI and GlobalLink AI platforms</t>
  </si>
  <si>
    <t xml:space="preserve">Division of TransPerfect ($1.2B+ parent); band est</t>
  </si>
  <si>
    <t xml:space="preserve">https://en.wikipedia.org/wiki/TransPerfect</t>
  </si>
  <si>
    <t xml:space="preserve">Vorys Sater Seymour and Pease</t>
  </si>
  <si>
    <t xml:space="preserve">Columbus</t>
  </si>
  <si>
    <t xml:space="preserve">vorys.com</t>
  </si>
  <si>
    <t xml:space="preserve">Michael Martz</t>
  </si>
  <si>
    <t xml:space="preserve">Vorys eControl and Precision eDiscovery subsidiaries</t>
  </si>
  <si>
    <t xml:space="preserve">Am Law 200 Ohio firm</t>
  </si>
  <si>
    <t xml:space="preserve">https://en.wikipedia.org/wiki/Vorys,_Sater,_Seymour_and_Pease</t>
  </si>
  <si>
    <t xml:space="preserve">Wiley Rein</t>
  </si>
  <si>
    <t xml:space="preserve">wiley.law</t>
  </si>
  <si>
    <t xml:space="preserve">Peter Shields</t>
  </si>
  <si>
    <t xml:space="preserve">AI regulatory practice</t>
  </si>
  <si>
    <t xml:space="preserve">Am Law 200 DC firm</t>
  </si>
  <si>
    <t xml:space="preserve">https://en.wikipedia.org/wiki/Wiley_Rein</t>
  </si>
  <si>
    <t xml:space="preserve">Wilson Elser Moskowitz Edelman &amp; Dicker</t>
  </si>
  <si>
    <t xml:space="preserve">White Plains</t>
  </si>
  <si>
    <t xml:space="preserve">wilsonelser.com</t>
  </si>
  <si>
    <t xml:space="preserve">Daniel McMahon</t>
  </si>
  <si>
    <t xml:space="preserve">Chief Innovation Officer; high-volume defense workflow automation</t>
  </si>
  <si>
    <t xml:space="preserve">Am Law 200 #103 in 2024 (FY2023 $452.2M); FY2024 est</t>
  </si>
  <si>
    <t xml:space="preserve">Chapman and Cutler</t>
  </si>
  <si>
    <t xml:space="preserve">large regional law firm</t>
  </si>
  <si>
    <t xml:space="preserve">chapman.com</t>
  </si>
  <si>
    <t xml:space="preserve">Tim Mohan</t>
  </si>
  <si>
    <t xml:space="preserve">Practice innovation group and proprietary tools</t>
  </si>
  <si>
    <t xml:space="preserve">Finance-focused firm</t>
  </si>
  <si>
    <t xml:space="preserve">https://en.wikipedia.org/wiki/Chapman_and_Cutler</t>
  </si>
  <si>
    <t xml:space="preserve">Elevate Services</t>
  </si>
  <si>
    <t xml:space="preserve">ALSP (law company)</t>
  </si>
  <si>
    <t xml:space="preserve">elevate.law</t>
  </si>
  <si>
    <t xml:space="preserve">Liam Brown</t>
  </si>
  <si>
    <t xml:space="preserve">ElevateAI and contract analytics products</t>
  </si>
  <si>
    <t xml:space="preserve">Global law company; revenue band est</t>
  </si>
  <si>
    <t xml:space="preserve">Factor</t>
  </si>
  <si>
    <t xml:space="preserve">ALSP (contracting managed services)</t>
  </si>
  <si>
    <t xml:space="preserve">factor.law</t>
  </si>
  <si>
    <t xml:space="preserve">Varun Mehta</t>
  </si>
  <si>
    <t xml:space="preserve">Sense Collective genAI contracting community; AI-native positioning</t>
  </si>
  <si>
    <t xml:space="preserve">Spun out of Axiom 2020; band est</t>
  </si>
  <si>
    <t xml:space="preserve">https://growjo.com/company/Factor_(formerly_Axiom_Managed_Solutions)</t>
  </si>
  <si>
    <t xml:space="preserve">Fennemore</t>
  </si>
  <si>
    <t xml:space="preserve">fennemorelaw.com</t>
  </si>
  <si>
    <t xml:space="preserve">James Goodnow</t>
  </si>
  <si>
    <t xml:space="preserve">CEO publicly champions AI adoption; acquisitive growth</t>
  </si>
  <si>
    <t xml:space="preserve">Fast-growing via mergers</t>
  </si>
  <si>
    <t xml:space="preserve">https://en.wikipedia.org/wiki/Fennemore_Craig</t>
  </si>
  <si>
    <t xml:space="preserve">Goldberg Segalla</t>
  </si>
  <si>
    <t xml:space="preserve">insurance defense law firm</t>
  </si>
  <si>
    <t xml:space="preserve">goldbergsegalla.com</t>
  </si>
  <si>
    <t xml:space="preserve">Richard Cohen</t>
  </si>
  <si>
    <t xml:space="preserve">High-volume defense; process automation</t>
  </si>
  <si>
    <t xml:space="preserve">Am Law 200 defense firm</t>
  </si>
  <si>
    <t xml:space="preserve">https://en.wikipedia.org/wiki/Goldberg_Segalla</t>
  </si>
  <si>
    <t xml:space="preserve">Michael Best &amp; Friedrich</t>
  </si>
  <si>
    <t xml:space="preserve">michaelbest.com</t>
  </si>
  <si>
    <t xml:space="preserve">David Krutz</t>
  </si>
  <si>
    <t xml:space="preserve">Michael Best Strategies consulting affiliate</t>
  </si>
  <si>
    <t xml:space="preserve">Am Law 200 firm</t>
  </si>
  <si>
    <t xml:space="preserve">https://en.wikipedia.org/wiki/Michael_Best_&amp;_Friedrich</t>
  </si>
  <si>
    <t xml:space="preserve">Offit Kurman</t>
  </si>
  <si>
    <t xml:space="preserve">offitkurman.com</t>
  </si>
  <si>
    <t xml:space="preserve">Timothy Kurman</t>
  </si>
  <si>
    <t xml:space="preserve">Growth via acquisitions; PEP +43.6%</t>
  </si>
  <si>
    <t xml:space="preserve">Am Law 200 firm; FY2024 est</t>
  </si>
  <si>
    <t xml:space="preserve">Mayville Engineering Company</t>
  </si>
  <si>
    <t xml:space="preserve">contract metal fabrication</t>
  </si>
  <si>
    <t xml:space="preserve">mecinc.com</t>
  </si>
  <si>
    <t xml:space="preserve">Jagadeesh Reddy</t>
  </si>
  <si>
    <t xml:space="preserve">COO; CIO; VP Operations; VP Commercial</t>
  </si>
  <si>
    <t xml:space="preserve">MBX business system and automation investments</t>
  </si>
  <si>
    <t xml:space="preserve">NYSE: MEC; public mid-market contract manufacturer</t>
  </si>
  <si>
    <t xml:space="preserve">https://en.wikipedia.org/wiki/Mayville_Engineering_Company</t>
  </si>
  <si>
    <t xml:space="preserve">Roush Enterprises</t>
  </si>
  <si>
    <t xml:space="preserve">engineering &amp; specialty vehicle manufacturing</t>
  </si>
  <si>
    <t xml:space="preserve">Livonia</t>
  </si>
  <si>
    <t xml:space="preserve">roush.com</t>
  </si>
  <si>
    <t xml:space="preserve">Evan Lyall</t>
  </si>
  <si>
    <t xml:space="preserve">COO; CIO; VP Operations; VP Engineering</t>
  </si>
  <si>
    <t xml:space="preserve">Autonomous vehicle and advanced engineering programs</t>
  </si>
  <si>
    <t xml:space="preserve">Includes Roush Performance and Roush CleanTech</t>
  </si>
  <si>
    <t xml:space="preserve">https://www.roush.com/</t>
  </si>
  <si>
    <t xml:space="preserve">Shure</t>
  </si>
  <si>
    <t xml:space="preserve">professional audio electronics</t>
  </si>
  <si>
    <t xml:space="preserve">Niles</t>
  </si>
  <si>
    <t xml:space="preserve">shure.com</t>
  </si>
  <si>
    <t xml:space="preserve">Chris Schyvinck</t>
  </si>
  <si>
    <t xml:space="preserve">AI-enabled audio processing and conferencing software</t>
  </si>
  <si>
    <t xml:space="preserve">Owned by founder trust; revenue band estimate</t>
  </si>
  <si>
    <t xml:space="preserve">https://en.wikipedia.org/wiki/Shure</t>
  </si>
  <si>
    <t xml:space="preserve">Sugar Creek Packing</t>
  </si>
  <si>
    <t xml:space="preserve">food contract manufacturer</t>
  </si>
  <si>
    <t xml:space="preserve">sugarcreek.com</t>
  </si>
  <si>
    <t xml:space="preserve">Family-owned</t>
  </si>
  <si>
    <t xml:space="preserve">John Richardson</t>
  </si>
  <si>
    <t xml:space="preserve">COO; CIO; VP Operations; VP Supply Chain</t>
  </si>
  <si>
    <t xml:space="preserve">Smart factory and automation investments at Cambridge City plant</t>
  </si>
  <si>
    <t xml:space="preserve">Co-manufacturer of bacon and sous vide proteins</t>
  </si>
  <si>
    <t xml:space="preserve">https://www.sugarcreek.com/</t>
  </si>
  <si>
    <t xml:space="preserve">G&amp;W Electric</t>
  </si>
  <si>
    <t xml:space="preserve">power distribution switchgear</t>
  </si>
  <si>
    <t xml:space="preserve">Bolingbrook</t>
  </si>
  <si>
    <t xml:space="preserve">gwelectric.com</t>
  </si>
  <si>
    <t xml:space="preserve">John Mueller</t>
  </si>
  <si>
    <t xml:space="preserve">Grid automation and smart sensor product lines</t>
  </si>
  <si>
    <t xml:space="preserve">https://www.gwelectric.com/</t>
  </si>
  <si>
    <t xml:space="preserve">Edelman</t>
  </si>
  <si>
    <t xml:space="preserve">PR and communications</t>
  </si>
  <si>
    <t xml:space="preserve">edelman.com</t>
  </si>
  <si>
    <t xml:space="preserve">Richard Edelman</t>
  </si>
  <si>
    <t xml:space="preserve">CEO; COO; Chief Digital Officer; CTO</t>
  </si>
  <si>
    <t xml:space="preserve">Edelman AI practice and internal GenAI tooling</t>
  </si>
  <si>
    <t xml:space="preserve">O'Dwyer's No. 1 independent PR firm</t>
  </si>
  <si>
    <t xml:space="preserve">Horizon Media</t>
  </si>
  <si>
    <t xml:space="preserve">independent media agency</t>
  </si>
  <si>
    <t xml:space="preserve">horizonmedia.com</t>
  </si>
  <si>
    <t xml:space="preserve">Bill Koenigsberg</t>
  </si>
  <si>
    <t xml:space="preserve">CEO; Chief Data Officer; Chief Technology Officer; COO</t>
  </si>
  <si>
    <t xml:space="preserve">Blu AI-powered marketing operating system launched 2024</t>
  </si>
  <si>
    <t xml:space="preserve">Largest US independent media agency; $8B+ billings; revenue estimate per Ad Age</t>
  </si>
  <si>
    <t xml:space="preserve">https://adcurrent.ai/lists/horizon-media-and-independents</t>
  </si>
  <si>
    <t xml:space="preserve">Klick Health</t>
  </si>
  <si>
    <t xml:space="preserve">healthcare marketing agency</t>
  </si>
  <si>
    <t xml:space="preserve">klick.com</t>
  </si>
  <si>
    <t xml:space="preserve">Leerom Segal</t>
  </si>
  <si>
    <t xml:space="preserve">Klick Applied Sciences AI/ML team</t>
  </si>
  <si>
    <t xml:space="preserve">Largest independent health agency; large US client base; revenue band estimate</t>
  </si>
  <si>
    <t xml:space="preserve">https://www.klick.com/</t>
  </si>
  <si>
    <t xml:space="preserve">Moore</t>
  </si>
  <si>
    <t xml:space="preserve">direct marketing for nonprofits</t>
  </si>
  <si>
    <t xml:space="preserve">wearemoore.com</t>
  </si>
  <si>
    <t xml:space="preserve">Gretchen Littlefield</t>
  </si>
  <si>
    <t xml:space="preserve">CEO; COO; CTO; Chief Data Officer</t>
  </si>
  <si>
    <t xml:space="preserve">Data and analytics investments; SimioCloud platform</t>
  </si>
  <si>
    <t xml:space="preserve">Largest nonprofit direct response group; revenue band estimate</t>
  </si>
  <si>
    <t xml:space="preserve">https://www.wearemoore.com/</t>
  </si>
  <si>
    <t xml:space="preserve">The Brandtech Group</t>
  </si>
  <si>
    <t xml:space="preserve">AI-first marketing group</t>
  </si>
  <si>
    <t xml:space="preserve">thebrandtechgroup.com</t>
  </si>
  <si>
    <t xml:space="preserve">David Jones</t>
  </si>
  <si>
    <t xml:space="preserve">Pencil GenAI platform; acquired Jellyfish and Oliver</t>
  </si>
  <si>
    <t xml:space="preserve">Formerly You &amp; Mr Jones; revenue band estimate</t>
  </si>
  <si>
    <t xml:space="preserve">https://www.thebrandtechgroup.com/</t>
  </si>
  <si>
    <t xml:space="preserve">Weber Shandwick</t>
  </si>
  <si>
    <t xml:space="preserve">PR agency</t>
  </si>
  <si>
    <t xml:space="preserve">webershandwick.com</t>
  </si>
  <si>
    <t xml:space="preserve">Susan Howe</t>
  </si>
  <si>
    <t xml:space="preserve">AI-enabled content and analytics</t>
  </si>
  <si>
    <t xml:space="preserve">Omnicom (post IPG merger); revenue band estimate</t>
  </si>
  <si>
    <t xml:space="preserve">https://www.webershandwick.com/</t>
  </si>
  <si>
    <t xml:space="preserve">Amsive</t>
  </si>
  <si>
    <t xml:space="preserve">data-driven direct and digital marketing</t>
  </si>
  <si>
    <t xml:space="preserve">Wheeling</t>
  </si>
  <si>
    <t xml:space="preserve">amsive.com</t>
  </si>
  <si>
    <t xml:space="preserve">Pete Brannon</t>
  </si>
  <si>
    <t xml:space="preserve">Audience science and AI analytics offering</t>
  </si>
  <si>
    <t xml:space="preserve">Combines SG360 print/direct mail and digital agency; revenue band estimate</t>
  </si>
  <si>
    <t xml:space="preserve">https://www.amsive.com/</t>
  </si>
  <si>
    <t xml:space="preserve">Assembly</t>
  </si>
  <si>
    <t xml:space="preserve">global media agency</t>
  </si>
  <si>
    <t xml:space="preserve">assemblyglobal.com</t>
  </si>
  <si>
    <t xml:space="preserve">Rick Acampora</t>
  </si>
  <si>
    <t xml:space="preserve">CEO; COO; Chief Data Officer; CTO</t>
  </si>
  <si>
    <t xml:space="preserve">STAGE AI media platform</t>
  </si>
  <si>
    <t xml:space="preserve">Stagwell media network; revenue band estimate</t>
  </si>
  <si>
    <t xml:space="preserve">https://www.assemblyglobal.com/</t>
  </si>
  <si>
    <t xml:space="preserve">Basis Technologies</t>
  </si>
  <si>
    <t xml:space="preserve">media services and ad platform</t>
  </si>
  <si>
    <t xml:space="preserve">basis.com</t>
  </si>
  <si>
    <t xml:space="preserve">Shawn Riegsecker</t>
  </si>
  <si>
    <t xml:space="preserve">CEO; CTO; COO; Chief Product Officer</t>
  </si>
  <si>
    <t xml:space="preserve">Basis AI assistant for media planning</t>
  </si>
  <si>
    <t xml:space="preserve">Formerly Centro; combines software and managed media services</t>
  </si>
  <si>
    <t xml:space="preserve">https://basis.com/</t>
  </si>
  <si>
    <t xml:space="preserve">Jellyfish</t>
  </si>
  <si>
    <t xml:space="preserve">digital marketing agency</t>
  </si>
  <si>
    <t xml:space="preserve">jellyfish.com</t>
  </si>
  <si>
    <t xml:space="preserve">Nick Emery</t>
  </si>
  <si>
    <t xml:space="preserve">Brandtech Group AI tooling</t>
  </si>
  <si>
    <t xml:space="preserve">Brandtech Group unit; US HQ Baltimore; revenue band estimate</t>
  </si>
  <si>
    <t xml:space="preserve">https://www.jellyfish.com/</t>
  </si>
  <si>
    <t xml:space="preserve">VaynerMedia</t>
  </si>
  <si>
    <t xml:space="preserve">social-first creative and media agency</t>
  </si>
  <si>
    <t xml:space="preserve">vaynermedia.com</t>
  </si>
  <si>
    <t xml:space="preserve">Gary Vaynerchuk</t>
  </si>
  <si>
    <t xml:space="preserve">VaynerX AI initiatives; Sasha Group</t>
  </si>
  <si>
    <t xml:space="preserve">https://www.vaynermedia.com/</t>
  </si>
  <si>
    <t xml:space="preserve">APCO</t>
  </si>
  <si>
    <t xml:space="preserve">public affairs and communications</t>
  </si>
  <si>
    <t xml:space="preserve">apcoworldwide.com</t>
  </si>
  <si>
    <t xml:space="preserve">Brad Staples</t>
  </si>
  <si>
    <t xml:space="preserve">CEO; COO; Chief Digital Officer; CFO</t>
  </si>
  <si>
    <t xml:space="preserve">APCO AI advisory and Margy AI tool</t>
  </si>
  <si>
    <t xml:space="preserve">O'Dwyer's No. 4</t>
  </si>
  <si>
    <t xml:space="preserve">Adswerve</t>
  </si>
  <si>
    <t xml:space="preserve">marketing analytics and media consultancy</t>
  </si>
  <si>
    <t xml:space="preserve">adswerve.com</t>
  </si>
  <si>
    <t xml:space="preserve">Clint Tasset</t>
  </si>
  <si>
    <t xml:space="preserve">CEO; CTO; COO; Chief Analytics Officer</t>
  </si>
  <si>
    <t xml:space="preserve">Google Cloud AI and GMP partner</t>
  </si>
  <si>
    <t xml:space="preserve">Google Marketing Platform reseller; revenue band estimate incl. pass-through</t>
  </si>
  <si>
    <t xml:space="preserve">https://www.adswerve.com/</t>
  </si>
  <si>
    <t xml:space="preserve">Code and Theory</t>
  </si>
  <si>
    <t xml:space="preserve">digital-first creative agency</t>
  </si>
  <si>
    <t xml:space="preserve">codeandtheory.com</t>
  </si>
  <si>
    <t xml:space="preserve">Dan Gardner</t>
  </si>
  <si>
    <t xml:space="preserve">Stagwell Marketing Cloud; AI content tooling</t>
  </si>
  <si>
    <t xml:space="preserve">Stagwell network; Ad Age A-List 2025</t>
  </si>
  <si>
    <t xml:space="preserve">https://www.stagwellglobal.com/</t>
  </si>
  <si>
    <t xml:space="preserve">GALE</t>
  </si>
  <si>
    <t xml:space="preserve">business agency</t>
  </si>
  <si>
    <t xml:space="preserve">gale.agency</t>
  </si>
  <si>
    <t xml:space="preserve">Brad Simms</t>
  </si>
  <si>
    <t xml:space="preserve">Alchemy AI data platform</t>
  </si>
  <si>
    <t xml:space="preserve">Stagwell; Ad Age A-List 2025; revenue band estimate</t>
  </si>
  <si>
    <t xml:space="preserve">Goodway Group</t>
  </si>
  <si>
    <t xml:space="preserve">Jenkintown</t>
  </si>
  <si>
    <t xml:space="preserve">goodwaygroup.com</t>
  </si>
  <si>
    <t xml:space="preserve">Jay Friedman</t>
  </si>
  <si>
    <t xml:space="preserve">CEO; COO; Chief Innovation Officer; CFO</t>
  </si>
  <si>
    <t xml:space="preserve">Launched AI-focused units and consulting arm</t>
  </si>
  <si>
    <t xml:space="preserve">Fully remote independent; revenue band estimate</t>
  </si>
  <si>
    <t xml:space="preserve">https://goodwaygroup.com/</t>
  </si>
  <si>
    <t xml:space="preserve">Harte Hanks</t>
  </si>
  <si>
    <t xml:space="preserve">customer experience and marketing services</t>
  </si>
  <si>
    <t xml:space="preserve">Chelmsford</t>
  </si>
  <si>
    <t xml:space="preserve">hartehanks.com</t>
  </si>
  <si>
    <t xml:space="preserve">David Garrison</t>
  </si>
  <si>
    <t xml:space="preserve">CEO; COO; CTO; CFO</t>
  </si>
  <si>
    <t xml:space="preserve">Project Elevate transformation; AI in contact center</t>
  </si>
  <si>
    <t xml:space="preserve">NASDAQ: HHS; 2024 revenue approx $185M</t>
  </si>
  <si>
    <t xml:space="preserve">https://www.hartehanks.com/</t>
  </si>
  <si>
    <t xml:space="preserve">Kepler Group</t>
  </si>
  <si>
    <t xml:space="preserve">data-driven media agency</t>
  </si>
  <si>
    <t xml:space="preserve">keplergrp.com</t>
  </si>
  <si>
    <t xml:space="preserve">Rick Greenberg</t>
  </si>
  <si>
    <t xml:space="preserve">Kepler Intelligence Platform; ML bidding</t>
  </si>
  <si>
    <t xml:space="preserve">Part of kyu collective (Hakuhodo DY); revenue band estimate</t>
  </si>
  <si>
    <t xml:space="preserve">https://keplergrp.com/</t>
  </si>
  <si>
    <t xml:space="preserve">Known</t>
  </si>
  <si>
    <t xml:space="preserve">data-science-driven creative and media agency</t>
  </si>
  <si>
    <t xml:space="preserve">known.is</t>
  </si>
  <si>
    <t xml:space="preserve">Kern Schireson</t>
  </si>
  <si>
    <t xml:space="preserve">Skeptic proprietary AI platform</t>
  </si>
  <si>
    <t xml:space="preserve">https://www.known.is/</t>
  </si>
  <si>
    <t xml:space="preserve">Mod Op</t>
  </si>
  <si>
    <t xml:space="preserve">Fort Lauderdale</t>
  </si>
  <si>
    <t xml:space="preserve">modop.com</t>
  </si>
  <si>
    <t xml:space="preserve">Aaron Grossman</t>
  </si>
  <si>
    <t xml:space="preserve">Acquired AI and analytics shops; AI-forward positioning</t>
  </si>
  <si>
    <t xml:space="preserve">Roll-up of 15+ agencies since 2021; revenue band estimate</t>
  </si>
  <si>
    <t xml:space="preserve">https://www.modop.com/</t>
  </si>
  <si>
    <t xml:space="preserve">PMG</t>
  </si>
  <si>
    <t xml:space="preserve">independent digital media agency</t>
  </si>
  <si>
    <t xml:space="preserve">pmg.com</t>
  </si>
  <si>
    <t xml:space="preserve">George Popstefanov</t>
  </si>
  <si>
    <t xml:space="preserve">Alli AI marketing platform; heavy engineering hiring</t>
  </si>
  <si>
    <t xml:space="preserve">Acquired Camelot Strategic Marketing &amp; Media 2023</t>
  </si>
  <si>
    <t xml:space="preserve">Rightpoint</t>
  </si>
  <si>
    <t xml:space="preserve">digital experience consultancy</t>
  </si>
  <si>
    <t xml:space="preserve">rightpoint.com</t>
  </si>
  <si>
    <t xml:space="preserve">Ross Freedman</t>
  </si>
  <si>
    <t xml:space="preserve">Genpact AI integration</t>
  </si>
  <si>
    <t xml:space="preserve">Genpact subsidiary since 2019; revenue band estimate</t>
  </si>
  <si>
    <t xml:space="preserve">https://www.rightpoint.com/</t>
  </si>
  <si>
    <t xml:space="preserve">Ruder Finn</t>
  </si>
  <si>
    <t xml:space="preserve">ruderfinn.com</t>
  </si>
  <si>
    <t xml:space="preserve">Kathy Bloomgarden</t>
  </si>
  <si>
    <t xml:space="preserve">RF Tech Lab; AI content tools</t>
  </si>
  <si>
    <t xml:space="preserve">O'Dwyer's No. 5</t>
  </si>
  <si>
    <t xml:space="preserve">Empower Media</t>
  </si>
  <si>
    <t xml:space="preserve">empowermm.com</t>
  </si>
  <si>
    <t xml:space="preserve">Jim Price</t>
  </si>
  <si>
    <t xml:space="preserve">CEO; Chief Media Officer; COO; CFO</t>
  </si>
  <si>
    <t xml:space="preserve">Investing in analytics and automation tooling</t>
  </si>
  <si>
    <t xml:space="preserve">Billings $1B+; revenue band estimate</t>
  </si>
  <si>
    <t xml:space="preserve">HUNTER</t>
  </si>
  <si>
    <t xml:space="preserve">consumer PR agency</t>
  </si>
  <si>
    <t xml:space="preserve">hunterpr.com</t>
  </si>
  <si>
    <t xml:space="preserve">Grace Leong</t>
  </si>
  <si>
    <t xml:space="preserve">Stagwell AI tooling</t>
  </si>
  <si>
    <t xml:space="preserve">Stagwell network; O'Dwyer's No. 13</t>
  </si>
  <si>
    <t xml:space="preserve">New Engen</t>
  </si>
  <si>
    <t xml:space="preserve">performance marketing agency</t>
  </si>
  <si>
    <t xml:space="preserve">newengen.com</t>
  </si>
  <si>
    <t xml:space="preserve">Justin Hayashi</t>
  </si>
  <si>
    <t xml:space="preserve">CEO; COO; Chief Client Officer; CTO</t>
  </si>
  <si>
    <t xml:space="preserve">AI-driven creative and media optimization; Adweek fastest growing 2023-2025</t>
  </si>
  <si>
    <t xml:space="preserve">Top-5 large agency on Adweek Fastest Growing 2025</t>
  </si>
  <si>
    <t xml:space="preserve">https://newengen.com/insights/new-engen-named-one-of-adweeks-2025-fastest-growing-agencies/</t>
  </si>
  <si>
    <t xml:space="preserve">Ovative Group</t>
  </si>
  <si>
    <t xml:space="preserve">media and measurement agency</t>
  </si>
  <si>
    <t xml:space="preserve">ovative.com</t>
  </si>
  <si>
    <t xml:space="preserve">Dale Nitschke</t>
  </si>
  <si>
    <t xml:space="preserve">CEO; COO; Chief Analytics Officer; CTO</t>
  </si>
  <si>
    <t xml:space="preserve">EMRge measurement platform</t>
  </si>
  <si>
    <t xml:space="preserve">https://www.ovative.com/</t>
  </si>
  <si>
    <t xml:space="preserve">Said Differently</t>
  </si>
  <si>
    <t xml:space="preserve">distributed digital agency</t>
  </si>
  <si>
    <t xml:space="preserve">saiddifferently.com</t>
  </si>
  <si>
    <t xml:space="preserve">Adam Cahill</t>
  </si>
  <si>
    <t xml:space="preserve">Acquired Brainvire tech services 2025</t>
  </si>
  <si>
    <t xml:space="preserve">270% growth per Adweek 2025; revenue band estimate</t>
  </si>
  <si>
    <t xml:space="preserve">Terakeet</t>
  </si>
  <si>
    <t xml:space="preserve">owned asset optimization agency</t>
  </si>
  <si>
    <t xml:space="preserve">Syracuse</t>
  </si>
  <si>
    <t xml:space="preserve">terakeet.com</t>
  </si>
  <si>
    <t xml:space="preserve">Mac Cummings</t>
  </si>
  <si>
    <t xml:space="preserve">AI search optimization positioning</t>
  </si>
  <si>
    <t xml:space="preserve">https://www.terakeet.com/</t>
  </si>
  <si>
    <t xml:space="preserve">Tombras</t>
  </si>
  <si>
    <t xml:space="preserve">independent full-service agency</t>
  </si>
  <si>
    <t xml:space="preserve">tombras.com</t>
  </si>
  <si>
    <t xml:space="preserve">Dooley Tombras</t>
  </si>
  <si>
    <t xml:space="preserve">AI research and creative tooling</t>
  </si>
  <si>
    <t xml:space="preserve">Adweek US Agency of the Year 2024; revenue band estimate</t>
  </si>
  <si>
    <t xml:space="preserve">https://www.tombras.com/</t>
  </si>
  <si>
    <t xml:space="preserve">Translation</t>
  </si>
  <si>
    <t xml:space="preserve">culture-first creative agency</t>
  </si>
  <si>
    <t xml:space="preserve">translation.com</t>
  </si>
  <si>
    <t xml:space="preserve">Steve Stoute</t>
  </si>
  <si>
    <t xml:space="preserve">Sibling company UnitedMasters uses AI/data</t>
  </si>
  <si>
    <t xml:space="preserve">WongDoody</t>
  </si>
  <si>
    <t xml:space="preserve">wongdoody.com</t>
  </si>
  <si>
    <t xml:space="preserve">Ben Wiener</t>
  </si>
  <si>
    <t xml:space="preserve">Infosys AI integration</t>
  </si>
  <si>
    <t xml:space="preserve">Infosys subsidiary; revenue band estimate</t>
  </si>
  <si>
    <t xml:space="preserve">https://www.wongdoody.com/</t>
  </si>
  <si>
    <t xml:space="preserve">Associa</t>
  </si>
  <si>
    <t xml:space="preserve">real estate services</t>
  </si>
  <si>
    <t xml:space="preserve">associaonline.com</t>
  </si>
  <si>
    <t xml:space="preserve">John Carona</t>
  </si>
  <si>
    <t xml:space="preserve">TownSq resident platform; automation in community management</t>
  </si>
  <si>
    <t xml:space="preserve">Largest US community association manager; band estimated</t>
  </si>
  <si>
    <t xml:space="preserve">https://www.associaonline.com</t>
  </si>
  <si>
    <t xml:space="preserve">Atrium</t>
  </si>
  <si>
    <t xml:space="preserve">atriumworks.com</t>
  </si>
  <si>
    <t xml:space="preserve">Rebecca Cenni-Leventhal</t>
  </si>
  <si>
    <t xml:space="preserve">Extended workforce management technology</t>
  </si>
  <si>
    <t xml:space="preserve">SIA largest US staffing firms list</t>
  </si>
  <si>
    <t xml:space="preserve">https://www.staffingindustry.com/research/research-reports/americas/largest-staffing-firms-in-the-united-states-2025-update</t>
  </si>
  <si>
    <t xml:space="preserve">Berkadia</t>
  </si>
  <si>
    <t xml:space="preserve">berkadia.com</t>
  </si>
  <si>
    <t xml:space="preserve">Justin Wheeler</t>
  </si>
  <si>
    <t xml:space="preserve">Berkadia data science and AI platform</t>
  </si>
  <si>
    <t xml:space="preserve">Berkshire Hathaway and Jefferies JV; 2023 revenue about $633M</t>
  </si>
  <si>
    <t xml:space="preserve">https://www.sharplaunch.com/blog/top-commercial-real-estate-brokerages</t>
  </si>
  <si>
    <t xml:space="preserve">Brown and Caldwell</t>
  </si>
  <si>
    <t xml:space="preserve">Walnut Creek</t>
  </si>
  <si>
    <t xml:space="preserve">brownandcaldwell.com</t>
  </si>
  <si>
    <t xml:space="preserve">Rich D'Amato</t>
  </si>
  <si>
    <t xml:space="preserve">Water digital solutions and AI initiatives</t>
  </si>
  <si>
    <t xml:space="preserve">ENR 2026 Top 500 rank 44</t>
  </si>
  <si>
    <t xml:space="preserve">Dewberry</t>
  </si>
  <si>
    <t xml:space="preserve">Fairfax</t>
  </si>
  <si>
    <t xml:space="preserve">dewberry.com</t>
  </si>
  <si>
    <t xml:space="preserve">Donald Stone</t>
  </si>
  <si>
    <t xml:space="preserve">Geospatial and lidar data analytics practice</t>
  </si>
  <si>
    <t xml:space="preserve">ENR 2026 Top 500 rank 35</t>
  </si>
  <si>
    <t xml:space="preserve">IBEX Ltd.</t>
  </si>
  <si>
    <t xml:space="preserve">ibex.co</t>
  </si>
  <si>
    <t xml:space="preserve">Bob Dechant</t>
  </si>
  <si>
    <t xml:space="preserve">Wave iX AI-enabled CX platform</t>
  </si>
  <si>
    <t xml:space="preserve">NASDAQ IBEX; FY2025 revenue about $525M</t>
  </si>
  <si>
    <t xml:space="preserve">https://www.ibex.co</t>
  </si>
  <si>
    <t xml:space="preserve">IMA Financial Group Inc.</t>
  </si>
  <si>
    <t xml:space="preserve">insurance brokerage &amp; benefits consulting</t>
  </si>
  <si>
    <t xml:space="preserve">imacorp.com</t>
  </si>
  <si>
    <t xml:space="preserve">Rob Cohen</t>
  </si>
  <si>
    <t xml:space="preserve">IMA Digital lab and insurtech investments</t>
  </si>
  <si>
    <t xml:space="preserve">Business Insurance 2025 rank 20</t>
  </si>
  <si>
    <t xml:space="preserve">https://alliant.com/media/2togmkgh/business-insurance-largest-brokers.pdf</t>
  </si>
  <si>
    <t xml:space="preserve">Judge Group</t>
  </si>
  <si>
    <t xml:space="preserve">judge.com</t>
  </si>
  <si>
    <t xml:space="preserve">Martin Judge III</t>
  </si>
  <si>
    <t xml:space="preserve">Judge Learning and AI consulting practice</t>
  </si>
  <si>
    <t xml:space="preserve">SIA 2025 largest US staffing firms</t>
  </si>
  <si>
    <t xml:space="preserve">https://www.judge.com/resources/news/judge-group-named-to-sia-2025-list-of-largest-staffing-firms-in-the-us/</t>
  </si>
  <si>
    <t xml:space="preserve">Marcus &amp; Millichap</t>
  </si>
  <si>
    <t xml:space="preserve">Calabasas</t>
  </si>
  <si>
    <t xml:space="preserve">marcusmillichap.com</t>
  </si>
  <si>
    <t xml:space="preserve">Hessam Nadji</t>
  </si>
  <si>
    <t xml:space="preserve">MNet proprietary platform; AI for deal sourcing</t>
  </si>
  <si>
    <t xml:space="preserve">NYSE MMI; 2024 revenue about $696M</t>
  </si>
  <si>
    <t xml:space="preserve">https://www.marcusmillichap.com</t>
  </si>
  <si>
    <t xml:space="preserve">Montrose Environmental Group Inc.</t>
  </si>
  <si>
    <t xml:space="preserve">Little Rock</t>
  </si>
  <si>
    <t xml:space="preserve">AR</t>
  </si>
  <si>
    <t xml:space="preserve">montrose-env.com</t>
  </si>
  <si>
    <t xml:space="preserve">Vijay Manthripragada</t>
  </si>
  <si>
    <t xml:space="preserve">Investing in software-enabled environmental services</t>
  </si>
  <si>
    <t xml:space="preserve">NYSE MEG; 2024 revenue about $696M</t>
  </si>
  <si>
    <t xml:space="preserve">https://www.enr.com/articles/61545-enr-2025-top-200-environmental-firms-facing-new-realities</t>
  </si>
  <si>
    <t xml:space="preserve">Salas O'Brien</t>
  </si>
  <si>
    <t xml:space="preserve">salasobrien.com</t>
  </si>
  <si>
    <t xml:space="preserve">Darin Anderson</t>
  </si>
  <si>
    <t xml:space="preserve">Acquisitive growth; data center and mission critical focus</t>
  </si>
  <si>
    <t xml:space="preserve">ENR 2026 Top 500 rank 31</t>
  </si>
  <si>
    <t xml:space="preserve">Willdan</t>
  </si>
  <si>
    <t xml:space="preserve">Anaheim</t>
  </si>
  <si>
    <t xml:space="preserve">willdan.com</t>
  </si>
  <si>
    <t xml:space="preserve">Mike Bieber</t>
  </si>
  <si>
    <t xml:space="preserve">Data analytics and AI for utility programs</t>
  </si>
  <si>
    <t xml:space="preserve">NASDAQ WLDN; FY2024 revenue about $566M</t>
  </si>
  <si>
    <t xml:space="preserve">Altus Group</t>
  </si>
  <si>
    <t xml:space="preserve">altusgroup.com</t>
  </si>
  <si>
    <t xml:space="preserve">Jim Hannon</t>
  </si>
  <si>
    <t xml:space="preserve">ARGUS Intelligence AI features</t>
  </si>
  <si>
    <t xml:space="preserve">TSX AIF; large US operations; CRE valuation and analytics</t>
  </si>
  <si>
    <t xml:space="preserve">https://www.altusgroup.com</t>
  </si>
  <si>
    <t xml:space="preserve">Bowman Consulting Group Ltd.</t>
  </si>
  <si>
    <t xml:space="preserve">bowman.com</t>
  </si>
  <si>
    <t xml:space="preserve">Gary Bowman</t>
  </si>
  <si>
    <t xml:space="preserve">Stated focus on technology-enabled delivery and acquisitions</t>
  </si>
  <si>
    <t xml:space="preserve">NASDAQ BWMN; FY2024 net revenue about $427M</t>
  </si>
  <si>
    <t xml:space="preserve">HKS</t>
  </si>
  <si>
    <t xml:space="preserve">hksinc.com</t>
  </si>
  <si>
    <t xml:space="preserve">Dan Noble</t>
  </si>
  <si>
    <t xml:space="preserve">HKS LINE research group exploring AI in design</t>
  </si>
  <si>
    <t xml:space="preserve">ENR 2026 Top 500 rank 37; architecture</t>
  </si>
  <si>
    <t xml:space="preserve">SCS Engineers</t>
  </si>
  <si>
    <t xml:space="preserve">Long Beach</t>
  </si>
  <si>
    <t xml:space="preserve">scsengineers.com</t>
  </si>
  <si>
    <t xml:space="preserve">Jim Walsh</t>
  </si>
  <si>
    <t xml:space="preserve">SCS remote monitoring and data platforms for landfills</t>
  </si>
  <si>
    <t xml:space="preserve">ENR 2026 Top 500 rank 62</t>
  </si>
  <si>
    <t xml:space="preserve">Thornton Tomasetti</t>
  </si>
  <si>
    <t xml:space="preserve">thorntontomasetti.com</t>
  </si>
  <si>
    <t xml:space="preserve">Peter DiMaggio</t>
  </si>
  <si>
    <t xml:space="preserve">CORE studio and Konstru digital products; AI research</t>
  </si>
  <si>
    <t xml:space="preserve">ENR 2026 Top 500 rank 77</t>
  </si>
  <si>
    <t xml:space="preserve">Clear Capital</t>
  </si>
  <si>
    <t xml:space="preserve">clearcapital.com</t>
  </si>
  <si>
    <t xml:space="preserve">Duane Andrews</t>
  </si>
  <si>
    <t xml:space="preserve">ClearAVM and AI-based valuation models</t>
  </si>
  <si>
    <t xml:space="preserve">https://www.clearcapital.com</t>
  </si>
  <si>
    <t xml:space="preserve">Newfront</t>
  </si>
  <si>
    <t xml:space="preserve">newfront.com</t>
  </si>
  <si>
    <t xml:space="preserve">Spike Lipkin</t>
  </si>
  <si>
    <t xml:space="preserve">Tech-enabled brokerage; launched AI assistant for benefits</t>
  </si>
  <si>
    <t xml:space="preserve">Business Insurance 2025 rank 37; venture-backed</t>
  </si>
  <si>
    <t xml:space="preserve">Walter P Moore</t>
  </si>
  <si>
    <t xml:space="preserve">walterpmoore.com</t>
  </si>
  <si>
    <t xml:space="preserve">Dilip Choudhuri</t>
  </si>
  <si>
    <t xml:space="preserve">COO; CIO; Director of Technology</t>
  </si>
  <si>
    <t xml:space="preserve">Computational design and AI research group</t>
  </si>
  <si>
    <t xml:space="preserve">ENR 2026 Top 500 rank 139</t>
  </si>
  <si>
    <t xml:space="preserve">https://www.enr.com/toplists/2026-Top-500-Design-Firms-2</t>
  </si>
  <si>
    <t xml:space="preserve">Citi Trends</t>
  </si>
  <si>
    <t xml:space="preserve">off-price apparel regional chain</t>
  </si>
  <si>
    <t xml:space="preserve">Savannah</t>
  </si>
  <si>
    <t xml:space="preserve">cititrends.com</t>
  </si>
  <si>
    <t xml:space="preserve">Ken Seipel</t>
  </si>
  <si>
    <t xml:space="preserve">CIO; COO; VP Merchandising; VP Allocation</t>
  </si>
  <si>
    <t xml:space="preserve">Allocation and inventory analytics turnaround</t>
  </si>
  <si>
    <t xml:space="preserve">~600 stores Southeast/Midwest</t>
  </si>
  <si>
    <t xml:space="preserve">https://en.wikipedia.org/wiki/Citi_Trends</t>
  </si>
  <si>
    <t xml:space="preserve">Duluth Holdings</t>
  </si>
  <si>
    <t xml:space="preserve">workwear specialty retailer / omnichannel</t>
  </si>
  <si>
    <t xml:space="preserve">Mount Horeb</t>
  </si>
  <si>
    <t xml:space="preserve">duluthtrading.com</t>
  </si>
  <si>
    <t xml:space="preserve">Stephanie Pugliese</t>
  </si>
  <si>
    <t xml:space="preserve">CIO; COO; VP Ecommerce; VP Supply Chain</t>
  </si>
  <si>
    <t xml:space="preserve">Retail tech modernization and fulfillment automation program</t>
  </si>
  <si>
    <t xml:space="preserve">Store plus DTC; margin turnaround underway</t>
  </si>
  <si>
    <t xml:space="preserve">https://ir.duluthtrading.com/news-releases/news-release-details/duluth-holdings-inc-announces-fourth-quarter-and-fiscal-2025</t>
  </si>
  <si>
    <t xml:space="preserve">Ethan Allen Interiors</t>
  </si>
  <si>
    <t xml:space="preserve">vertically integrated furniture retailer</t>
  </si>
  <si>
    <t xml:space="preserve">Danbury</t>
  </si>
  <si>
    <t xml:space="preserve">ethanallen.com</t>
  </si>
  <si>
    <t xml:space="preserve">Farooq Kathwari</t>
  </si>
  <si>
    <t xml:space="preserve">CIO; COO; VP Retail; VP Manufacturing</t>
  </si>
  <si>
    <t xml:space="preserve">Uses AI in design tools and logistics per exec commentary</t>
  </si>
  <si>
    <t xml:space="preserve">Owns its manufacturing</t>
  </si>
  <si>
    <t xml:space="preserve">https://en.wikipedia.org/wiki/Ethan_Allen_(furniture_company)</t>
  </si>
  <si>
    <t xml:space="preserve">FIGS</t>
  </si>
  <si>
    <t xml:space="preserve">DTC healthcare apparel</t>
  </si>
  <si>
    <t xml:space="preserve">wearfigs.com</t>
  </si>
  <si>
    <t xml:space="preserve">Trina Spear</t>
  </si>
  <si>
    <t xml:space="preserve">CTO; COO; VP Ecommerce; VP Growth</t>
  </si>
  <si>
    <t xml:space="preserve">Fulfillment center automation and international expansion</t>
  </si>
  <si>
    <t xml:space="preserve">Digitally native brand</t>
  </si>
  <si>
    <t xml:space="preserve">https://en.wikipedia.org/wiki/Figs_(company)</t>
  </si>
  <si>
    <t xml:space="preserve">Fabletics / TechStyle Fashion Group</t>
  </si>
  <si>
    <t xml:space="preserve">membership DTC activewear</t>
  </si>
  <si>
    <t xml:space="preserve">fabletics.com</t>
  </si>
  <si>
    <t xml:space="preserve">Adam Goldenberg</t>
  </si>
  <si>
    <t xml:space="preserve">CTO; COO; VP Data Science; VP Retail</t>
  </si>
  <si>
    <t xml:space="preserve">Proprietary data and personalization platform</t>
  </si>
  <si>
    <t xml:space="preserve">Also Savage X Fenty and JustFab</t>
  </si>
  <si>
    <t xml:space="preserve">https://fabletics.com</t>
  </si>
  <si>
    <t xml:space="preserve">J.Jill</t>
  </si>
  <si>
    <t xml:space="preserve">women's apparel omnichannel retailer</t>
  </si>
  <si>
    <t xml:space="preserve">Quincy</t>
  </si>
  <si>
    <t xml:space="preserve">jjill.com</t>
  </si>
  <si>
    <t xml:space="preserve">Mary Ellen Coyne</t>
  </si>
  <si>
    <t xml:space="preserve">CIO; COO; SVP Ecommerce; VP Planning</t>
  </si>
  <si>
    <t xml:space="preserve">Order management system modernization</t>
  </si>
  <si>
    <t xml:space="preserve">TowerBrook remains major holder</t>
  </si>
  <si>
    <t xml:space="preserve">https://en.wikipedia.org/wiki/J.Jill</t>
  </si>
  <si>
    <t xml:space="preserve">Mister Car Wash</t>
  </si>
  <si>
    <t xml:space="preserve">car wash chain</t>
  </si>
  <si>
    <t xml:space="preserve">Tucson</t>
  </si>
  <si>
    <t xml:space="preserve">mistercarwash.com</t>
  </si>
  <si>
    <t xml:space="preserve">John Lai</t>
  </si>
  <si>
    <t xml:space="preserve">CIO; COO; VP Operations; CMO</t>
  </si>
  <si>
    <t xml:space="preserve">Membership analytics and pricing optimization</t>
  </si>
  <si>
    <t xml:space="preserve">Leonard Green remains holder</t>
  </si>
  <si>
    <t xml:space="preserve">https://en.wikipedia.org/wiki/Mister_Car_Wash</t>
  </si>
  <si>
    <t xml:space="preserve">Skims</t>
  </si>
  <si>
    <t xml:space="preserve">DTC shapewear and apparel</t>
  </si>
  <si>
    <t xml:space="preserve">skims.com</t>
  </si>
  <si>
    <t xml:space="preserve">Jens Grede</t>
  </si>
  <si>
    <t xml:space="preserve">COO; CTO; VP Ecommerce; VP Retail</t>
  </si>
  <si>
    <t xml:space="preserve">Retail store expansion and Nike partnership</t>
  </si>
  <si>
    <t xml:space="preserve">Reported approaching $1B sales</t>
  </si>
  <si>
    <t xml:space="preserve">https://skims.com</t>
  </si>
  <si>
    <t xml:space="preserve">The Lovesac Company</t>
  </si>
  <si>
    <t xml:space="preserve">DTC furniture brand</t>
  </si>
  <si>
    <t xml:space="preserve">lovesac.com</t>
  </si>
  <si>
    <t xml:space="preserve">Shawn Nelson</t>
  </si>
  <si>
    <t xml:space="preserve">CIO; COO; VP Digital; VP Marketing</t>
  </si>
  <si>
    <t xml:space="preserve">Heavy digital marketing and omnichannel showroom analytics</t>
  </si>
  <si>
    <t xml:space="preserve">Sactionals product platform</t>
  </si>
  <si>
    <t xml:space="preserve">https://en.wikipedia.org/wiki/Lovesac</t>
  </si>
  <si>
    <t xml:space="preserve">The RealReal</t>
  </si>
  <si>
    <t xml:space="preserve">luxury resale marketplace</t>
  </si>
  <si>
    <t xml:space="preserve">therealreal.com</t>
  </si>
  <si>
    <t xml:space="preserve">Rati Sahi Levesque</t>
  </si>
  <si>
    <t xml:space="preserve">CTO; COO; VP Operations; VP Authentication</t>
  </si>
  <si>
    <t xml:space="preserve">AI authentication and pricing tools (Shield/Athena)</t>
  </si>
  <si>
    <t xml:space="preserve">Uses AI in authentication and pricing</t>
  </si>
  <si>
    <t xml:space="preserve">https://en.wikipedia.org/wiki/The_RealReal</t>
  </si>
  <si>
    <t xml:space="preserve">Thrive Market</t>
  </si>
  <si>
    <t xml:space="preserve">membership online grocery</t>
  </si>
  <si>
    <t xml:space="preserve">thrivemarket.com</t>
  </si>
  <si>
    <t xml:space="preserve">Nick Green</t>
  </si>
  <si>
    <t xml:space="preserve">CTO; COO; VP Supply Chain; VP Growth</t>
  </si>
  <si>
    <t xml:space="preserve">Personalization and fulfillment automation</t>
  </si>
  <si>
    <t xml:space="preserve">B Corp; reported profitability</t>
  </si>
  <si>
    <t xml:space="preserve">https://thrivemarket.com</t>
  </si>
  <si>
    <t xml:space="preserve">Traeger</t>
  </si>
  <si>
    <t xml:space="preserve">outdoor cooking consumer products</t>
  </si>
  <si>
    <t xml:space="preserve">traeger.com</t>
  </si>
  <si>
    <t xml:space="preserve">Jeremy Andrus</t>
  </si>
  <si>
    <t xml:space="preserve">CIO; COO; VP Digital; VP Supply Chain</t>
  </si>
  <si>
    <t xml:space="preserve">Connected grill app and data platform</t>
  </si>
  <si>
    <t xml:space="preserve">MEATER smart thermometer brand</t>
  </si>
  <si>
    <t xml:space="preserve">https://en.wikipedia.org/wiki/Traeger_Grills</t>
  </si>
  <si>
    <t xml:space="preserve">Warby Parker</t>
  </si>
  <si>
    <t xml:space="preserve">DTC eyewear omnichannel</t>
  </si>
  <si>
    <t xml:space="preserve">warbyparker.com</t>
  </si>
  <si>
    <t xml:space="preserve">Neil Blumenthal; Dave Gilboa</t>
  </si>
  <si>
    <t xml:space="preserve">CTO; COO; VP Retail; VP Data</t>
  </si>
  <si>
    <t xml:space="preserve">Google AI glasses partnership announced 2025</t>
  </si>
  <si>
    <t xml:space="preserve">Co-CEOs</t>
  </si>
  <si>
    <t xml:space="preserve">https://en.wikipedia.org/wiki/Warby_Parker</t>
  </si>
  <si>
    <t xml:space="preserve">a.k.a. Brands Holding</t>
  </si>
  <si>
    <t xml:space="preserve">DTC fashion brand portfolio</t>
  </si>
  <si>
    <t xml:space="preserve">aka-brands.com</t>
  </si>
  <si>
    <t xml:space="preserve">Ciaran Long</t>
  </si>
  <si>
    <t xml:space="preserve">CTO; COO; VP Ecommerce</t>
  </si>
  <si>
    <t xml:space="preserve">Test-and-repeat data-driven merchandising model</t>
  </si>
  <si>
    <t xml:space="preserve">Princess Polly and Petal &amp; Pup</t>
  </si>
  <si>
    <t xml:space="preserve">https://en.wikipedia.org/wiki/A.k.a._Brands</t>
  </si>
  <si>
    <t xml:space="preserve">Bombas</t>
  </si>
  <si>
    <t xml:space="preserve">DTC socks and basics</t>
  </si>
  <si>
    <t xml:space="preserve">bombas.com</t>
  </si>
  <si>
    <t xml:space="preserve">Jason LaRose</t>
  </si>
  <si>
    <t xml:space="preserve">COO; CTO; VP Ecommerce; VP Growth</t>
  </si>
  <si>
    <t xml:space="preserve">New CEO focused on wholesale and tech</t>
  </si>
  <si>
    <t xml:space="preserve">Reported $300M+ revenue</t>
  </si>
  <si>
    <t xml:space="preserve">https://bombas.com</t>
  </si>
  <si>
    <t xml:space="preserve">Brilliant Earth</t>
  </si>
  <si>
    <t xml:space="preserve">DTC fine jewelry omnichannel</t>
  </si>
  <si>
    <t xml:space="preserve">brilliantearth.com</t>
  </si>
  <si>
    <t xml:space="preserve">Beth Gerstein</t>
  </si>
  <si>
    <t xml:space="preserve">CTO; COO; VP Ecommerce; VP Retail</t>
  </si>
  <si>
    <t xml:space="preserve">Digital showroom and personalization</t>
  </si>
  <si>
    <t xml:space="preserve">Mainsail Partners major holder</t>
  </si>
  <si>
    <t xml:space="preserve">https://en.wikipedia.org/wiki/Brilliant_Earth</t>
  </si>
  <si>
    <t xml:space="preserve">Build-A-Bear Workshop</t>
  </si>
  <si>
    <t xml:space="preserve">experiential specialty retailer</t>
  </si>
  <si>
    <t xml:space="preserve">buildabear.com</t>
  </si>
  <si>
    <t xml:space="preserve">Sharon Price John</t>
  </si>
  <si>
    <t xml:space="preserve">CIO; COO; VP Digital; VP Franchise</t>
  </si>
  <si>
    <t xml:space="preserve">Digital and franchise expansion; ecommerce growth focus</t>
  </si>
  <si>
    <t xml:space="preserve">Record profits recent years</t>
  </si>
  <si>
    <t xml:space="preserve">https://en.wikipedia.org/wiki/Build-A-Bear_Workshop</t>
  </si>
  <si>
    <t xml:space="preserve">Destination XL Group</t>
  </si>
  <si>
    <t xml:space="preserve">big-and-tall menswear retailer</t>
  </si>
  <si>
    <t xml:space="preserve">Canton</t>
  </si>
  <si>
    <t xml:space="preserve">dxl.com</t>
  </si>
  <si>
    <t xml:space="preserve">Harvey Kanter</t>
  </si>
  <si>
    <t xml:space="preserve">CIO; COO; SVP Ecommerce; VP Marketing</t>
  </si>
  <si>
    <t xml:space="preserve">Personalized fit and digital marketing analytics</t>
  </si>
  <si>
    <t xml:space="preserve">Roughly 40% of sales online</t>
  </si>
  <si>
    <t xml:space="preserve">https://en.wikipedia.org/wiki/Destination_XL_Group</t>
  </si>
  <si>
    <t xml:space="preserve">Great Clips</t>
  </si>
  <si>
    <t xml:space="preserve">hair salon franchisor</t>
  </si>
  <si>
    <t xml:space="preserve">greatclips.com</t>
  </si>
  <si>
    <t xml:space="preserve">Steve Hockett</t>
  </si>
  <si>
    <t xml:space="preserve">CIO; COO; VP Franchise; VP Digital</t>
  </si>
  <si>
    <t xml:space="preserve">Online check-in app and data platform</t>
  </si>
  <si>
    <t xml:space="preserve">4400+ salons; franchise royalties basis</t>
  </si>
  <si>
    <t xml:space="preserve">https://greatclips.com</t>
  </si>
  <si>
    <t xml:space="preserve">Ro</t>
  </si>
  <si>
    <t xml:space="preserve">DTC telehealth and consumer health</t>
  </si>
  <si>
    <t xml:space="preserve">ro.co</t>
  </si>
  <si>
    <t xml:space="preserve">Zachariah Reitano</t>
  </si>
  <si>
    <t xml:space="preserve">CTO; COO; VP Growth; VP Data</t>
  </si>
  <si>
    <t xml:space="preserve">GLP-1 growth and AI care tools</t>
  </si>
  <si>
    <t xml:space="preserve">Hims competitor</t>
  </si>
  <si>
    <t xml:space="preserve">https://ro.co</t>
  </si>
  <si>
    <t xml:space="preserve">StockX</t>
  </si>
  <si>
    <t xml:space="preserve">sneaker and collectibles resale marketplace</t>
  </si>
  <si>
    <t xml:space="preserve">stockx.com</t>
  </si>
  <si>
    <t xml:space="preserve">Greg Schwartz</t>
  </si>
  <si>
    <t xml:space="preserve">Machine learning pricing and authentication</t>
  </si>
  <si>
    <t xml:space="preserve">Reported $1B+ GMV</t>
  </si>
  <si>
    <t xml:space="preserve">https://stockx.com</t>
  </si>
  <si>
    <t xml:space="preserve">Tecovas</t>
  </si>
  <si>
    <t xml:space="preserve">DTC western boots and apparel</t>
  </si>
  <si>
    <t xml:space="preserve">tecovas.com</t>
  </si>
  <si>
    <t xml:space="preserve">David Lafitte</t>
  </si>
  <si>
    <t xml:space="preserve">Rapid store rollout and reported M&amp;A interest</t>
  </si>
  <si>
    <t xml:space="preserve">Reported crossing $300M revenue</t>
  </si>
  <si>
    <t xml:space="preserve">https://www.linkedin.com/posts/drew-f-74947b117_western-apparel-brand-tecovas-to-cross-300m-activity-7406802303086866432-whIL</t>
  </si>
  <si>
    <t xml:space="preserve">Therabody</t>
  </si>
  <si>
    <t xml:space="preserve">wellness tech consumer products</t>
  </si>
  <si>
    <t xml:space="preserve">therabody.com</t>
  </si>
  <si>
    <t xml:space="preserve">Monty Sharma</t>
  </si>
  <si>
    <t xml:space="preserve">CTO; COO; VP Ecommerce; VP Retail Sales</t>
  </si>
  <si>
    <t xml:space="preserve">Connected device app and AI recovery features</t>
  </si>
  <si>
    <t xml:space="preserve">Theragun brand; North Castle-backed</t>
  </si>
  <si>
    <t xml:space="preserve">https://therabody.com</t>
  </si>
  <si>
    <t xml:space="preserve">ThredUp</t>
  </si>
  <si>
    <t xml:space="preserve">online resale</t>
  </si>
  <si>
    <t xml:space="preserve">Oakland</t>
  </si>
  <si>
    <t xml:space="preserve">thredup.com</t>
  </si>
  <si>
    <t xml:space="preserve">James Reinhart</t>
  </si>
  <si>
    <t xml:space="preserve">CTO; COO; VP Operations</t>
  </si>
  <si>
    <t xml:space="preserve">AI image search and listing tools publicly launched</t>
  </si>
  <si>
    <t xml:space="preserve">Exited Europe (Remix)</t>
  </si>
  <si>
    <t xml:space="preserve">https://en.wikipedia.org/wiki/ThredUp</t>
  </si>
  <si>
    <t xml:space="preserve">Vera Bradley</t>
  </si>
  <si>
    <t xml:space="preserve">accessories brand and retailer</t>
  </si>
  <si>
    <t xml:space="preserve">Fort Wayne</t>
  </si>
  <si>
    <t xml:space="preserve">verabradley.com</t>
  </si>
  <si>
    <t xml:space="preserve">Jackie Ardrey</t>
  </si>
  <si>
    <t xml:space="preserve">CIO; COO; VP Ecommerce; VP Marketing</t>
  </si>
  <si>
    <t xml:space="preserve">Project Restoration brand turnaround</t>
  </si>
  <si>
    <t xml:space="preserve">Exited Pura Vida brand</t>
  </si>
  <si>
    <t xml:space="preserve">https://en.wikipedia.org/wiki/Vera_Bradley</t>
  </si>
  <si>
    <t xml:space="preserve">Xponential Fitness</t>
  </si>
  <si>
    <t xml:space="preserve">boutique fitness franchisor</t>
  </si>
  <si>
    <t xml:space="preserve">xponential.com</t>
  </si>
  <si>
    <t xml:space="preserve">Mark King</t>
  </si>
  <si>
    <t xml:space="preserve">CIO; COO; VP Franchise Operations; CMO</t>
  </si>
  <si>
    <t xml:space="preserve">Franchise data platform and member app consolidation</t>
  </si>
  <si>
    <t xml:space="preserve">Club Pilates and StretchLab</t>
  </si>
  <si>
    <t xml:space="preserve">https://en.wikipedia.org/wiki/Xponential_Fitness</t>
  </si>
  <si>
    <t xml:space="preserve">Zenni Optical</t>
  </si>
  <si>
    <t xml:space="preserve">online eyewear retailer</t>
  </si>
  <si>
    <t xml:space="preserve">Novato</t>
  </si>
  <si>
    <t xml:space="preserve">zenni.com</t>
  </si>
  <si>
    <t xml:space="preserve">Bai Gan</t>
  </si>
  <si>
    <t xml:space="preserve">CTO; COO; VP Ecommerce; VP Manufacturing</t>
  </si>
  <si>
    <t xml:space="preserve">AI virtual try-on and frame recommendation</t>
  </si>
  <si>
    <t xml:space="preserve">Vertically integrated with own lab</t>
  </si>
  <si>
    <t xml:space="preserve">https://zenni.com</t>
  </si>
  <si>
    <t xml:space="preserve">Ridge (Ridge Wallet)</t>
  </si>
  <si>
    <t xml:space="preserve">DTC accessories brand</t>
  </si>
  <si>
    <t xml:space="preserve">Santa Ana</t>
  </si>
  <si>
    <t xml:space="preserve">ridge.com</t>
  </si>
  <si>
    <t xml:space="preserve">Sean Frank</t>
  </si>
  <si>
    <t xml:space="preserve">Founder publicly vocal on AI in ecommerce ops</t>
  </si>
  <si>
    <t xml:space="preserve">Reported ~$200M revenue</t>
  </si>
  <si>
    <t xml:space="preserve">https://ridge.com</t>
  </si>
  <si>
    <t xml:space="preserve">Alarm.com</t>
  </si>
  <si>
    <t xml:space="preserve">connected property SaaS</t>
  </si>
  <si>
    <t xml:space="preserve">Tysons</t>
  </si>
  <si>
    <t xml:space="preserve">alarm.com</t>
  </si>
  <si>
    <t xml:space="preserve">Steve Trundle</t>
  </si>
  <si>
    <t xml:space="preserve">AI video analytics</t>
  </si>
  <si>
    <t xml:space="preserve">NASDAQ: ALRM</t>
  </si>
  <si>
    <t xml:space="preserve">https://investors.alarm.com</t>
  </si>
  <si>
    <t xml:space="preserve">AppFolio</t>
  </si>
  <si>
    <t xml:space="preserve">property management software</t>
  </si>
  <si>
    <t xml:space="preserve">appfolio.com</t>
  </si>
  <si>
    <t xml:space="preserve">Shane Trigg</t>
  </si>
  <si>
    <t xml:space="preserve">Realm-X AI</t>
  </si>
  <si>
    <t xml:space="preserve">NASDAQ: APPF</t>
  </si>
  <si>
    <t xml:space="preserve">https://ir.appfolio.com</t>
  </si>
  <si>
    <t xml:space="preserve">Appian</t>
  </si>
  <si>
    <t xml:space="preserve">low-code process automation</t>
  </si>
  <si>
    <t xml:space="preserve">appian.com</t>
  </si>
  <si>
    <t xml:space="preserve">Matt Calkins</t>
  </si>
  <si>
    <t xml:space="preserve">Appian Agent Studio</t>
  </si>
  <si>
    <t xml:space="preserve">NASDAQ: APPN</t>
  </si>
  <si>
    <t xml:space="preserve">https://investors.appian.com</t>
  </si>
  <si>
    <t xml:space="preserve">BlackLine</t>
  </si>
  <si>
    <t xml:space="preserve">financial close automation</t>
  </si>
  <si>
    <t xml:space="preserve">Woodland Hills</t>
  </si>
  <si>
    <t xml:space="preserve">blackline.com</t>
  </si>
  <si>
    <t xml:space="preserve">Owen Ryan</t>
  </si>
  <si>
    <t xml:space="preserve">Verity AI and Studio360</t>
  </si>
  <si>
    <t xml:space="preserve">NASDAQ: BL</t>
  </si>
  <si>
    <t xml:space="preserve">https://investors.blackline.com</t>
  </si>
  <si>
    <t xml:space="preserve">Braze</t>
  </si>
  <si>
    <t xml:space="preserve">customer engagement</t>
  </si>
  <si>
    <t xml:space="preserve">braze.com</t>
  </si>
  <si>
    <t xml:space="preserve">Bill Magnuson</t>
  </si>
  <si>
    <t xml:space="preserve">BrazeAI and Project Catalyst agents</t>
  </si>
  <si>
    <t xml:space="preserve">NASDAQ: BRZE; martech</t>
  </si>
  <si>
    <t xml:space="preserve">https://investors.braze.com</t>
  </si>
  <si>
    <t xml:space="preserve">Clearwater Analytics</t>
  </si>
  <si>
    <t xml:space="preserve">investment accounting</t>
  </si>
  <si>
    <t xml:space="preserve">Boise</t>
  </si>
  <si>
    <t xml:space="preserve">clearwateranalytics.com</t>
  </si>
  <si>
    <t xml:space="preserve">Sandeep Sahai</t>
  </si>
  <si>
    <t xml:space="preserve">CWIC GenAI; acquired Enfusion 2025</t>
  </si>
  <si>
    <t xml:space="preserve">NYSE: CWAN</t>
  </si>
  <si>
    <t xml:space="preserve">https://investors.clearwateranalytics.com</t>
  </si>
  <si>
    <t xml:space="preserve">Deltek</t>
  </si>
  <si>
    <t xml:space="preserve">project-based ERP</t>
  </si>
  <si>
    <t xml:space="preserve">deltek.com</t>
  </si>
  <si>
    <t xml:space="preserve">Bob Hughes</t>
  </si>
  <si>
    <t xml:space="preserve">Deltek Dela AI</t>
  </si>
  <si>
    <t xml:space="preserve">Owned by Roper Technologies</t>
  </si>
  <si>
    <t xml:space="preserve">https://www.deltek.com</t>
  </si>
  <si>
    <t xml:space="preserve">Descartes Systems Group</t>
  </si>
  <si>
    <t xml:space="preserve">logistics &amp; customs software</t>
  </si>
  <si>
    <t xml:space="preserve">descartes.com</t>
  </si>
  <si>
    <t xml:space="preserve">Edward Ryan</t>
  </si>
  <si>
    <t xml:space="preserve">Descartes AI Assistant for MacroPoint</t>
  </si>
  <si>
    <t xml:space="preserve">NASDAQ: DSGX</t>
  </si>
  <si>
    <t xml:space="preserve">https://www.descartes.com/investor-relations</t>
  </si>
  <si>
    <t xml:space="preserve">DoubleVerify</t>
  </si>
  <si>
    <t xml:space="preserve">ad measurement</t>
  </si>
  <si>
    <t xml:space="preserve">doubleverify.com</t>
  </si>
  <si>
    <t xml:space="preserve">Mark Zagorski</t>
  </si>
  <si>
    <t xml:space="preserve">Universal Content Intelligence AI</t>
  </si>
  <si>
    <t xml:space="preserve">NYSE: DV; martech</t>
  </si>
  <si>
    <t xml:space="preserve">https://ir.doubleverify.com</t>
  </si>
  <si>
    <t xml:space="preserve">Doximity</t>
  </si>
  <si>
    <t xml:space="preserve">physician network &amp; workflow</t>
  </si>
  <si>
    <t xml:space="preserve">doximity.com</t>
  </si>
  <si>
    <t xml:space="preserve">Jeff Tangney</t>
  </si>
  <si>
    <t xml:space="preserve">Doximity GPT</t>
  </si>
  <si>
    <t xml:space="preserve">NYSE: DOCS</t>
  </si>
  <si>
    <t xml:space="preserve">https://investors.doximity.com</t>
  </si>
  <si>
    <t xml:space="preserve">Kinaxis</t>
  </si>
  <si>
    <t xml:space="preserve">supply chain planning</t>
  </si>
  <si>
    <t xml:space="preserve">Ottawa</t>
  </si>
  <si>
    <t xml:space="preserve">kinaxis.com</t>
  </si>
  <si>
    <t xml:space="preserve">Mark Morgan</t>
  </si>
  <si>
    <t xml:space="preserve">Maestro AI platform</t>
  </si>
  <si>
    <t xml:space="preserve">TSX: KXS</t>
  </si>
  <si>
    <t xml:space="preserve">https://investors.kinaxis.com</t>
  </si>
  <si>
    <t xml:space="preserve">Navan</t>
  </si>
  <si>
    <t xml:space="preserve">travel &amp; expense platform</t>
  </si>
  <si>
    <t xml:space="preserve">navan.com</t>
  </si>
  <si>
    <t xml:space="preserve">Ariel Cohen</t>
  </si>
  <si>
    <t xml:space="preserve">Ava AI travel agent</t>
  </si>
  <si>
    <t xml:space="preserve">NASDAQ: NAVN; IPO Oct 2025</t>
  </si>
  <si>
    <t xml:space="preserve">https://investors.navan.com</t>
  </si>
  <si>
    <t xml:space="preserve">PointClickCare</t>
  </si>
  <si>
    <t xml:space="preserve">senior care EHR</t>
  </si>
  <si>
    <t xml:space="preserve">Mississauga</t>
  </si>
  <si>
    <t xml:space="preserve">pointclickcare.com</t>
  </si>
  <si>
    <t xml:space="preserve">Dave Wessinger</t>
  </si>
  <si>
    <t xml:space="preserve">AI clinical insights</t>
  </si>
  <si>
    <t xml:space="preserve">Dragoneer and H&amp;F investors</t>
  </si>
  <si>
    <t xml:space="preserve">https://pointclickcare.com</t>
  </si>
  <si>
    <t xml:space="preserve">Q2 Holdings</t>
  </si>
  <si>
    <t xml:space="preserve">digital banking</t>
  </si>
  <si>
    <t xml:space="preserve">q2.com</t>
  </si>
  <si>
    <t xml:space="preserve">Kirk Coleman</t>
  </si>
  <si>
    <t xml:space="preserve">Q2 Andi AI assistant</t>
  </si>
  <si>
    <t xml:space="preserve">NYSE: QTWO</t>
  </si>
  <si>
    <t xml:space="preserve">https://investors.q2.com</t>
  </si>
  <si>
    <t xml:space="preserve">Rippling</t>
  </si>
  <si>
    <t xml:space="preserve">HR / IT / finance platform</t>
  </si>
  <si>
    <t xml:space="preserve">rippling.com</t>
  </si>
  <si>
    <t xml:space="preserve">Parker Conrad</t>
  </si>
  <si>
    <t xml:space="preserve">Rippling AI Talent Signal</t>
  </si>
  <si>
    <t xml:space="preserve">VC-backed; $16.8B valuation</t>
  </si>
  <si>
    <t xml:space="preserve">https://getlatka.com/companies/rippling</t>
  </si>
  <si>
    <t xml:space="preserve">SPS Commerce</t>
  </si>
  <si>
    <t xml:space="preserve">retail supply chain network</t>
  </si>
  <si>
    <t xml:space="preserve">spscommerce.com</t>
  </si>
  <si>
    <t xml:space="preserve">Chad Collins</t>
  </si>
  <si>
    <t xml:space="preserve">AI-driven fulfillment insights</t>
  </si>
  <si>
    <t xml:space="preserve">NASDAQ: SPSC</t>
  </si>
  <si>
    <t xml:space="preserve">https://investors.spscommerce.com</t>
  </si>
  <si>
    <t xml:space="preserve">ServiceTitan</t>
  </si>
  <si>
    <t xml:space="preserve">trades / field service software</t>
  </si>
  <si>
    <t xml:space="preserve">Glendale</t>
  </si>
  <si>
    <t xml:space="preserve">servicetitan.com</t>
  </si>
  <si>
    <t xml:space="preserve">Ara Mahdessian</t>
  </si>
  <si>
    <t xml:space="preserve">Titan Intelligence AI</t>
  </si>
  <si>
    <t xml:space="preserve">NASDAQ: TTAN; IPO Dec 2024</t>
  </si>
  <si>
    <t xml:space="preserve">https://investors.servicetitan.com</t>
  </si>
  <si>
    <t xml:space="preserve">Sprinklr</t>
  </si>
  <si>
    <t xml:space="preserve">unified CXM platform</t>
  </si>
  <si>
    <t xml:space="preserve">sprinklr.com</t>
  </si>
  <si>
    <t xml:space="preserve">Rory Read</t>
  </si>
  <si>
    <t xml:space="preserve">Sprinklr AI+</t>
  </si>
  <si>
    <t xml:space="preserve">NYSE: CXM; martech</t>
  </si>
  <si>
    <t xml:space="preserve">https://investors.sprinklr.com</t>
  </si>
  <si>
    <t xml:space="preserve">Vertex Inc</t>
  </si>
  <si>
    <t xml:space="preserve">indirect tax software</t>
  </si>
  <si>
    <t xml:space="preserve">King of Prussia</t>
  </si>
  <si>
    <t xml:space="preserve">vertexinc.com</t>
  </si>
  <si>
    <t xml:space="preserve">David DeStefano</t>
  </si>
  <si>
    <t xml:space="preserve">Vertex Copilot and ecosio acquisition</t>
  </si>
  <si>
    <t xml:space="preserve">NASDAQ: VERX</t>
  </si>
  <si>
    <t xml:space="preserve">https://ir.vertexinc.com</t>
  </si>
  <si>
    <t xml:space="preserve">Workiva</t>
  </si>
  <si>
    <t xml:space="preserve">financial reporting &amp; GRC</t>
  </si>
  <si>
    <t xml:space="preserve">Ames</t>
  </si>
  <si>
    <t xml:space="preserve">workiva.com</t>
  </si>
  <si>
    <t xml:space="preserve">Julie Iskow</t>
  </si>
  <si>
    <t xml:space="preserve">Workiva AI</t>
  </si>
  <si>
    <t xml:space="preserve">NYSE: WK</t>
  </si>
  <si>
    <t xml:space="preserve">https://investor.workiva.com</t>
  </si>
  <si>
    <t xml:space="preserve">eClinicalWorks</t>
  </si>
  <si>
    <t xml:space="preserve">Westborough</t>
  </si>
  <si>
    <t xml:space="preserve">eclinicalworks.com</t>
  </si>
  <si>
    <t xml:space="preserve">Girish Navani</t>
  </si>
  <si>
    <t xml:space="preserve">Sunoh.ai ambient scribe</t>
  </si>
  <si>
    <t xml:space="preserve">Founder-owned</t>
  </si>
  <si>
    <t xml:space="preserve">https://www.eclinicalworks.com</t>
  </si>
  <si>
    <t xml:space="preserve">nCino</t>
  </si>
  <si>
    <t xml:space="preserve">bank operating system</t>
  </si>
  <si>
    <t xml:space="preserve">ncino.com</t>
  </si>
  <si>
    <t xml:space="preserve">Sean Desmond</t>
  </si>
  <si>
    <t xml:space="preserve">nCino Banking Advisor GenAI</t>
  </si>
  <si>
    <t xml:space="preserve">NASDAQ: NCNO</t>
  </si>
  <si>
    <t xml:space="preserve">https://investor.ncino.com</t>
  </si>
  <si>
    <t xml:space="preserve">Agilysys</t>
  </si>
  <si>
    <t xml:space="preserve">hospitality software</t>
  </si>
  <si>
    <t xml:space="preserve">agilysys.com</t>
  </si>
  <si>
    <t xml:space="preserve">Ramesh Srinivasan</t>
  </si>
  <si>
    <t xml:space="preserve">Agilysys AI guest experience</t>
  </si>
  <si>
    <t xml:space="preserve">NASDAQ: AGYS</t>
  </si>
  <si>
    <t xml:space="preserve">https://investors.agilysys.com</t>
  </si>
  <si>
    <t xml:space="preserve">Alkami Technology</t>
  </si>
  <si>
    <t xml:space="preserve">alkami.com</t>
  </si>
  <si>
    <t xml:space="preserve">Alex Shootman</t>
  </si>
  <si>
    <t xml:space="preserve">Alkami data &amp; AI predictive models</t>
  </si>
  <si>
    <t xml:space="preserve">NASDAQ: ALKT</t>
  </si>
  <si>
    <t xml:space="preserve">https://investors.alkami.com</t>
  </si>
  <si>
    <t xml:space="preserve">Amplitude</t>
  </si>
  <si>
    <t xml:space="preserve">product analytics</t>
  </si>
  <si>
    <t xml:space="preserve">amplitude.com</t>
  </si>
  <si>
    <t xml:space="preserve">Spenser Skates</t>
  </si>
  <si>
    <t xml:space="preserve">Amplitude AI Agents</t>
  </si>
  <si>
    <t xml:space="preserve">NASDAQ: AMPL</t>
  </si>
  <si>
    <t xml:space="preserve">https://investors.amplitude.com</t>
  </si>
  <si>
    <t xml:space="preserve">Attentive</t>
  </si>
  <si>
    <t xml:space="preserve">SMS &amp; email marketing</t>
  </si>
  <si>
    <t xml:space="preserve">Hoboken</t>
  </si>
  <si>
    <t xml:space="preserve">attentive.com</t>
  </si>
  <si>
    <t xml:space="preserve">Amit Jhawar</t>
  </si>
  <si>
    <t xml:space="preserve">Attentive AI agents</t>
  </si>
  <si>
    <t xml:space="preserve">https://www.attentive.com</t>
  </si>
  <si>
    <t xml:space="preserve">Calendly</t>
  </si>
  <si>
    <t xml:space="preserve">scheduling automation</t>
  </si>
  <si>
    <t xml:space="preserve">calendly.com</t>
  </si>
  <si>
    <t xml:space="preserve">Tope Awotona</t>
  </si>
  <si>
    <t xml:space="preserve">Calendly AI scheduling</t>
  </si>
  <si>
    <t xml:space="preserve">https://calendly.com</t>
  </si>
  <si>
    <t xml:space="preserve">Domo</t>
  </si>
  <si>
    <t xml:space="preserve">BI &amp; data apps</t>
  </si>
  <si>
    <t xml:space="preserve">American Fork</t>
  </si>
  <si>
    <t xml:space="preserve">domo.com</t>
  </si>
  <si>
    <t xml:space="preserve">Josh James</t>
  </si>
  <si>
    <t xml:space="preserve">Domo.AI agents</t>
  </si>
  <si>
    <t xml:space="preserve">NASDAQ: DOMO</t>
  </si>
  <si>
    <t xml:space="preserve">https://ir.domo.com</t>
  </si>
  <si>
    <t xml:space="preserve">Entrata</t>
  </si>
  <si>
    <t xml:space="preserve">entrata.com</t>
  </si>
  <si>
    <t xml:space="preserve">Adam Edmunds</t>
  </si>
  <si>
    <t xml:space="preserve">Entrata Layered Intelligence (ELI+)</t>
  </si>
  <si>
    <t xml:space="preserve">Silver Lake minority investor</t>
  </si>
  <si>
    <t xml:space="preserve">https://www.entrata.com</t>
  </si>
  <si>
    <t xml:space="preserve">Gong</t>
  </si>
  <si>
    <t xml:space="preserve">revenue intelligence</t>
  </si>
  <si>
    <t xml:space="preserve">gong.io</t>
  </si>
  <si>
    <t xml:space="preserve">Amit Bendov</t>
  </si>
  <si>
    <t xml:space="preserve">AI-native revenue platform</t>
  </si>
  <si>
    <t xml:space="preserve">https://www.gong.io</t>
  </si>
  <si>
    <t xml:space="preserve">Health Catalyst</t>
  </si>
  <si>
    <t xml:space="preserve">healthcare data &amp; analytics</t>
  </si>
  <si>
    <t xml:space="preserve">South Jordan</t>
  </si>
  <si>
    <t xml:space="preserve">healthcatalyst.com</t>
  </si>
  <si>
    <t xml:space="preserve">Dan Burton</t>
  </si>
  <si>
    <t xml:space="preserve">Ignite AI platform</t>
  </si>
  <si>
    <t xml:space="preserve">NASDAQ: HCAT</t>
  </si>
  <si>
    <t xml:space="preserve">https://ir.healthcatalyst.com</t>
  </si>
  <si>
    <t xml:space="preserve">Motive</t>
  </si>
  <si>
    <t xml:space="preserve">fleet management &amp; spend</t>
  </si>
  <si>
    <t xml:space="preserve">gomotive.com</t>
  </si>
  <si>
    <t xml:space="preserve">Shoaib Makani</t>
  </si>
  <si>
    <t xml:space="preserve">AI dashcams and Motive AI</t>
  </si>
  <si>
    <t xml:space="preserve">https://gomotive.com</t>
  </si>
  <si>
    <t xml:space="preserve">N-able</t>
  </si>
  <si>
    <t xml:space="preserve">MSP IT management</t>
  </si>
  <si>
    <t xml:space="preserve">n-able.com</t>
  </si>
  <si>
    <t xml:space="preserve">John Pagliuca</t>
  </si>
  <si>
    <t xml:space="preserve">N-able AI for MSPs</t>
  </si>
  <si>
    <t xml:space="preserve">NYSE: NABL</t>
  </si>
  <si>
    <t xml:space="preserve">https://investors.n-able.com</t>
  </si>
  <si>
    <t xml:space="preserve">Outreach</t>
  </si>
  <si>
    <t xml:space="preserve">sales execution platform</t>
  </si>
  <si>
    <t xml:space="preserve">outreach.io</t>
  </si>
  <si>
    <t xml:space="preserve">Abhijit Mitra</t>
  </si>
  <si>
    <t xml:space="preserve">Outreach AI Prospecting Agent</t>
  </si>
  <si>
    <t xml:space="preserve">https://www.outreach.io</t>
  </si>
  <si>
    <t xml:space="preserve">Phreesia</t>
  </si>
  <si>
    <t xml:space="preserve">patient intake &amp; payments</t>
  </si>
  <si>
    <t xml:space="preserve">phreesia.com</t>
  </si>
  <si>
    <t xml:space="preserve">Chaim Indig</t>
  </si>
  <si>
    <t xml:space="preserve">AI patient engagement</t>
  </si>
  <si>
    <t xml:space="preserve">NYSE: PHR</t>
  </si>
  <si>
    <t xml:space="preserve">https://ir.phreesia.com</t>
  </si>
  <si>
    <t xml:space="preserve">PowerFleet</t>
  </si>
  <si>
    <t xml:space="preserve">IoT fleet &amp; asset software</t>
  </si>
  <si>
    <t xml:space="preserve">Woodcliff Lake</t>
  </si>
  <si>
    <t xml:space="preserve">powerfleet.com</t>
  </si>
  <si>
    <t xml:space="preserve">Steve Towe</t>
  </si>
  <si>
    <t xml:space="preserve">Unity AI platform</t>
  </si>
  <si>
    <t xml:space="preserve">NASDAQ: AIOT</t>
  </si>
  <si>
    <t xml:space="preserve">https://ir.powerfleet.com</t>
  </si>
  <si>
    <t xml:space="preserve">Seismic</t>
  </si>
  <si>
    <t xml:space="preserve">sales enablement</t>
  </si>
  <si>
    <t xml:space="preserve">seismic.com</t>
  </si>
  <si>
    <t xml:space="preserve">Doug Winter</t>
  </si>
  <si>
    <t xml:space="preserve">Seismic Aura Agents</t>
  </si>
  <si>
    <t xml:space="preserve">Permira backed</t>
  </si>
  <si>
    <t xml:space="preserve">https://seismic.com</t>
  </si>
  <si>
    <t xml:space="preserve">Sprout Social</t>
  </si>
  <si>
    <t xml:space="preserve">social media management</t>
  </si>
  <si>
    <t xml:space="preserve">sproutsocial.com</t>
  </si>
  <si>
    <t xml:space="preserve">Ryan Barretto</t>
  </si>
  <si>
    <t xml:space="preserve">Sprout AI Assist</t>
  </si>
  <si>
    <t xml:space="preserve">NASDAQ: SPT; martech</t>
  </si>
  <si>
    <t xml:space="preserve">https://investors.sproutsocial.com</t>
  </si>
  <si>
    <t xml:space="preserve">Yext</t>
  </si>
  <si>
    <t xml:space="preserve">digital presence &amp; AI search</t>
  </si>
  <si>
    <t xml:space="preserve">yext.com</t>
  </si>
  <si>
    <t xml:space="preserve">Michael Walrath</t>
  </si>
  <si>
    <t xml:space="preserve">Yext Scout AI search agent</t>
  </si>
  <si>
    <t xml:space="preserve">NYSE: YEXT; martech</t>
  </si>
  <si>
    <t xml:space="preserve">https://investors.yext.com</t>
  </si>
  <si>
    <t xml:space="preserve">Zapier</t>
  </si>
  <si>
    <t xml:space="preserve">workflow automation</t>
  </si>
  <si>
    <t xml:space="preserve">zapier.com</t>
  </si>
  <si>
    <t xml:space="preserve">Wade Foster</t>
  </si>
  <si>
    <t xml:space="preserve">Zapier Agents</t>
  </si>
  <si>
    <t xml:space="preserve">Bootstrapped-style; Sequoia minority</t>
  </si>
  <si>
    <t xml:space="preserve">https://zapier.com</t>
  </si>
  <si>
    <t xml:space="preserve">o9 Solutions</t>
  </si>
  <si>
    <t xml:space="preserve">integrated business planning</t>
  </si>
  <si>
    <t xml:space="preserve">o9solutions.com</t>
  </si>
  <si>
    <t xml:space="preserve">Chakri Gottemukkala</t>
  </si>
  <si>
    <t xml:space="preserve">Digital Brain AI planning</t>
  </si>
  <si>
    <t xml:space="preserve">KKR and Generation backed</t>
  </si>
  <si>
    <t xml:space="preserve">https://o9solutions.com</t>
  </si>
  <si>
    <t xml:space="preserve">6sense</t>
  </si>
  <si>
    <t xml:space="preserve">ABM &amp; revenue AI</t>
  </si>
  <si>
    <t xml:space="preserve">6sense.com</t>
  </si>
  <si>
    <t xml:space="preserve">Jason Zintak</t>
  </si>
  <si>
    <t xml:space="preserve">6sense Revenue AI agents</t>
  </si>
  <si>
    <t xml:space="preserve">https://6sense.com</t>
  </si>
  <si>
    <t xml:space="preserve">ActiveCampaign</t>
  </si>
  <si>
    <t xml:space="preserve">SMB marketing automation</t>
  </si>
  <si>
    <t xml:space="preserve">activecampaign.com</t>
  </si>
  <si>
    <t xml:space="preserve">Jason VandeBoom</t>
  </si>
  <si>
    <t xml:space="preserve">Active Intelligence AI agents</t>
  </si>
  <si>
    <t xml:space="preserve">https://www.activecampaign.com</t>
  </si>
  <si>
    <t xml:space="preserve">Arcadia</t>
  </si>
  <si>
    <t xml:space="preserve">healthcare data platform</t>
  </si>
  <si>
    <t xml:space="preserve">arcadia.io</t>
  </si>
  <si>
    <t xml:space="preserve">Michael Meucci</t>
  </si>
  <si>
    <t xml:space="preserve">Arcadia AI analytics</t>
  </si>
  <si>
    <t xml:space="preserve">https://arcadia.io</t>
  </si>
  <si>
    <t xml:space="preserve">Blend Labs</t>
  </si>
  <si>
    <t xml:space="preserve">mortgage &amp; banking origination</t>
  </si>
  <si>
    <t xml:space="preserve">blend.com</t>
  </si>
  <si>
    <t xml:space="preserve">Nima Ghamsari</t>
  </si>
  <si>
    <t xml:space="preserve">Blend Rapid Refi AI</t>
  </si>
  <si>
    <t xml:space="preserve">NYSE: BLND</t>
  </si>
  <si>
    <t xml:space="preserve">https://investor.blend.com</t>
  </si>
  <si>
    <t xml:space="preserve">CentralReach</t>
  </si>
  <si>
    <t xml:space="preserve">autism &amp; IDD care software</t>
  </si>
  <si>
    <t xml:space="preserve">centralreach.com</t>
  </si>
  <si>
    <t xml:space="preserve">Chris Sullens</t>
  </si>
  <si>
    <t xml:space="preserve">cari AI assistant</t>
  </si>
  <si>
    <t xml:space="preserve">Acquired by Roper Technologies 2025</t>
  </si>
  <si>
    <t xml:space="preserve">Clari</t>
  </si>
  <si>
    <t xml:space="preserve">revenue orchestration</t>
  </si>
  <si>
    <t xml:space="preserve">Sunnyvale</t>
  </si>
  <si>
    <t xml:space="preserve">clari.com</t>
  </si>
  <si>
    <t xml:space="preserve">Andy Byrne</t>
  </si>
  <si>
    <t xml:space="preserve">Clari Copilot</t>
  </si>
  <si>
    <t xml:space="preserve">https://www.clari.com</t>
  </si>
  <si>
    <t xml:space="preserve">CompanyCam</t>
  </si>
  <si>
    <t xml:space="preserve">contractor photo documentation</t>
  </si>
  <si>
    <t xml:space="preserve">Lincoln</t>
  </si>
  <si>
    <t xml:space="preserve">companycam.com</t>
  </si>
  <si>
    <t xml:space="preserve">Luke Hansen</t>
  </si>
  <si>
    <t xml:space="preserve">AI job summaries</t>
  </si>
  <si>
    <t xml:space="preserve">$2.0B valuation Aug 2025</t>
  </si>
  <si>
    <t xml:space="preserve">Definitive Healthcare</t>
  </si>
  <si>
    <t xml:space="preserve">healthcare commercial intelligence</t>
  </si>
  <si>
    <t xml:space="preserve">Framingham</t>
  </si>
  <si>
    <t xml:space="preserve">definitivehc.com</t>
  </si>
  <si>
    <t xml:space="preserve">Kevin Coop</t>
  </si>
  <si>
    <t xml:space="preserve">GenAI on Atlas dataset</t>
  </si>
  <si>
    <t xml:space="preserve">NASDAQ: DH</t>
  </si>
  <si>
    <t xml:space="preserve">https://ir.definitivehc.com</t>
  </si>
  <si>
    <t xml:space="preserve">Eightfold AI</t>
  </si>
  <si>
    <t xml:space="preserve">talent intelligence</t>
  </si>
  <si>
    <t xml:space="preserve">eightfold.ai</t>
  </si>
  <si>
    <t xml:space="preserve">Ashutosh Garg</t>
  </si>
  <si>
    <t xml:space="preserve">AI-native talent platform</t>
  </si>
  <si>
    <t xml:space="preserve">https://eightfold.ai</t>
  </si>
  <si>
    <t xml:space="preserve">FourKites</t>
  </si>
  <si>
    <t xml:space="preserve">supply chain visibility</t>
  </si>
  <si>
    <t xml:space="preserve">fourkites.com</t>
  </si>
  <si>
    <t xml:space="preserve">Mathew Elenjickal</t>
  </si>
  <si>
    <t xml:space="preserve">Intelligent Control Tower AI agents</t>
  </si>
  <si>
    <t xml:space="preserve">https://www.fourkites.com</t>
  </si>
  <si>
    <t xml:space="preserve">Highspot</t>
  </si>
  <si>
    <t xml:space="preserve">highspot.com</t>
  </si>
  <si>
    <t xml:space="preserve">Robert Wahbe</t>
  </si>
  <si>
    <t xml:space="preserve">Highspot Copilot</t>
  </si>
  <si>
    <t xml:space="preserve">Sales/martech</t>
  </si>
  <si>
    <t xml:space="preserve">https://www.highspot.com</t>
  </si>
  <si>
    <t xml:space="preserve">Housecall Pro</t>
  </si>
  <si>
    <t xml:space="preserve">home service business software</t>
  </si>
  <si>
    <t xml:space="preserve">housecallpro.com</t>
  </si>
  <si>
    <t xml:space="preserve">Ian Heidt</t>
  </si>
  <si>
    <t xml:space="preserve">AI Team for home service pros</t>
  </si>
  <si>
    <t xml:space="preserve">https://www.housecallpro.com</t>
  </si>
  <si>
    <t xml:space="preserve">Innovaccer</t>
  </si>
  <si>
    <t xml:space="preserve">innovaccer.com</t>
  </si>
  <si>
    <t xml:space="preserve">Abhinav Shashank</t>
  </si>
  <si>
    <t xml:space="preserve">Agents of Care AI</t>
  </si>
  <si>
    <t xml:space="preserve">https://innovaccer.com</t>
  </si>
  <si>
    <t xml:space="preserve">Iterable</t>
  </si>
  <si>
    <t xml:space="preserve">cross-channel marketing</t>
  </si>
  <si>
    <t xml:space="preserve">iterable.com</t>
  </si>
  <si>
    <t xml:space="preserve">Andrew Boni</t>
  </si>
  <si>
    <t xml:space="preserve">Iterable AI Suite</t>
  </si>
  <si>
    <t xml:space="preserve">https://iterable.com</t>
  </si>
  <si>
    <t xml:space="preserve">Ivalua</t>
  </si>
  <si>
    <t xml:space="preserve">ivalua.com</t>
  </si>
  <si>
    <t xml:space="preserve">David Khuat-Duy</t>
  </si>
  <si>
    <t xml:space="preserve">IVA generative AI</t>
  </si>
  <si>
    <t xml:space="preserve">https://www.ivalua.com</t>
  </si>
  <si>
    <t xml:space="preserve">Jobber</t>
  </si>
  <si>
    <t xml:space="preserve">Edmonton</t>
  </si>
  <si>
    <t xml:space="preserve">getjobber.com</t>
  </si>
  <si>
    <t xml:space="preserve">Sam Pillar</t>
  </si>
  <si>
    <t xml:space="preserve">Jobber Copilot</t>
  </si>
  <si>
    <t xml:space="preserve">General Atlantic backed</t>
  </si>
  <si>
    <t xml:space="preserve">https://www.getjobber.com</t>
  </si>
  <si>
    <t xml:space="preserve">Lattice</t>
  </si>
  <si>
    <t xml:space="preserve">performance &amp; people management</t>
  </si>
  <si>
    <t xml:space="preserve">lattice.com</t>
  </si>
  <si>
    <t xml:space="preserve">Sarah Franklin</t>
  </si>
  <si>
    <t xml:space="preserve">Lattice AI agents for HR</t>
  </si>
  <si>
    <t xml:space="preserve">VC/growth-backed</t>
  </si>
  <si>
    <t xml:space="preserve">https://www.lattice.com</t>
  </si>
  <si>
    <t xml:space="preserve">OpenGov</t>
  </si>
  <si>
    <t xml:space="preserve">govtech ERP &amp; permitting</t>
  </si>
  <si>
    <t xml:space="preserve">opengov.com</t>
  </si>
  <si>
    <t xml:space="preserve">Zac Bookman</t>
  </si>
  <si>
    <t xml:space="preserve">OpenGov AI</t>
  </si>
  <si>
    <t xml:space="preserve">Majority owned by Cox Enterprises</t>
  </si>
  <si>
    <t xml:space="preserve">https://opengov.com</t>
  </si>
  <si>
    <t xml:space="preserve">Phenom</t>
  </si>
  <si>
    <t xml:space="preserve">talent experience platform</t>
  </si>
  <si>
    <t xml:space="preserve">Ambler</t>
  </si>
  <si>
    <t xml:space="preserve">phenom.com</t>
  </si>
  <si>
    <t xml:space="preserve">Mahe Bayireddi</t>
  </si>
  <si>
    <t xml:space="preserve">Phenom X+ agentic AI</t>
  </si>
  <si>
    <t xml:space="preserve">https://www.phenom.com</t>
  </si>
  <si>
    <t xml:space="preserve">Podium</t>
  </si>
  <si>
    <t xml:space="preserve">SMB messaging &amp; payments</t>
  </si>
  <si>
    <t xml:space="preserve">podium.com</t>
  </si>
  <si>
    <t xml:space="preserve">Eric Rea</t>
  </si>
  <si>
    <t xml:space="preserve">Podium AI Employee</t>
  </si>
  <si>
    <t xml:space="preserve">https://www.podium.com</t>
  </si>
  <si>
    <t xml:space="preserve">Restaurant365</t>
  </si>
  <si>
    <t xml:space="preserve">restaurant accounting &amp; operations</t>
  </si>
  <si>
    <t xml:space="preserve">restaurant365.com</t>
  </si>
  <si>
    <t xml:space="preserve">Tony Smith</t>
  </si>
  <si>
    <t xml:space="preserve">AI forecasting and Smart Ops</t>
  </si>
  <si>
    <t xml:space="preserve">KKR and ICONIQ backed</t>
  </si>
  <si>
    <t xml:space="preserve">https://getlatka.com/companies/restaurant365</t>
  </si>
  <si>
    <t xml:space="preserve">Tebra</t>
  </si>
  <si>
    <t xml:space="preserve">independent practice EHR/PM</t>
  </si>
  <si>
    <t xml:space="preserve">Newport Beach</t>
  </si>
  <si>
    <t xml:space="preserve">tebra.com</t>
  </si>
  <si>
    <t xml:space="preserve">Dan Rodrigues</t>
  </si>
  <si>
    <t xml:space="preserve">Tebra AI Note Assist</t>
  </si>
  <si>
    <t xml:space="preserve">Kareo + PatientPop</t>
  </si>
  <si>
    <t xml:space="preserve">https://www.tebra.com</t>
  </si>
  <si>
    <t xml:space="preserve">Upland Software</t>
  </si>
  <si>
    <t xml:space="preserve">enterprise work management</t>
  </si>
  <si>
    <t xml:space="preserve">uplandsoftware.com</t>
  </si>
  <si>
    <t xml:space="preserve">Jack McDonald</t>
  </si>
  <si>
    <t xml:space="preserve">Upland AI knowledge products</t>
  </si>
  <si>
    <t xml:space="preserve">NASDAQ: UPLD</t>
  </si>
  <si>
    <t xml:space="preserve">https://investor.uplandsoftware.com</t>
  </si>
  <si>
    <t xml:space="preserve">Weave Communications</t>
  </si>
  <si>
    <t xml:space="preserve">healthcare SMB communications</t>
  </si>
  <si>
    <t xml:space="preserve">getweave.com</t>
  </si>
  <si>
    <t xml:space="preserve">Brett White</t>
  </si>
  <si>
    <t xml:space="preserve">Weave AI assistant</t>
  </si>
  <si>
    <t xml:space="preserve">NYSE: WEAV</t>
  </si>
  <si>
    <t xml:space="preserve">https://investors.getweave.com</t>
  </si>
  <si>
    <t xml:space="preserve">project44</t>
  </si>
  <si>
    <t xml:space="preserve">project44.com</t>
  </si>
  <si>
    <t xml:space="preserve">Jett McCandless</t>
  </si>
  <si>
    <t xml:space="preserve">Movement GPT and Decision Intelligence</t>
  </si>
  <si>
    <t xml:space="preserve">https://www.project44.com</t>
  </si>
  <si>
    <t xml:space="preserve">TA Services</t>
  </si>
  <si>
    <t xml:space="preserve">freight brokerage / dedicated / warehousing</t>
  </si>
  <si>
    <t xml:space="preserve">Mansfield</t>
  </si>
  <si>
    <t xml:space="preserve">taservices.com</t>
  </si>
  <si>
    <t xml:space="preserve">COO; CIO; VP Operations; VP Sales</t>
  </si>
  <si>
    <t xml:space="preserve">TA Dedicated incorporating AI for safety and efficiency (TT 2026)</t>
  </si>
  <si>
    <t xml:space="preserve">TT 2026 Logistics No. 89; PS Logistics unit</t>
  </si>
  <si>
    <t xml:space="preserve">Transervice Logistics / Lily Transportation</t>
  </si>
  <si>
    <t xml:space="preserve">dedicated contract carriage</t>
  </si>
  <si>
    <t xml:space="preserve">Lake Success</t>
  </si>
  <si>
    <t xml:space="preserve">transervice.com</t>
  </si>
  <si>
    <t xml:space="preserve">COO; CIO; VP Operations; CFO</t>
  </si>
  <si>
    <t xml:space="preserve">Says it is implementing "practical disciplined AI" for execution and visibility (TT 2026)</t>
  </si>
  <si>
    <t xml:space="preserve">TT 2026 For-Hire No. 62 and Logistics No. 80</t>
  </si>
  <si>
    <t xml:space="preserve">Holthouse Carlin &amp; Van Trigt (HCVT)</t>
  </si>
  <si>
    <t xml:space="preserve">hcvt.com</t>
  </si>
  <si>
    <t xml:space="preserve">IPA 500 #31</t>
  </si>
  <si>
    <t xml:space="preserve">Weaver</t>
  </si>
  <si>
    <t xml:space="preserve">weaver.com</t>
  </si>
  <si>
    <t xml:space="preserve">John Mackel</t>
  </si>
  <si>
    <t xml:space="preserve">IPA 500 #28</t>
  </si>
  <si>
    <t xml:space="preserve">Anchin</t>
  </si>
  <si>
    <t xml:space="preserve">anchin.com</t>
  </si>
  <si>
    <t xml:space="preserve">Russell Shinsky</t>
  </si>
  <si>
    <t xml:space="preserve">IPA 500 #50</t>
  </si>
  <si>
    <t xml:space="preserve">Blue &amp; Co.</t>
  </si>
  <si>
    <t xml:space="preserve">Carmel</t>
  </si>
  <si>
    <t xml:space="preserve">blueandco.com</t>
  </si>
  <si>
    <t xml:space="preserve">IPA 500 #53</t>
  </si>
  <si>
    <t xml:space="preserve">Grassi Advisory Group</t>
  </si>
  <si>
    <t xml:space="preserve">grassiadvisors.com</t>
  </si>
  <si>
    <t xml:space="preserve">Louis Grassi</t>
  </si>
  <si>
    <t xml:space="preserve">IPA 500 #52</t>
  </si>
  <si>
    <t xml:space="preserve">Hill Barth &amp; King (HBK)</t>
  </si>
  <si>
    <t xml:space="preserve">Canfield</t>
  </si>
  <si>
    <t xml:space="preserve">hbkcpa.com</t>
  </si>
  <si>
    <t xml:space="preserve">Christopher Allegretti</t>
  </si>
  <si>
    <t xml:space="preserve">IPA 500 #44</t>
  </si>
  <si>
    <t xml:space="preserve">Mauldin &amp; Jenkins</t>
  </si>
  <si>
    <t xml:space="preserve">mjcpa.com</t>
  </si>
  <si>
    <t xml:space="preserve">IPA 500 #59</t>
  </si>
  <si>
    <t xml:space="preserve">Miller Cooper &amp; Co.</t>
  </si>
  <si>
    <t xml:space="preserve">millercooper.com</t>
  </si>
  <si>
    <t xml:space="preserve">IPA 500 #51</t>
  </si>
  <si>
    <t xml:space="preserve">Novogradac &amp; Company</t>
  </si>
  <si>
    <t xml:space="preserve">specialty CPA firm (affordable housing/tax credits)</t>
  </si>
  <si>
    <t xml:space="preserve">novoco.com</t>
  </si>
  <si>
    <t xml:space="preserve">Michael Novogradac</t>
  </si>
  <si>
    <t xml:space="preserve">IPA 500 #36</t>
  </si>
  <si>
    <t xml:space="preserve">Pinion</t>
  </si>
  <si>
    <t xml:space="preserve">regional CPA firm (agribusiness)</t>
  </si>
  <si>
    <t xml:space="preserve">Salina</t>
  </si>
  <si>
    <t xml:space="preserve">pinionglobal.com</t>
  </si>
  <si>
    <t xml:space="preserve">IPA 500 #57; formerly KCoe Isom</t>
  </si>
  <si>
    <t xml:space="preserve">Rehmann</t>
  </si>
  <si>
    <t xml:space="preserve">rehmann.com</t>
  </si>
  <si>
    <t xml:space="preserve">Stacie Kwaiser</t>
  </si>
  <si>
    <t xml:space="preserve">IPA 500 #37</t>
  </si>
  <si>
    <t xml:space="preserve">RubinBrown</t>
  </si>
  <si>
    <t xml:space="preserve">rubinbrown.com</t>
  </si>
  <si>
    <t xml:space="preserve">IPA 500 #33</t>
  </si>
  <si>
    <t xml:space="preserve">SingerLewak</t>
  </si>
  <si>
    <t xml:space="preserve">singerlewak.com</t>
  </si>
  <si>
    <t xml:space="preserve">IPA 500 #64</t>
  </si>
  <si>
    <t xml:space="preserve">The Bonadio Group</t>
  </si>
  <si>
    <t xml:space="preserve">Pittsford</t>
  </si>
  <si>
    <t xml:space="preserve">bonadio.com</t>
  </si>
  <si>
    <t xml:space="preserve">Bruce Zicari</t>
  </si>
  <si>
    <t xml:space="preserve">IPA 500 #40</t>
  </si>
  <si>
    <t xml:space="preserve">Whitley Penn</t>
  </si>
  <si>
    <t xml:space="preserve">whitleypenn.com</t>
  </si>
  <si>
    <t xml:space="preserve">Larry Autrey</t>
  </si>
  <si>
    <t xml:space="preserve">IPA 500 #34; no PE</t>
  </si>
  <si>
    <t xml:space="preserve">AAFCPAs</t>
  </si>
  <si>
    <t xml:space="preserve">aafcpa.com</t>
  </si>
  <si>
    <t xml:space="preserve">IPA 500 #86</t>
  </si>
  <si>
    <t xml:space="preserve">AdamsBrown</t>
  </si>
  <si>
    <t xml:space="preserve">Wichita</t>
  </si>
  <si>
    <t xml:space="preserve">adamsbrowncpa.com</t>
  </si>
  <si>
    <t xml:space="preserve">IPA 500 #106</t>
  </si>
  <si>
    <t xml:space="preserve">Aldrich</t>
  </si>
  <si>
    <t xml:space="preserve">Lake Oswego</t>
  </si>
  <si>
    <t xml:space="preserve">aldrichadvisors.com</t>
  </si>
  <si>
    <t xml:space="preserve">IPA 500 #68</t>
  </si>
  <si>
    <t xml:space="preserve">BMSS</t>
  </si>
  <si>
    <t xml:space="preserve">bmss.com</t>
  </si>
  <si>
    <t xml:space="preserve">IPA 500 #79</t>
  </si>
  <si>
    <t xml:space="preserve">Baker Newman Noyes</t>
  </si>
  <si>
    <t xml:space="preserve">bnncpa.com</t>
  </si>
  <si>
    <t xml:space="preserve">IPA 500 #92</t>
  </si>
  <si>
    <t xml:space="preserve">Boulay</t>
  </si>
  <si>
    <t xml:space="preserve">boulaygroup.com</t>
  </si>
  <si>
    <t xml:space="preserve">IPA 500 #93</t>
  </si>
  <si>
    <t xml:space="preserve">Brady Martz</t>
  </si>
  <si>
    <t xml:space="preserve">Grand Forks</t>
  </si>
  <si>
    <t xml:space="preserve">bradymartz.com</t>
  </si>
  <si>
    <t xml:space="preserve">IPA 500 #85</t>
  </si>
  <si>
    <t xml:space="preserve">Brown Edwards &amp; Company</t>
  </si>
  <si>
    <t xml:space="preserve">Roanoke</t>
  </si>
  <si>
    <t xml:space="preserve">becpas.com</t>
  </si>
  <si>
    <t xml:space="preserve">IPA 500 #70</t>
  </si>
  <si>
    <t xml:space="preserve">Cain Watters &amp; Associates</t>
  </si>
  <si>
    <t xml:space="preserve">specialty CPA firm (dental)</t>
  </si>
  <si>
    <t xml:space="preserve">cainwatters.com</t>
  </si>
  <si>
    <t xml:space="preserve">IPA 500 #78</t>
  </si>
  <si>
    <t xml:space="preserve">Clark Nuber</t>
  </si>
  <si>
    <t xml:space="preserve">clarknuber.com</t>
  </si>
  <si>
    <t xml:space="preserve">IPA 500 #88</t>
  </si>
  <si>
    <t xml:space="preserve">GBQ Partners</t>
  </si>
  <si>
    <t xml:space="preserve">gbq.com</t>
  </si>
  <si>
    <t xml:space="preserve">IPA 500 #94</t>
  </si>
  <si>
    <t xml:space="preserve">GHJ</t>
  </si>
  <si>
    <t xml:space="preserve">ghjadvisors.com</t>
  </si>
  <si>
    <t xml:space="preserve">IPA 500 #97</t>
  </si>
  <si>
    <t xml:space="preserve">GRF CPAs &amp; Advisors</t>
  </si>
  <si>
    <t xml:space="preserve">regional CPA firm (nonprofit)</t>
  </si>
  <si>
    <t xml:space="preserve">Bethesda</t>
  </si>
  <si>
    <t xml:space="preserve">grfcpa.com</t>
  </si>
  <si>
    <t xml:space="preserve">IPA 500 #107</t>
  </si>
  <si>
    <t xml:space="preserve">Gursey Schneider</t>
  </si>
  <si>
    <t xml:space="preserve">gursey.com</t>
  </si>
  <si>
    <t xml:space="preserve">IPA 500 #84</t>
  </si>
  <si>
    <t xml:space="preserve">HHM CPAs</t>
  </si>
  <si>
    <t xml:space="preserve">Chattanooga</t>
  </si>
  <si>
    <t xml:space="preserve">hhmcpas.com</t>
  </si>
  <si>
    <t xml:space="preserve">IPA 500 #76</t>
  </si>
  <si>
    <t xml:space="preserve">Haynie &amp; Company</t>
  </si>
  <si>
    <t xml:space="preserve">hayniecpas.com</t>
  </si>
  <si>
    <t xml:space="preserve">IPA 500 #90</t>
  </si>
  <si>
    <t xml:space="preserve">Honkamp</t>
  </si>
  <si>
    <t xml:space="preserve">Dubuque</t>
  </si>
  <si>
    <t xml:space="preserve">honkamp.com</t>
  </si>
  <si>
    <t xml:space="preserve">IPA 500 #101</t>
  </si>
  <si>
    <t xml:space="preserve">Johnson Lambert</t>
  </si>
  <si>
    <t xml:space="preserve">specialty CPA firm (insurance)</t>
  </si>
  <si>
    <t xml:space="preserve">johnsonlambert.com</t>
  </si>
  <si>
    <t xml:space="preserve">IPA 500 #110</t>
  </si>
  <si>
    <t xml:space="preserve">Kahn Litwin Renza (KLR)</t>
  </si>
  <si>
    <t xml:space="preserve">Providence</t>
  </si>
  <si>
    <t xml:space="preserve">RI</t>
  </si>
  <si>
    <t xml:space="preserve">kahnlitwin.com</t>
  </si>
  <si>
    <t xml:space="preserve">IPA 500 #80</t>
  </si>
  <si>
    <t xml:space="preserve">Kemper CPA Group</t>
  </si>
  <si>
    <t xml:space="preserve">Evansville</t>
  </si>
  <si>
    <t xml:space="preserve">kempercpa.com</t>
  </si>
  <si>
    <t xml:space="preserve">IPA 500 #95</t>
  </si>
  <si>
    <t xml:space="preserve">Kreischer Miller</t>
  </si>
  <si>
    <t xml:space="preserve">kmco.com</t>
  </si>
  <si>
    <t xml:space="preserve">IPA 500 #105</t>
  </si>
  <si>
    <t xml:space="preserve">Meaden &amp; Moore</t>
  </si>
  <si>
    <t xml:space="preserve">meadenmoore.com</t>
  </si>
  <si>
    <t xml:space="preserve">IPA 500 #108</t>
  </si>
  <si>
    <t xml:space="preserve">Miller Kaplan</t>
  </si>
  <si>
    <t xml:space="preserve">Burbank</t>
  </si>
  <si>
    <t xml:space="preserve">millerkaplan.com</t>
  </si>
  <si>
    <t xml:space="preserve">IPA 500 #87</t>
  </si>
  <si>
    <t xml:space="preserve">PBMares</t>
  </si>
  <si>
    <t xml:space="preserve">Newport News</t>
  </si>
  <si>
    <t xml:space="preserve">pbmares.com</t>
  </si>
  <si>
    <t xml:space="preserve">IPA 500 #74</t>
  </si>
  <si>
    <t xml:space="preserve">Rea</t>
  </si>
  <si>
    <t xml:space="preserve">New Philadelphia</t>
  </si>
  <si>
    <t xml:space="preserve">reacpa.com</t>
  </si>
  <si>
    <t xml:space="preserve">IPA 500 #73</t>
  </si>
  <si>
    <t xml:space="preserve">Tanner LLC</t>
  </si>
  <si>
    <t xml:space="preserve">tannerco.com</t>
  </si>
  <si>
    <t xml:space="preserve">IPA 500 #103</t>
  </si>
  <si>
    <t xml:space="preserve">Windes</t>
  </si>
  <si>
    <t xml:space="preserve">windes.com</t>
  </si>
  <si>
    <t xml:space="preserve">IPA 500 #104</t>
  </si>
  <si>
    <t xml:space="preserve">Wiss &amp; Company</t>
  </si>
  <si>
    <t xml:space="preserve">Florham Park</t>
  </si>
  <si>
    <t xml:space="preserve">wiss.com</t>
  </si>
  <si>
    <t xml:space="preserve">IPA 500 #89</t>
  </si>
  <si>
    <t xml:space="preserve">YHB CPAs &amp; Consultants</t>
  </si>
  <si>
    <t xml:space="preserve">Winchester</t>
  </si>
  <si>
    <t xml:space="preserve">yhbcpa.com</t>
  </si>
  <si>
    <t xml:space="preserve">IPA 500 #98</t>
  </si>
  <si>
    <t xml:space="preserve">America First Credit Union</t>
  </si>
  <si>
    <t xml:space="preserve">Riverdale</t>
  </si>
  <si>
    <t xml:space="preserve">americafirst.com</t>
  </si>
  <si>
    <t xml:space="preserve">Thayne Shaffer</t>
  </si>
  <si>
    <t xml:space="preserve">$22B assets; Utah and Mountain West</t>
  </si>
  <si>
    <t xml:space="preserve">Banc of California</t>
  </si>
  <si>
    <t xml:space="preserve">bancofcal.com</t>
  </si>
  <si>
    <t xml:space="preserve">Jared M. Wolff</t>
  </si>
  <si>
    <t xml:space="preserve">~$34B assets; former PacWest merger 2023</t>
  </si>
  <si>
    <t xml:space="preserve">https://investors.bancofcal.com</t>
  </si>
  <si>
    <t xml:space="preserve">Bank of Hawaii Corp</t>
  </si>
  <si>
    <t xml:space="preserve">Honolulu</t>
  </si>
  <si>
    <t xml:space="preserve">HI</t>
  </si>
  <si>
    <t xml:space="preserve">boh.com</t>
  </si>
  <si>
    <t xml:space="preserve">Peter S. Ho</t>
  </si>
  <si>
    <t xml:space="preserve">~$24B assets</t>
  </si>
  <si>
    <t xml:space="preserve">https://ir.boh.com</t>
  </si>
  <si>
    <t xml:space="preserve">Banner Corp</t>
  </si>
  <si>
    <t xml:space="preserve">Walla Walla</t>
  </si>
  <si>
    <t xml:space="preserve">bannerbank.com</t>
  </si>
  <si>
    <t xml:space="preserve">Mark J. Grescovich</t>
  </si>
  <si>
    <t xml:space="preserve">~$16B assets; Pacific Northwest and California</t>
  </si>
  <si>
    <t xml:space="preserve">https://www.bannerbank.com/investor-relations</t>
  </si>
  <si>
    <t xml:space="preserve">CAPTRUST Financial Advisors</t>
  </si>
  <si>
    <t xml:space="preserve">RIA aggregator and retirement advisor</t>
  </si>
  <si>
    <t xml:space="preserve">captrust.com</t>
  </si>
  <si>
    <t xml:space="preserve">Carlyle; GTCR</t>
  </si>
  <si>
    <t xml:space="preserve">Ben Goldstein</t>
  </si>
  <si>
    <t xml:space="preserve">$1T+ AUA including institutional retirement plans</t>
  </si>
  <si>
    <t xml:space="preserve">https://www.dakota.com/resources/blog/best-ria-aggregators-for-advisors-asset-managers-in-2025</t>
  </si>
  <si>
    <t xml:space="preserve">CMG Financial</t>
  </si>
  <si>
    <t xml:space="preserve">cmgfi.com</t>
  </si>
  <si>
    <t xml:space="preserve">Christopher M. George</t>
  </si>
  <si>
    <t xml:space="preserve">#4 Scotsman Guide 2026; All In One loan product</t>
  </si>
  <si>
    <t xml:space="preserve">https://www.scotsmanguide.com/news/meet-scotsman-guide-2026-top-mortgage-lenders/</t>
  </si>
  <si>
    <t xml:space="preserve">Cathay General Bancorp</t>
  </si>
  <si>
    <t xml:space="preserve">cathaybank.com</t>
  </si>
  <si>
    <t xml:space="preserve">Chang M. Liu</t>
  </si>
  <si>
    <t xml:space="preserve">~$23B assets; Asian-American community focus</t>
  </si>
  <si>
    <t xml:space="preserve">https://www.cathaygeneralbancorp.com</t>
  </si>
  <si>
    <t xml:space="preserve">Central Bancompany</t>
  </si>
  <si>
    <t xml:space="preserve">regional bank holding</t>
  </si>
  <si>
    <t xml:space="preserve">Jefferson City</t>
  </si>
  <si>
    <t xml:space="preserve">centralbancompany.com</t>
  </si>
  <si>
    <t xml:space="preserve">Bryan Cook</t>
  </si>
  <si>
    <t xml:space="preserve">~$20B assets; 13 community bank charters; Cook family</t>
  </si>
  <si>
    <t xml:space="preserve">https://www.centralbancompany.com</t>
  </si>
  <si>
    <t xml:space="preserve">Corient</t>
  </si>
  <si>
    <t xml:space="preserve">RIA aggregator</t>
  </si>
  <si>
    <t xml:space="preserve">corient.com</t>
  </si>
  <si>
    <t xml:space="preserve">Kurt MacAlpine</t>
  </si>
  <si>
    <t xml:space="preserve">US wealth arm of CI Financial (taken private by Mubadala 2025); ~$165B AUM</t>
  </si>
  <si>
    <t xml:space="preserve">Creative Planning</t>
  </si>
  <si>
    <t xml:space="preserve">creativeplanning.com</t>
  </si>
  <si>
    <t xml:space="preserve">TPG; General Atlantic</t>
  </si>
  <si>
    <t xml:space="preserve">Peter Mallouk</t>
  </si>
  <si>
    <t xml:space="preserve">CIO; COO; Chief Technology Officer; Chief Operating Officer</t>
  </si>
  <si>
    <t xml:space="preserve">$375B+ AUM; heavy acquirer of RIAs and retirement plan advisors</t>
  </si>
  <si>
    <t xml:space="preserve">Eastern Bankshares</t>
  </si>
  <si>
    <t xml:space="preserve">easternbank.com</t>
  </si>
  <si>
    <t xml:space="preserve">Denis K. Sheahan</t>
  </si>
  <si>
    <t xml:space="preserve">~$25B assets; merging with HarborOne 2025</t>
  </si>
  <si>
    <t xml:space="preserve">https://investor.easternbank.com</t>
  </si>
  <si>
    <t xml:space="preserve">Enterprise Financial Services</t>
  </si>
  <si>
    <t xml:space="preserve">Clayton</t>
  </si>
  <si>
    <t xml:space="preserve">enterprisebank.com</t>
  </si>
  <si>
    <t xml:space="preserve">James B. Lally</t>
  </si>
  <si>
    <t xml:space="preserve">~$16B assets; specialty deposit verticals</t>
  </si>
  <si>
    <t xml:space="preserve">https://investor.enterprisebank.com</t>
  </si>
  <si>
    <t xml:space="preserve">Exeter Finance</t>
  </si>
  <si>
    <t xml:space="preserve">subprime auto lender</t>
  </si>
  <si>
    <t xml:space="preserve">exeterfinance.com</t>
  </si>
  <si>
    <t xml:space="preserve">Brad Nall</t>
  </si>
  <si>
    <t xml:space="preserve">CIO; COO; Chief Technology Officer; Chief Analytics Officer</t>
  </si>
  <si>
    <t xml:space="preserve">~$10B managed portfolio; indirect auto via dealers</t>
  </si>
  <si>
    <t xml:space="preserve">https://www.exeterfinance.com/about</t>
  </si>
  <si>
    <t xml:space="preserve">Fairway Independent Mortgage</t>
  </si>
  <si>
    <t xml:space="preserve">fairwayindependentmc.com</t>
  </si>
  <si>
    <t xml:space="preserve">Steve Jacobson</t>
  </si>
  <si>
    <t xml:space="preserve">Top-10 retail lender; reverse mortgage arm</t>
  </si>
  <si>
    <t xml:space="preserve">First Busey Corp</t>
  </si>
  <si>
    <t xml:space="preserve">Champaign</t>
  </si>
  <si>
    <t xml:space="preserve">busey.com</t>
  </si>
  <si>
    <t xml:space="preserve">Van A. Dukeman</t>
  </si>
  <si>
    <t xml:space="preserve">~$20B assets after CrossFirst merger 2025; FirsTech payments unit</t>
  </si>
  <si>
    <t xml:space="preserve">https://ir.busey.com</t>
  </si>
  <si>
    <t xml:space="preserve">First Financial Bankshares</t>
  </si>
  <si>
    <t xml:space="preserve">Abilene</t>
  </si>
  <si>
    <t xml:space="preserve">ffin.com</t>
  </si>
  <si>
    <t xml:space="preserve">F. Scott Dueser</t>
  </si>
  <si>
    <t xml:space="preserve">~$14B assets; trust company with $10B+ AUM</t>
  </si>
  <si>
    <t xml:space="preserve">https://www.ffin.com/investor-relations</t>
  </si>
  <si>
    <t xml:space="preserve">First Hawaiian Inc</t>
  </si>
  <si>
    <t xml:space="preserve">fhb.com</t>
  </si>
  <si>
    <t xml:space="preserve">Robert S. Harrison</t>
  </si>
  <si>
    <t xml:space="preserve">~$24B assets; largest Hawaii bank</t>
  </si>
  <si>
    <t xml:space="preserve">https://ir.fhb.com</t>
  </si>
  <si>
    <t xml:space="preserve">First Interstate BancSystem</t>
  </si>
  <si>
    <t xml:space="preserve">Billings</t>
  </si>
  <si>
    <t xml:space="preserve">MT</t>
  </si>
  <si>
    <t xml:space="preserve">firstinterstatebank.com</t>
  </si>
  <si>
    <t xml:space="preserve">James A. Reuter</t>
  </si>
  <si>
    <t xml:space="preserve">~$28B assets; 14-state Western and Midwest footprint</t>
  </si>
  <si>
    <t xml:space="preserve">https://investors.fibk.com</t>
  </si>
  <si>
    <t xml:space="preserve">First PREMIER Bank / PREMIER Bankcard</t>
  </si>
  <si>
    <t xml:space="preserve">community bank and card issuer</t>
  </si>
  <si>
    <t xml:space="preserve">Sioux Falls</t>
  </si>
  <si>
    <t xml:space="preserve">SD</t>
  </si>
  <si>
    <t xml:space="preserve">firstpremier.com</t>
  </si>
  <si>
    <t xml:space="preserve">Dana Dykhouse</t>
  </si>
  <si>
    <t xml:space="preserve">CIO; COO; Chief Analytics Officer; Head of Card Operations</t>
  </si>
  <si>
    <t xml:space="preserve">$3.1B bank assets; PREMIER Bankcard is a top subprime card issuer so group revenue is well above bank size</t>
  </si>
  <si>
    <t xml:space="preserve">FourLeaf Federal Credit Union</t>
  </si>
  <si>
    <t xml:space="preserve">Bethpage</t>
  </si>
  <si>
    <t xml:space="preserve">fourleaffcu.org</t>
  </si>
  <si>
    <t xml:space="preserve">Linda Armyn</t>
  </si>
  <si>
    <t xml:space="preserve">~$13B assets; formerly Bethpage FCU; rebranded 2025</t>
  </si>
  <si>
    <t xml:space="preserve">Glacier Bancorp</t>
  </si>
  <si>
    <t xml:space="preserve">Kalispell</t>
  </si>
  <si>
    <t xml:space="preserve">glacierbancorp.com</t>
  </si>
  <si>
    <t xml:space="preserve">Randall M. Chesler</t>
  </si>
  <si>
    <t xml:space="preserve">CIO; COO; Chief Operations Officer</t>
  </si>
  <si>
    <t xml:space="preserve">~$28B assets; 17-division community bank model across Mountain West</t>
  </si>
  <si>
    <t xml:space="preserve">https://www.glacierbancorp.com/investor-relations</t>
  </si>
  <si>
    <t xml:space="preserve">Global Credit Union</t>
  </si>
  <si>
    <t xml:space="preserve">Anchorage</t>
  </si>
  <si>
    <t xml:space="preserve">AK</t>
  </si>
  <si>
    <t xml:space="preserve">globalcu.org</t>
  </si>
  <si>
    <t xml:space="preserve">Geoff Lundfelt</t>
  </si>
  <si>
    <t xml:space="preserve">~$12B assets; formerly Alaska USA FCU</t>
  </si>
  <si>
    <t xml:space="preserve">Golden 1 Credit Union</t>
  </si>
  <si>
    <t xml:space="preserve">Sacramento</t>
  </si>
  <si>
    <t xml:space="preserve">golden1.com</t>
  </si>
  <si>
    <t xml:space="preserve">Donna Bland</t>
  </si>
  <si>
    <t xml:space="preserve">$20B assets; California statewide</t>
  </si>
  <si>
    <t xml:space="preserve">GreenSky</t>
  </si>
  <si>
    <t xml:space="preserve">point-of-sale home improvement lender</t>
  </si>
  <si>
    <t xml:space="preserve">greensky.com</t>
  </si>
  <si>
    <t xml:space="preserve">Sixth Street; KKR; PIMCO; CPP Investments</t>
  </si>
  <si>
    <t xml:space="preserve">Tim Kaliban</t>
  </si>
  <si>
    <t xml:space="preserve">Acquired from Goldman Sachs by consortium 2024</t>
  </si>
  <si>
    <t xml:space="preserve">https://www.greensky.com/about</t>
  </si>
  <si>
    <t xml:space="preserve">Guild Mortgage</t>
  </si>
  <si>
    <t xml:space="preserve">guildmortgage.com</t>
  </si>
  <si>
    <t xml:space="preserve">Bayview Asset Management</t>
  </si>
  <si>
    <t xml:space="preserve">Terry Schmidt</t>
  </si>
  <si>
    <t xml:space="preserve">CIO; COO; Chief Technology Officer; Chief Production Officer</t>
  </si>
  <si>
    <t xml:space="preserve">Taken private by Bayview 2025; top-10 retail lender</t>
  </si>
  <si>
    <t xml:space="preserve">https://www.guildmortgage.com/about-us/news/press-release/guild-mortgage-ranks-high-among-scotsman-guides-2025-top-mortgage-lenders/</t>
  </si>
  <si>
    <t xml:space="preserve">Hightower Advisors</t>
  </si>
  <si>
    <t xml:space="preserve">hightoweradvisors.com</t>
  </si>
  <si>
    <t xml:space="preserve">Bob Oros</t>
  </si>
  <si>
    <t xml:space="preserve">~$200B AUM per Dakota; 140+ advisory businesses</t>
  </si>
  <si>
    <t xml:space="preserve">Home BancShares (Centennial Bank)</t>
  </si>
  <si>
    <t xml:space="preserve">Conway</t>
  </si>
  <si>
    <t xml:space="preserve">homebancshares.com</t>
  </si>
  <si>
    <t xml:space="preserve">John W. Allison</t>
  </si>
  <si>
    <t xml:space="preserve">~$23B assets; AR FL TX AL</t>
  </si>
  <si>
    <t xml:space="preserve">https://ir.homebancshares.com</t>
  </si>
  <si>
    <t xml:space="preserve">Idaho Central Credit Union</t>
  </si>
  <si>
    <t xml:space="preserve">Chubbuck</t>
  </si>
  <si>
    <t xml:space="preserve">iccu.com</t>
  </si>
  <si>
    <t xml:space="preserve">Brenda Worrell</t>
  </si>
  <si>
    <t xml:space="preserve">~$12B assets; fastest-growing CU in Idaho</t>
  </si>
  <si>
    <t xml:space="preserve">Independent Bank Corp (Rockland Trust)</t>
  </si>
  <si>
    <t xml:space="preserve">Rockland</t>
  </si>
  <si>
    <t xml:space="preserve">rocklandtrust.com</t>
  </si>
  <si>
    <t xml:space="preserve">Jeffrey Tengel</t>
  </si>
  <si>
    <t xml:space="preserve">~$25B assets after Enterprise Bancorp acquisition 2025</t>
  </si>
  <si>
    <t xml:space="preserve">https://investorrelations.rocklandtrust.com</t>
  </si>
  <si>
    <t xml:space="preserve">International Bancshares Corp</t>
  </si>
  <si>
    <t xml:space="preserve">Laredo</t>
  </si>
  <si>
    <t xml:space="preserve">ibc.com</t>
  </si>
  <si>
    <t xml:space="preserve">Dennis E. Nixon</t>
  </si>
  <si>
    <t xml:space="preserve">CIO; COO; Chief Retail Officer</t>
  </si>
  <si>
    <t xml:space="preserve">~$16B assets; Texas and Oklahoma; border banking</t>
  </si>
  <si>
    <t xml:space="preserve">https://www.ibc.com/investor-relations</t>
  </si>
  <si>
    <t xml:space="preserve">Kestra Financial</t>
  </si>
  <si>
    <t xml:space="preserve">independent broker-dealer and RIA</t>
  </si>
  <si>
    <t xml:space="preserve">kestrafinancial.com</t>
  </si>
  <si>
    <t xml:space="preserve">James Poer</t>
  </si>
  <si>
    <t xml:space="preserve">Kestra Holdings includes Bluespring Wealth Partners RIA acquirer</t>
  </si>
  <si>
    <t xml:space="preserve">https://www.kestrafinancial.com/about</t>
  </si>
  <si>
    <t xml:space="preserve">Lake Michigan Credit Union</t>
  </si>
  <si>
    <t xml:space="preserve">Grand Rapids</t>
  </si>
  <si>
    <t xml:space="preserve">lmcu.org</t>
  </si>
  <si>
    <t xml:space="preserve">Sandra Jelinski</t>
  </si>
  <si>
    <t xml:space="preserve">~$14B assets; Michigan and Florida</t>
  </si>
  <si>
    <t xml:space="preserve">Mariner</t>
  </si>
  <si>
    <t xml:space="preserve">marinerwealthadvisors.com</t>
  </si>
  <si>
    <t xml:space="preserve">Leonard Green &amp; Partners; Neuberger Berman; Penfund</t>
  </si>
  <si>
    <t xml:space="preserve">Marty Bicknell</t>
  </si>
  <si>
    <t xml:space="preserve">CIO; COO; Chief Technology Officer; Chief Strategy Officer</t>
  </si>
  <si>
    <t xml:space="preserve">Rebranded from Mariner Wealth Advisors 2024; $550B+ AUA</t>
  </si>
  <si>
    <t xml:space="preserve">Mariner Finance</t>
  </si>
  <si>
    <t xml:space="preserve">marinerfinance.com</t>
  </si>
  <si>
    <t xml:space="preserve">Joshua Johnson</t>
  </si>
  <si>
    <t xml:space="preserve">~500 branches in 28 states</t>
  </si>
  <si>
    <t xml:space="preserve">https://www.marinerfinance.com/about-us/</t>
  </si>
  <si>
    <t xml:space="preserve">Marqeta</t>
  </si>
  <si>
    <t xml:space="preserve">card issuing platform</t>
  </si>
  <si>
    <t xml:space="preserve">marqeta.com</t>
  </si>
  <si>
    <t xml:space="preserve">Mike Milotich</t>
  </si>
  <si>
    <t xml:space="preserve">Modern card issuing for fintechs and brands</t>
  </si>
  <si>
    <t xml:space="preserve">https://investors.marqeta.com</t>
  </si>
  <si>
    <t xml:space="preserve">Mechanics Bank</t>
  </si>
  <si>
    <t xml:space="preserve">mechanicsbank.com</t>
  </si>
  <si>
    <t xml:space="preserve">Carl B. Webb</t>
  </si>
  <si>
    <t xml:space="preserve">~$23B assets after HomeStreet merger 2025; Ford Financial Fund controlled</t>
  </si>
  <si>
    <t xml:space="preserve">https://www.mechanicsbank.com/about</t>
  </si>
  <si>
    <t xml:space="preserve">Movement Mortgage</t>
  </si>
  <si>
    <t xml:space="preserve">movement.com</t>
  </si>
  <si>
    <t xml:space="preserve">Casey Crawford</t>
  </si>
  <si>
    <t xml:space="preserve">Top-10 retail lender; impact-focused ownership via Movement Foundation</t>
  </si>
  <si>
    <t xml:space="preserve">New American Funding</t>
  </si>
  <si>
    <t xml:space="preserve">Tustin</t>
  </si>
  <si>
    <t xml:space="preserve">newamericanfunding.com</t>
  </si>
  <si>
    <t xml:space="preserve">Rick Arvielo</t>
  </si>
  <si>
    <t xml:space="preserve">Top-15 retail lender; Latino market leader</t>
  </si>
  <si>
    <t xml:space="preserve">North American Bancard (North)</t>
  </si>
  <si>
    <t xml:space="preserve">merchant acquirer and payments</t>
  </si>
  <si>
    <t xml:space="preserve">north.com</t>
  </si>
  <si>
    <t xml:space="preserve">Marc Gardner</t>
  </si>
  <si>
    <t xml:space="preserve">Rebranded to North 2024; PayAnywhere and Payments Hub</t>
  </si>
  <si>
    <t xml:space="preserve">https://www.north.com/about</t>
  </si>
  <si>
    <t xml:space="preserve">Pathward Financial</t>
  </si>
  <si>
    <t xml:space="preserve">BaaS and payments bank</t>
  </si>
  <si>
    <t xml:space="preserve">pathward.com</t>
  </si>
  <si>
    <t xml:space="preserve">Brett L. Pharr</t>
  </si>
  <si>
    <t xml:space="preserve">CIO; COO; Chief Technology Officer; Head of Partner Solutions</t>
  </si>
  <si>
    <t xml:space="preserve">~$7.5B assets; sponsor bank for fintechs and tax refund programs</t>
  </si>
  <si>
    <t xml:space="preserve">https://ir.pathward.com</t>
  </si>
  <si>
    <t xml:space="preserve">Payoneer</t>
  </si>
  <si>
    <t xml:space="preserve">cross-border B2B payments</t>
  </si>
  <si>
    <t xml:space="preserve">payoneer.com</t>
  </si>
  <si>
    <t xml:space="preserve">John Caplan</t>
  </si>
  <si>
    <t xml:space="preserve">SMB marketplaces and freelancers globally</t>
  </si>
  <si>
    <t xml:space="preserve">https://investor.payoneer.com</t>
  </si>
  <si>
    <t xml:space="preserve">Priority Technology Holdings</t>
  </si>
  <si>
    <t xml:space="preserve">unified commerce and payments</t>
  </si>
  <si>
    <t xml:space="preserve">prioritycommerce.com</t>
  </si>
  <si>
    <t xml:space="preserve">Thomas Priore</t>
  </si>
  <si>
    <t xml:space="preserve">SMB B2B and enterprise payments; Passport platform</t>
  </si>
  <si>
    <t xml:space="preserve">https://ir.prioritycommerce.com</t>
  </si>
  <si>
    <t xml:space="preserve">Provident Financial Services</t>
  </si>
  <si>
    <t xml:space="preserve">Iselin</t>
  </si>
  <si>
    <t xml:space="preserve">provident.bank</t>
  </si>
  <si>
    <t xml:space="preserve">Anthony J. Labozzetta</t>
  </si>
  <si>
    <t xml:space="preserve">~$24B assets after Lakeland merger 2024</t>
  </si>
  <si>
    <t xml:space="preserve">https://investors.provident.bank</t>
  </si>
  <si>
    <t xml:space="preserve">Randolph-Brooks Federal Credit Union</t>
  </si>
  <si>
    <t xml:space="preserve">Live Oak</t>
  </si>
  <si>
    <t xml:space="preserve">rbfcu.org</t>
  </si>
  <si>
    <t xml:space="preserve">Mark Sekula</t>
  </si>
  <si>
    <t xml:space="preserve">~$19B assets; San Antonio and Austin</t>
  </si>
  <si>
    <t xml:space="preserve">Renasant Corp</t>
  </si>
  <si>
    <t xml:space="preserve">Tupelo</t>
  </si>
  <si>
    <t xml:space="preserve">MS</t>
  </si>
  <si>
    <t xml:space="preserve">renasant.com</t>
  </si>
  <si>
    <t xml:space="preserve">C. Mitchell Waycaster</t>
  </si>
  <si>
    <t xml:space="preserve">~$26B assets after The First Bancshares merger 2025</t>
  </si>
  <si>
    <t xml:space="preserve">https://investors.renasant.com</t>
  </si>
  <si>
    <t xml:space="preserve">Rockefeller Capital Management</t>
  </si>
  <si>
    <t xml:space="preserve">RIA and private wealth</t>
  </si>
  <si>
    <t xml:space="preserve">rockco.com</t>
  </si>
  <si>
    <t xml:space="preserve">Viking Global Investors; IGM Financial</t>
  </si>
  <si>
    <t xml:space="preserve">Gregory J. Fleming</t>
  </si>
  <si>
    <t xml:space="preserve">~$70B AUM per Dakota; recruiting wirehouse teams</t>
  </si>
  <si>
    <t xml:space="preserve">Security Service Federal Credit Union</t>
  </si>
  <si>
    <t xml:space="preserve">San Antonio</t>
  </si>
  <si>
    <t xml:space="preserve">ssfcu.org</t>
  </si>
  <si>
    <t xml:space="preserve">~$14B assets; TX CO UT</t>
  </si>
  <si>
    <t xml:space="preserve">ServisFirst Bancshares</t>
  </si>
  <si>
    <t xml:space="preserve">commercial bank</t>
  </si>
  <si>
    <t xml:space="preserve">servisfirstbank.com</t>
  </si>
  <si>
    <t xml:space="preserve">Thomas A. Broughton III</t>
  </si>
  <si>
    <t xml:space="preserve">~$17B assets; branch-light efficient model</t>
  </si>
  <si>
    <t xml:space="preserve">https://www.servisfirstbancshares.com</t>
  </si>
  <si>
    <t xml:space="preserve">Simmons First National</t>
  </si>
  <si>
    <t xml:space="preserve">Pine Bluff</t>
  </si>
  <si>
    <t xml:space="preserve">simmonsbank.com</t>
  </si>
  <si>
    <t xml:space="preserve">Jay Brogdon</t>
  </si>
  <si>
    <t xml:space="preserve">CIO; COO; Chief Strategy Officer</t>
  </si>
  <si>
    <t xml:space="preserve">~$27B assets; 6-state Mid-South footprint</t>
  </si>
  <si>
    <t xml:space="preserve">https://ir.simmonsbank.com</t>
  </si>
  <si>
    <t xml:space="preserve">Suncoast Credit Union</t>
  </si>
  <si>
    <t xml:space="preserve">suncoastcreditunion.com</t>
  </si>
  <si>
    <t xml:space="preserve">Kevin Johnson</t>
  </si>
  <si>
    <t xml:space="preserve">$18.8B assets; largest CU in Florida</t>
  </si>
  <si>
    <t xml:space="preserve">TowneBank</t>
  </si>
  <si>
    <t xml:space="preserve">townebank.com</t>
  </si>
  <si>
    <t xml:space="preserve">William I. Foster III</t>
  </si>
  <si>
    <t xml:space="preserve">CIO; COO; Chief Digital Officer; Head of Insurance</t>
  </si>
  <si>
    <t xml:space="preserve">~$18B assets; large insurance and mortgage subsidiaries</t>
  </si>
  <si>
    <t xml:space="preserve">https://investors.townebank.com</t>
  </si>
  <si>
    <t xml:space="preserve">Trustmark Corp</t>
  </si>
  <si>
    <t xml:space="preserve">Jackson</t>
  </si>
  <si>
    <t xml:space="preserve">trustmark.com</t>
  </si>
  <si>
    <t xml:space="preserve">Duane A. Dewey</t>
  </si>
  <si>
    <t xml:space="preserve">~$18B assets; sold Fisher Brown Bottrell Insurance 2024</t>
  </si>
  <si>
    <t xml:space="preserve">https://www.trustmark.com/investor-relations</t>
  </si>
  <si>
    <t xml:space="preserve">Wealth Enhancement Group</t>
  </si>
  <si>
    <t xml:space="preserve">Plymouth</t>
  </si>
  <si>
    <t xml:space="preserve">wealthenhancement.com</t>
  </si>
  <si>
    <t xml:space="preserve">TA Associates; Onex</t>
  </si>
  <si>
    <t xml:space="preserve">Jeff Dekko</t>
  </si>
  <si>
    <t xml:space="preserve">~$122B AUM per Dakota; 100+ acquisitions</t>
  </si>
  <si>
    <t xml:space="preserve">WesBanco</t>
  </si>
  <si>
    <t xml:space="preserve">WV</t>
  </si>
  <si>
    <t xml:space="preserve">wesbanco.com</t>
  </si>
  <si>
    <t xml:space="preserve">Jeffrey H. Jackson</t>
  </si>
  <si>
    <t xml:space="preserve">~$27B assets after Premier Financial merger 2025</t>
  </si>
  <si>
    <t xml:space="preserve">https://www.wesbanco.com/investors</t>
  </si>
  <si>
    <t xml:space="preserve">World Acceptance Corp</t>
  </si>
  <si>
    <t xml:space="preserve">small-loan consumer lender</t>
  </si>
  <si>
    <t xml:space="preserve">worldacceptance.com</t>
  </si>
  <si>
    <t xml:space="preserve">R. Chad Prashad</t>
  </si>
  <si>
    <t xml:space="preserve">1000+ branches in 16 states; tax prep services</t>
  </si>
  <si>
    <t xml:space="preserve">https://www.worldacceptance.com/investor-relations</t>
  </si>
  <si>
    <t xml:space="preserve">AMERISAFE</t>
  </si>
  <si>
    <t xml:space="preserve">DeRidder</t>
  </si>
  <si>
    <t xml:space="preserve">amerisafe.com</t>
  </si>
  <si>
    <t xml:space="preserve">G. Janelle Frost</t>
  </si>
  <si>
    <t xml:space="preserve">High-hazard workers comp niche</t>
  </si>
  <si>
    <t xml:space="preserve">https://www.amerisafe.com/investors</t>
  </si>
  <si>
    <t xml:space="preserve">Amarillo National Bank</t>
  </si>
  <si>
    <t xml:space="preserve">Amarillo</t>
  </si>
  <si>
    <t xml:space="preserve">anb.com</t>
  </si>
  <si>
    <t xml:space="preserve">William Ware</t>
  </si>
  <si>
    <t xml:space="preserve">~$9B assets; Ware family-owned since 1892</t>
  </si>
  <si>
    <t xml:space="preserve">https://www.anb.com/about</t>
  </si>
  <si>
    <t xml:space="preserve">American Savings Bank</t>
  </si>
  <si>
    <t xml:space="preserve">asbhawaii.com</t>
  </si>
  <si>
    <t xml:space="preserve">Ann Teranishi</t>
  </si>
  <si>
    <t xml:space="preserve">$8.8B assets; sold by Hawaiian Electric to investor group 2025</t>
  </si>
  <si>
    <t xml:space="preserve">BankPlus</t>
  </si>
  <si>
    <t xml:space="preserve">Ridgeland</t>
  </si>
  <si>
    <t xml:space="preserve">bankplus.net</t>
  </si>
  <si>
    <t xml:space="preserve">William A. Ray</t>
  </si>
  <si>
    <t xml:space="preserve">$7.8B assets; privately held via BancPlus Corp</t>
  </si>
  <si>
    <t xml:space="preserve">Business First Bancshares (b1BANK)</t>
  </si>
  <si>
    <t xml:space="preserve">Baton Rouge</t>
  </si>
  <si>
    <t xml:space="preserve">b1bank.com</t>
  </si>
  <si>
    <t xml:space="preserve">Jude Melville</t>
  </si>
  <si>
    <t xml:space="preserve">$7.9B assets; acquired Oakwood Bank 2024</t>
  </si>
  <si>
    <t xml:space="preserve">Centier Bank</t>
  </si>
  <si>
    <t xml:space="preserve">Merrillville</t>
  </si>
  <si>
    <t xml:space="preserve">centier.com</t>
  </si>
  <si>
    <t xml:space="preserve">Michael E. Schrage</t>
  </si>
  <si>
    <t xml:space="preserve">CIO; COO; Chief Innovation Officer</t>
  </si>
  <si>
    <t xml:space="preserve">$9.8B assets; largest private family-owned bank in Indiana; #1 Best Bank to Work For 2025</t>
  </si>
  <si>
    <t xml:space="preserve">Delta Community Credit Union</t>
  </si>
  <si>
    <t xml:space="preserve">deltacommunitycu.com</t>
  </si>
  <si>
    <t xml:space="preserve">Hank Halter</t>
  </si>
  <si>
    <t xml:space="preserve">~$9B assets; largest CU in Georgia</t>
  </si>
  <si>
    <t xml:space="preserve">Dollar Bank</t>
  </si>
  <si>
    <t xml:space="preserve">mutual bank</t>
  </si>
  <si>
    <t xml:space="preserve">dollar.bank</t>
  </si>
  <si>
    <t xml:space="preserve">James McQuade</t>
  </si>
  <si>
    <t xml:space="preserve">~$12B assets; largest independent mutual bank in US</t>
  </si>
  <si>
    <t xml:space="preserve">https://www.dollar.bank/about</t>
  </si>
  <si>
    <t xml:space="preserve">Flywire</t>
  </si>
  <si>
    <t xml:space="preserve">cross-border payments</t>
  </si>
  <si>
    <t xml:space="preserve">flywire.com</t>
  </si>
  <si>
    <t xml:space="preserve">Mike Massaro</t>
  </si>
  <si>
    <t xml:space="preserve">Education healthcare travel B2B verticals</t>
  </si>
  <si>
    <t xml:space="preserve">https://ir.flywire.com</t>
  </si>
  <si>
    <t xml:space="preserve">Lendmark Financial Services</t>
  </si>
  <si>
    <t xml:space="preserve">Lawrenceville</t>
  </si>
  <si>
    <t xml:space="preserve">lendmarkfinancial.com</t>
  </si>
  <si>
    <t xml:space="preserve">Lightyear Capital; Ontario Teachers' Pension Plan</t>
  </si>
  <si>
    <t xml:space="preserve">Bobby Aiken</t>
  </si>
  <si>
    <t xml:space="preserve">~550 branches in 21 states</t>
  </si>
  <si>
    <t xml:space="preserve">https://www.lendmarkfinancial.com/about-us</t>
  </si>
  <si>
    <t xml:space="preserve">Mercer Advisors</t>
  </si>
  <si>
    <t xml:space="preserve">merceradvisors.com</t>
  </si>
  <si>
    <t xml:space="preserve">Oak Hill Capital; Genstar Capital; Altas Partners</t>
  </si>
  <si>
    <t xml:space="preserve">Dave Welling</t>
  </si>
  <si>
    <t xml:space="preserve">~$84B AUM per Dakota</t>
  </si>
  <si>
    <t xml:space="preserve">Nicolet Bankshares</t>
  </si>
  <si>
    <t xml:space="preserve">Green Bay</t>
  </si>
  <si>
    <t xml:space="preserve">nicoletbank.com</t>
  </si>
  <si>
    <t xml:space="preserve">Michael E. Daniels</t>
  </si>
  <si>
    <t xml:space="preserve">~$9B assets; WI MI MN</t>
  </si>
  <si>
    <t xml:space="preserve">https://investors.nicoletbank.com</t>
  </si>
  <si>
    <t xml:space="preserve">OnPoint Community Credit Union</t>
  </si>
  <si>
    <t xml:space="preserve">onpointcu.com</t>
  </si>
  <si>
    <t xml:space="preserve">Rob Stuart</t>
  </si>
  <si>
    <t xml:space="preserve">~$9B assets; largest CU in Oregon</t>
  </si>
  <si>
    <t xml:space="preserve">Payroc</t>
  </si>
  <si>
    <t xml:space="preserve">Tinley Park</t>
  </si>
  <si>
    <t xml:space="preserve">payroc.com</t>
  </si>
  <si>
    <t xml:space="preserve">Jim Oberman</t>
  </si>
  <si>
    <t xml:space="preserve">Acquired i3 Verticals merchant services 2024</t>
  </si>
  <si>
    <t xml:space="preserve">https://www.payroc.com/about</t>
  </si>
  <si>
    <t xml:space="preserve">Peoples Bancorp</t>
  </si>
  <si>
    <t xml:space="preserve">peoplesbancorp.com</t>
  </si>
  <si>
    <t xml:space="preserve">Tyler Wilcox</t>
  </si>
  <si>
    <t xml:space="preserve">$9.2B assets; serial acquirer; Best Banks to Work For 2025</t>
  </si>
  <si>
    <t xml:space="preserve">Planet Home Lending</t>
  </si>
  <si>
    <t xml:space="preserve">mortgage lender and servicer</t>
  </si>
  <si>
    <t xml:space="preserve">Meriden</t>
  </si>
  <si>
    <t xml:space="preserve">planethomelending.com</t>
  </si>
  <si>
    <t xml:space="preserve">Michael Dubeck</t>
  </si>
  <si>
    <t xml:space="preserve">Correspondent and servicing growth</t>
  </si>
  <si>
    <t xml:space="preserve">Repay Holdings</t>
  </si>
  <si>
    <t xml:space="preserve">vertical payments processor</t>
  </si>
  <si>
    <t xml:space="preserve">repay.com</t>
  </si>
  <si>
    <t xml:space="preserve">John Morris</t>
  </si>
  <si>
    <t xml:space="preserve">Consumer lending auto B2B AP verticals</t>
  </si>
  <si>
    <t xml:space="preserve">https://investors.repay.com</t>
  </si>
  <si>
    <t xml:space="preserve">Sezzle</t>
  </si>
  <si>
    <t xml:space="preserve">buy now pay later</t>
  </si>
  <si>
    <t xml:space="preserve">sezzle.com</t>
  </si>
  <si>
    <t xml:space="preserve">Charlie Youakim</t>
  </si>
  <si>
    <t xml:space="preserve">US-focused BNPL; uplisted to Nasdaq 2023</t>
  </si>
  <si>
    <t xml:space="preserve">https://investors.sezzle.com</t>
  </si>
  <si>
    <t xml:space="preserve">Southside Bancshares</t>
  </si>
  <si>
    <t xml:space="preserve">Tyler</t>
  </si>
  <si>
    <t xml:space="preserve">southside.com</t>
  </si>
  <si>
    <t xml:space="preserve">Lee R. Gibson</t>
  </si>
  <si>
    <t xml:space="preserve">CIO; COO; EVP Operations</t>
  </si>
  <si>
    <t xml:space="preserve">$8.3B assets; East Texas plus DFW Austin Houston</t>
  </si>
  <si>
    <t xml:space="preserve">Stock Yards Bancorp</t>
  </si>
  <si>
    <t xml:space="preserve">Louisville</t>
  </si>
  <si>
    <t xml:space="preserve">syb.com</t>
  </si>
  <si>
    <t xml:space="preserve">James A. Hillebrand</t>
  </si>
  <si>
    <t xml:space="preserve">CIO; COO; Chief Digital Officer; Head of Retail Banking</t>
  </si>
  <si>
    <t xml:space="preserve">$9.2B assets; American Banker Best Banks to Work For 2025</t>
  </si>
  <si>
    <t xml:space="preserve">Allworth Financial</t>
  </si>
  <si>
    <t xml:space="preserve">RIA</t>
  </si>
  <si>
    <t xml:space="preserve">allworthfinancial.com</t>
  </si>
  <si>
    <t xml:space="preserve">Integrum Holdings</t>
  </si>
  <si>
    <t xml:space="preserve">John Bunch</t>
  </si>
  <si>
    <t xml:space="preserve">Integrum acquired from Lightyear 2025; ~$25B AUM</t>
  </si>
  <si>
    <t xml:space="preserve">https://ctacquisitions.com/guides/who-buys-rias-wealth-management-2026/</t>
  </si>
  <si>
    <t xml:space="preserve">Beacon Pointe Advisors</t>
  </si>
  <si>
    <t xml:space="preserve">beaconpointe.com</t>
  </si>
  <si>
    <t xml:space="preserve">Shannon Eusey</t>
  </si>
  <si>
    <t xml:space="preserve">~$40B AUM; women-founded</t>
  </si>
  <si>
    <t xml:space="preserve">Capital City Bank Group</t>
  </si>
  <si>
    <t xml:space="preserve">ccbg.com</t>
  </si>
  <si>
    <t xml:space="preserve">William G. Smith Jr.</t>
  </si>
  <si>
    <t xml:space="preserve">$4.4B assets; FL GA AL footprint</t>
  </si>
  <si>
    <t xml:space="preserve">Celero Commerce</t>
  </si>
  <si>
    <t xml:space="preserve">SMB payments and software</t>
  </si>
  <si>
    <t xml:space="preserve">celerocommerce.com</t>
  </si>
  <si>
    <t xml:space="preserve">LLR Partners</t>
  </si>
  <si>
    <t xml:space="preserve">Kevin Jones</t>
  </si>
  <si>
    <t xml:space="preserve">Roll-up of payments and vertical software businesses</t>
  </si>
  <si>
    <t xml:space="preserve">https://www.celerocommerce.com/about</t>
  </si>
  <si>
    <t xml:space="preserve">Civista Bancshares</t>
  </si>
  <si>
    <t xml:space="preserve">Sandusky</t>
  </si>
  <si>
    <t xml:space="preserve">civista.bank</t>
  </si>
  <si>
    <t xml:space="preserve">Dennis G. Shaffer</t>
  </si>
  <si>
    <t xml:space="preserve">$4.2B assets; Ohio Indiana Kentucky</t>
  </si>
  <si>
    <t xml:space="preserve">Dacotah Banks</t>
  </si>
  <si>
    <t xml:space="preserve">Aberdeen</t>
  </si>
  <si>
    <t xml:space="preserve">dacotahbank.com</t>
  </si>
  <si>
    <t xml:space="preserve">Dave Fischer</t>
  </si>
  <si>
    <t xml:space="preserve">$4.6B assets; ag-focused Dakotas and Minnesota</t>
  </si>
  <si>
    <t xml:space="preserve">EP Wealth Advisors</t>
  </si>
  <si>
    <t xml:space="preserve">Torrance</t>
  </si>
  <si>
    <t xml:space="preserve">epwealth.com</t>
  </si>
  <si>
    <t xml:space="preserve">Berkshire Partners; Wealth Partners Capital Group</t>
  </si>
  <si>
    <t xml:space="preserve">Ryan Parker</t>
  </si>
  <si>
    <t xml:space="preserve">~$45B AUM per Dakota</t>
  </si>
  <si>
    <t xml:space="preserve">First National Bank Alaska</t>
  </si>
  <si>
    <t xml:space="preserve">fnbalaska.com</t>
  </si>
  <si>
    <t xml:space="preserve">Betsy Lawer</t>
  </si>
  <si>
    <t xml:space="preserve">$4.9B assets; OTC-traded; family-controlled</t>
  </si>
  <si>
    <t xml:space="preserve">Fortis Payment Systems</t>
  </si>
  <si>
    <t xml:space="preserve">embedded payments</t>
  </si>
  <si>
    <t xml:space="preserve">Novi</t>
  </si>
  <si>
    <t xml:space="preserve">fortispay.com</t>
  </si>
  <si>
    <t xml:space="preserve">Greg Cohen</t>
  </si>
  <si>
    <t xml:space="preserve">Embedded payments for ISVs and ERP</t>
  </si>
  <si>
    <t xml:space="preserve">https://www.fortispay.com/about</t>
  </si>
  <si>
    <t xml:space="preserve">HomeTrust Bancshares</t>
  </si>
  <si>
    <t xml:space="preserve">Asheville</t>
  </si>
  <si>
    <t xml:space="preserve">htb.com</t>
  </si>
  <si>
    <t xml:space="preserve">C. Hunter Westbrook</t>
  </si>
  <si>
    <t xml:space="preserve">$4.6B assets; Southeast footprint</t>
  </si>
  <si>
    <t xml:space="preserve">MAI Capital Management</t>
  </si>
  <si>
    <t xml:space="preserve">mai.capital</t>
  </si>
  <si>
    <t xml:space="preserve">Galway Holdings</t>
  </si>
  <si>
    <t xml:space="preserve">Rick Buoncore</t>
  </si>
  <si>
    <t xml:space="preserve">~$52B AUM per Dakota</t>
  </si>
  <si>
    <t xml:space="preserve">Paramount Residential Mortgage Group (PRMG)</t>
  </si>
  <si>
    <t xml:space="preserve">Corona</t>
  </si>
  <si>
    <t xml:space="preserve">prmg.net</t>
  </si>
  <si>
    <t xml:space="preserve">Paul Rozo</t>
  </si>
  <si>
    <t xml:space="preserve">#13 Scotsman Guide 2025</t>
  </si>
  <si>
    <t xml:space="preserve">https://www.prmg.net/prmg-awarded-13-rankings-scotsman-guide/</t>
  </si>
  <si>
    <t xml:space="preserve">Peapack-Gladstone Financial</t>
  </si>
  <si>
    <t xml:space="preserve">private bank</t>
  </si>
  <si>
    <t xml:space="preserve">Bedminster</t>
  </si>
  <si>
    <t xml:space="preserve">peapackprivate.com</t>
  </si>
  <si>
    <t xml:space="preserve">Douglas L. Kennedy</t>
  </si>
  <si>
    <t xml:space="preserve">CIO; COO; Head of Wealth Management</t>
  </si>
  <si>
    <t xml:space="preserve">$7.2B assets; NYC expansion; $12B AUM wealth arm</t>
  </si>
  <si>
    <t xml:space="preserve">Savant Wealth Management</t>
  </si>
  <si>
    <t xml:space="preserve">Rockford</t>
  </si>
  <si>
    <t xml:space="preserve">savantwealth.com</t>
  </si>
  <si>
    <t xml:space="preserve">Brent Brodeski</t>
  </si>
  <si>
    <t xml:space="preserve">~$30B AUM; Midwest and Southeast acquirer</t>
  </si>
  <si>
    <t xml:space="preserve">USA Mortgage (DAS Acquisition)</t>
  </si>
  <si>
    <t xml:space="preserve">usamortgage.com</t>
  </si>
  <si>
    <t xml:space="preserve">Doug Schukar</t>
  </si>
  <si>
    <t xml:space="preserve">ESOP-owned; Scotsman Guide 2025 top lender</t>
  </si>
  <si>
    <t xml:space="preserve">https://www.usamortgage.com/2025-scotsman-guide-top-mortgage-lenders/</t>
  </si>
  <si>
    <t xml:space="preserve">Vantage Bank Texas</t>
  </si>
  <si>
    <t xml:space="preserve">vantage.bank</t>
  </si>
  <si>
    <t xml:space="preserve">Jeff Sinnott</t>
  </si>
  <si>
    <t xml:space="preserve">$4.7B assets; cross-border Texas Mexico banking</t>
  </si>
  <si>
    <t xml:space="preserve">Washington Trust Bancorp</t>
  </si>
  <si>
    <t xml:space="preserve">Westerly</t>
  </si>
  <si>
    <t xml:space="preserve">washtrust.com</t>
  </si>
  <si>
    <t xml:space="preserve">Edward O. Handy III</t>
  </si>
  <si>
    <t xml:space="preserve">$6.7B assets; oldest community bank in US; large wealth business</t>
  </si>
  <si>
    <t xml:space="preserve">i3 Verticals</t>
  </si>
  <si>
    <t xml:space="preserve">vertical software and payments</t>
  </si>
  <si>
    <t xml:space="preserve">i3verticals.com</t>
  </si>
  <si>
    <t xml:space="preserve">Greg Daily</t>
  </si>
  <si>
    <t xml:space="preserve">Sold merchant services to Payroc 2024; public sector software focus</t>
  </si>
  <si>
    <t xml:space="preserve">https://investors.i3verticals.com</t>
  </si>
  <si>
    <t xml:space="preserve">Gallup</t>
  </si>
  <si>
    <t xml:space="preserve">analytics &amp; workplace consulting</t>
  </si>
  <si>
    <t xml:space="preserve">gallup.com</t>
  </si>
  <si>
    <t xml:space="preserve">Jon Clifton</t>
  </si>
  <si>
    <t xml:space="preserve">CIO; COO; Chief Data Officer</t>
  </si>
  <si>
    <t xml:space="preserve">Employee-owned private company; HQ also cited as Omaha</t>
  </si>
  <si>
    <t xml:space="preserve">https://www.gallup.com/</t>
  </si>
  <si>
    <t xml:space="preserve">NERA Economic Consulting</t>
  </si>
  <si>
    <t xml:space="preserve">economic consulting</t>
  </si>
  <si>
    <t xml:space="preserve">nera.com</t>
  </si>
  <si>
    <t xml:space="preserve">Lawrence Wu</t>
  </si>
  <si>
    <t xml:space="preserve">CIO; COO; Managing Director</t>
  </si>
  <si>
    <t xml:space="preserve">Marsh McLennan / Oliver Wyman subsidiary</t>
  </si>
  <si>
    <t xml:space="preserve">https://www.nera.com/</t>
  </si>
  <si>
    <t xml:space="preserve">Public Consulting Group</t>
  </si>
  <si>
    <t xml:space="preserve">public sector consulting</t>
  </si>
  <si>
    <t xml:space="preserve">publicconsultinggroup.com</t>
  </si>
  <si>
    <t xml:space="preserve">William Mosakowski</t>
  </si>
  <si>
    <t xml:space="preserve">CIO; COO; Practice Area Directors</t>
  </si>
  <si>
    <t xml:space="preserve">https://www.publicconsultinggroup.com/</t>
  </si>
  <si>
    <t xml:space="preserve">Secretariat</t>
  </si>
  <si>
    <t xml:space="preserve">disputes &amp; expert consulting</t>
  </si>
  <si>
    <t xml:space="preserve">secretariat-intl.com</t>
  </si>
  <si>
    <t xml:space="preserve">Berkshire Partners</t>
  </si>
  <si>
    <t xml:space="preserve">Don Harvey</t>
  </si>
  <si>
    <t xml:space="preserve">CIO; COO; Head of Data Analytics</t>
  </si>
  <si>
    <t xml:space="preserve">Berkshire Partners investment 2022</t>
  </si>
  <si>
    <t xml:space="preserve">https://www.secretariat-intl.com/</t>
  </si>
  <si>
    <t xml:space="preserve">Segal</t>
  </si>
  <si>
    <t xml:space="preserve">HR &amp; benefits consulting</t>
  </si>
  <si>
    <t xml:space="preserve">segalco.com</t>
  </si>
  <si>
    <t xml:space="preserve">David Blumenstein</t>
  </si>
  <si>
    <t xml:space="preserve">https://www.segalco.com/</t>
  </si>
  <si>
    <t xml:space="preserve">Stout</t>
  </si>
  <si>
    <t xml:space="preserve">valuation &amp; transaction advisory</t>
  </si>
  <si>
    <t xml:space="preserve">stout.com</t>
  </si>
  <si>
    <t xml:space="preserve">Craig Cardwell</t>
  </si>
  <si>
    <t xml:space="preserve">Audax minority investment 2021</t>
  </si>
  <si>
    <t xml:space="preserve">https://www.stout.com/</t>
  </si>
  <si>
    <t xml:space="preserve">1898 &amp; Co.</t>
  </si>
  <si>
    <t xml:space="preserve">utilities &amp; infrastructure consulting</t>
  </si>
  <si>
    <t xml:space="preserve">1898andco.com</t>
  </si>
  <si>
    <t xml:space="preserve">Chris Underwood</t>
  </si>
  <si>
    <t xml:space="preserve">Managing Director; CIO; Head of Digital</t>
  </si>
  <si>
    <t xml:space="preserve">Burns &amp; McDonnell subsidiary</t>
  </si>
  <si>
    <t xml:space="preserve">https://1898andco.burnsmcd.com/</t>
  </si>
  <si>
    <t xml:space="preserve">Bates White</t>
  </si>
  <si>
    <t xml:space="preserve">bateswhite.com</t>
  </si>
  <si>
    <t xml:space="preserve">Halbert White (founder)</t>
  </si>
  <si>
    <t xml:space="preserve">CIO; COO; Partner Data Science</t>
  </si>
  <si>
    <t xml:space="preserve">https://www.bateswhite.com/</t>
  </si>
  <si>
    <t xml:space="preserve">Consertus</t>
  </si>
  <si>
    <t xml:space="preserve">tax &amp; accounting advisory</t>
  </si>
  <si>
    <t xml:space="preserve">consertus.com</t>
  </si>
  <si>
    <t xml:space="preserve">RTC Partners</t>
  </si>
  <si>
    <t xml:space="preserve">800+ professionals per PrivSource</t>
  </si>
  <si>
    <t xml:space="preserve">ECG Management Consultants</t>
  </si>
  <si>
    <t xml:space="preserve">ecgmc.com</t>
  </si>
  <si>
    <t xml:space="preserve">Rachel Pugh</t>
  </si>
  <si>
    <t xml:space="preserve">CIO; COO; Principal Analytics</t>
  </si>
  <si>
    <t xml:space="preserve">Siemens Healthineers subsidiary</t>
  </si>
  <si>
    <t xml:space="preserve">https://www.ecgmc.com/</t>
  </si>
  <si>
    <t xml:space="preserve">Guidepost Solutions</t>
  </si>
  <si>
    <t xml:space="preserve">investigations &amp; compliance consulting</t>
  </si>
  <si>
    <t xml:space="preserve">guidepostsolutions.com</t>
  </si>
  <si>
    <t xml:space="preserve">Julie Myers Wood</t>
  </si>
  <si>
    <t xml:space="preserve">CEO; CIO; COO</t>
  </si>
  <si>
    <t xml:space="preserve">PE-backed; sponsor not confirmed</t>
  </si>
  <si>
    <t xml:space="preserve">https://www.guidepostsolutions.com/</t>
  </si>
  <si>
    <t xml:space="preserve">Mu Sigma</t>
  </si>
  <si>
    <t xml:space="preserve">decision science consulting</t>
  </si>
  <si>
    <t xml:space="preserve">mu-sigma.com</t>
  </si>
  <si>
    <t xml:space="preserve">Dhiraj Rajaram</t>
  </si>
  <si>
    <t xml:space="preserve">CEO; COO; Chief Delivery Officer</t>
  </si>
  <si>
    <t xml:space="preserve">Founder-led; India delivery</t>
  </si>
  <si>
    <t xml:space="preserve">https://www.mu-sigma.com/</t>
  </si>
  <si>
    <t xml:space="preserve">Optimum Healthcare IT</t>
  </si>
  <si>
    <t xml:space="preserve">Jacksonville Beach</t>
  </si>
  <si>
    <t xml:space="preserve">optimumhit.com</t>
  </si>
  <si>
    <t xml:space="preserve">Gene Scheurer</t>
  </si>
  <si>
    <t xml:space="preserve">https://www.optimumhit.com/</t>
  </si>
  <si>
    <t xml:space="preserve">Prophet</t>
  </si>
  <si>
    <t xml:space="preserve">brand &amp; growth strategy consulting</t>
  </si>
  <si>
    <t xml:space="preserve">prophet.com</t>
  </si>
  <si>
    <t xml:space="preserve">Altamont Capital Partners</t>
  </si>
  <si>
    <t xml:space="preserve">Michael Dunn</t>
  </si>
  <si>
    <t xml:space="preserve">Altamont investment</t>
  </si>
  <si>
    <t xml:space="preserve">https://www.prophet.com/</t>
  </si>
  <si>
    <t xml:space="preserve">StoneTurn</t>
  </si>
  <si>
    <t xml:space="preserve">forensic &amp; compliance consulting</t>
  </si>
  <si>
    <t xml:space="preserve">stoneturn.com</t>
  </si>
  <si>
    <t xml:space="preserve">Christopher Ekimoff</t>
  </si>
  <si>
    <t xml:space="preserve">CIO; COO; Partner Data Analytics</t>
  </si>
  <si>
    <t xml:space="preserve">https://www.stoneturn.com/</t>
  </si>
  <si>
    <t xml:space="preserve">The Brattle Group</t>
  </si>
  <si>
    <t xml:space="preserve">brattle.com</t>
  </si>
  <si>
    <t xml:space="preserve">Marcus Fetter</t>
  </si>
  <si>
    <t xml:space="preserve">Employee-owned partnership</t>
  </si>
  <si>
    <t xml:space="preserve">https://www.brattle.com/</t>
  </si>
  <si>
    <t xml:space="preserve">Alexander Group</t>
  </si>
  <si>
    <t xml:space="preserve">revenue growth &amp; sales consulting</t>
  </si>
  <si>
    <t xml:space="preserve">alexandergroup.com</t>
  </si>
  <si>
    <t xml:space="preserve">Gary Tubridy</t>
  </si>
  <si>
    <t xml:space="preserve">Managing Principal; COO; Practice Leaders</t>
  </si>
  <si>
    <t xml:space="preserve">https://www.alexandergroup.com/</t>
  </si>
  <si>
    <t xml:space="preserve">Applied Value Group</t>
  </si>
  <si>
    <t xml:space="preserve">operations &amp; cost consulting</t>
  </si>
  <si>
    <t xml:space="preserve">appliedvaluegroup.com</t>
  </si>
  <si>
    <t xml:space="preserve">Trivest Partners</t>
  </si>
  <si>
    <t xml:space="preserve">Trivest investment</t>
  </si>
  <si>
    <t xml:space="preserve">Divurgent</t>
  </si>
  <si>
    <t xml:space="preserve">Virginia Beach</t>
  </si>
  <si>
    <t xml:space="preserve">divurgent.com</t>
  </si>
  <si>
    <t xml:space="preserve">Colin Konschak</t>
  </si>
  <si>
    <t xml:space="preserve">https://www.divurgent.com/</t>
  </si>
  <si>
    <t xml:space="preserve">Ducker Carlisle</t>
  </si>
  <si>
    <t xml:space="preserve">industrial market strategy consulting</t>
  </si>
  <si>
    <t xml:space="preserve">duckercarlisle.com</t>
  </si>
  <si>
    <t xml:space="preserve">Boathouse Capital</t>
  </si>
  <si>
    <t xml:space="preserve">CEO; COO; Head of Analytics</t>
  </si>
  <si>
    <t xml:space="preserve">200+ person team; may sit below $50M</t>
  </si>
  <si>
    <t xml:space="preserve">ScottMadden</t>
  </si>
  <si>
    <t xml:space="preserve">energy &amp; utilities management consulting</t>
  </si>
  <si>
    <t xml:space="preserve">scottmadden.com</t>
  </si>
  <si>
    <t xml:space="preserve">Brad Kitchens</t>
  </si>
  <si>
    <t xml:space="preserve">President; COO; Partner Grid Transformation</t>
  </si>
  <si>
    <t xml:space="preserve">https://www.scottmadden.com/</t>
  </si>
  <si>
    <t xml:space="preserve">Sendero Consulting</t>
  </si>
  <si>
    <t xml:space="preserve">management &amp; technology consulting</t>
  </si>
  <si>
    <t xml:space="preserve">senderoconsulting.com</t>
  </si>
  <si>
    <t xml:space="preserve">Bret Farrar</t>
  </si>
  <si>
    <t xml:space="preserve">CEO; COO; Practice Leads</t>
  </si>
  <si>
    <t xml:space="preserve">https://www.senderoconsulting.com/</t>
  </si>
  <si>
    <t xml:space="preserve">Treliant</t>
  </si>
  <si>
    <t xml:space="preserve">financial services compliance consulting</t>
  </si>
  <si>
    <t xml:space="preserve">treliant.com</t>
  </si>
  <si>
    <t xml:space="preserve">https://www.treliant.com/</t>
  </si>
  <si>
    <t xml:space="preserve">AFC Industries</t>
  </si>
  <si>
    <t xml:space="preserve">fasteners/C-parts VMI</t>
  </si>
  <si>
    <t xml:space="preserve">West Chester</t>
  </si>
  <si>
    <t xml:space="preserve">afcind.com</t>
  </si>
  <si>
    <t xml:space="preserve">Rank 22 ID Big 50; acquisitive roll-up</t>
  </si>
  <si>
    <t xml:space="preserve">https://www.inddist.com/big-50/article/22950923/the-2025-industrial-distribution-big-50</t>
  </si>
  <si>
    <t xml:space="preserve">Andrews Distributing</t>
  </si>
  <si>
    <t xml:space="preserve">beer distribution</t>
  </si>
  <si>
    <t xml:space="preserve">andrewsdistributing.com</t>
  </si>
  <si>
    <t xml:space="preserve">https://procoolmfg.com/top-largest-beverage-distributors/</t>
  </si>
  <si>
    <t xml:space="preserve">Auto-Wares Group</t>
  </si>
  <si>
    <t xml:space="preserve">auto parts</t>
  </si>
  <si>
    <t xml:space="preserve">autowares.com</t>
  </si>
  <si>
    <t xml:space="preserve">BDI (Bearing Distributors Inc.)</t>
  </si>
  <si>
    <t xml:space="preserve">bearings/power transmission</t>
  </si>
  <si>
    <t xml:space="preserve">bdiexpress.com</t>
  </si>
  <si>
    <t xml:space="preserve">Rank 19 ID Big 50; ~$1.0B</t>
  </si>
  <si>
    <t xml:space="preserve">BlackHawk Industrial</t>
  </si>
  <si>
    <t xml:space="preserve">metalworking/MRO</t>
  </si>
  <si>
    <t xml:space="preserve">bhid.com</t>
  </si>
  <si>
    <t xml:space="preserve">TruArc Partners</t>
  </si>
  <si>
    <t xml:space="preserve">Rank 23 ID Big 50; revenue undisclosed - estimate</t>
  </si>
  <si>
    <t xml:space="preserve">Concordance Healthcare Solutions</t>
  </si>
  <si>
    <t xml:space="preserve">medical-surgical supply</t>
  </si>
  <si>
    <t xml:space="preserve">Tiffin</t>
  </si>
  <si>
    <t xml:space="preserve">concordancehealthcare.com</t>
  </si>
  <si>
    <t xml:space="preserve">Consolidated Pipe &amp; Supply</t>
  </si>
  <si>
    <t xml:space="preserve">PVF/industrial</t>
  </si>
  <si>
    <t xml:space="preserve">consolidatedpipe.com</t>
  </si>
  <si>
    <t xml:space="preserve">https://www.supplyht.com/articles/106528-2025-premier-150-distributor-rankings</t>
  </si>
  <si>
    <t xml:space="preserve">Consolidated Supply Co.</t>
  </si>
  <si>
    <t xml:space="preserve">plumbing/waterworks</t>
  </si>
  <si>
    <t xml:space="preserve">Tigard</t>
  </si>
  <si>
    <t xml:space="preserve">consolidatedsupply.com</t>
  </si>
  <si>
    <t xml:space="preserve">Crescent Crown Distributing</t>
  </si>
  <si>
    <t xml:space="preserve">Mesa</t>
  </si>
  <si>
    <t xml:space="preserve">crescentcrown.com</t>
  </si>
  <si>
    <t xml:space="preserve">Dealers Electrical Supply</t>
  </si>
  <si>
    <t xml:space="preserve">electrical</t>
  </si>
  <si>
    <t xml:space="preserve">Waco</t>
  </si>
  <si>
    <t xml:space="preserve">dealerselectrical.com</t>
  </si>
  <si>
    <t xml:space="preserve">https://www.ewweb.com/data-training/top-100/article/55295399/electrical-wholesalings-2025-top-100-electrical-distributors</t>
  </si>
  <si>
    <t xml:space="preserve">EWIE Group of Companies</t>
  </si>
  <si>
    <t xml:space="preserve">tooling/integrated supply</t>
  </si>
  <si>
    <t xml:space="preserve">ewie.com</t>
  </si>
  <si>
    <t xml:space="preserve">Rank 26 ID Big 50</t>
  </si>
  <si>
    <t xml:space="preserve">Famous Supply</t>
  </si>
  <si>
    <t xml:space="preserve">plumbing/HVAC/building products</t>
  </si>
  <si>
    <t xml:space="preserve">Akron</t>
  </si>
  <si>
    <t xml:space="preserve">famous-supply.com</t>
  </si>
  <si>
    <t xml:space="preserve">Ferraro Foods</t>
  </si>
  <si>
    <t xml:space="preserve">Italian/pizzeria foodservice</t>
  </si>
  <si>
    <t xml:space="preserve">Piscataway</t>
  </si>
  <si>
    <t xml:space="preserve">ferrarofoods.com</t>
  </si>
  <si>
    <t xml:space="preserve">Kainos Capital</t>
  </si>
  <si>
    <t xml:space="preserve">https://www.gourmetpro.co/blog/top-food-distributors-usa/</t>
  </si>
  <si>
    <t xml:space="preserve">Fisher Auto Parts</t>
  </si>
  <si>
    <t xml:space="preserve">Staunton</t>
  </si>
  <si>
    <t xml:space="preserve">fisherautoparts.com</t>
  </si>
  <si>
    <t xml:space="preserve">Gresco Utility Supply</t>
  </si>
  <si>
    <t xml:space="preserve">utility/electrical</t>
  </si>
  <si>
    <t xml:space="preserve">Forsyth</t>
  </si>
  <si>
    <t xml:space="preserve">gresco.com</t>
  </si>
  <si>
    <t xml:space="preserve">MDM 2026 electrical list; cooperative-owned</t>
  </si>
  <si>
    <t xml:space="preserve">Gulfeagle Supply</t>
  </si>
  <si>
    <t xml:space="preserve">roofing/building products</t>
  </si>
  <si>
    <t xml:space="preserve">gulfeaglesupply.com</t>
  </si>
  <si>
    <t xml:space="preserve">Harbor Wholesale Foods</t>
  </si>
  <si>
    <t xml:space="preserve">convenience/foodservice</t>
  </si>
  <si>
    <t xml:space="preserve">Lacey</t>
  </si>
  <si>
    <t xml:space="preserve">harborwholesale.com</t>
  </si>
  <si>
    <t xml:space="preserve">Harcros Chemicals</t>
  </si>
  <si>
    <t xml:space="preserve">chemical distribution</t>
  </si>
  <si>
    <t xml:space="preserve">harcros.com</t>
  </si>
  <si>
    <t xml:space="preserve">ESOP; revenue estimate</t>
  </si>
  <si>
    <t xml:space="preserve">https://app.dealroom.co/news/feed/icis-unveils-top-100-chemical-distributors-with-brenntag-leading-at-17-8b-in-sales</t>
  </si>
  <si>
    <t xml:space="preserve">Hawkins Inc.</t>
  </si>
  <si>
    <t xml:space="preserve">chemical distribution/water treatment</t>
  </si>
  <si>
    <t xml:space="preserve">Roseville</t>
  </si>
  <si>
    <t xml:space="preserve">hawkinsinc.com</t>
  </si>
  <si>
    <t xml:space="preserve">Patrick Hawkins</t>
  </si>
  <si>
    <t xml:space="preserve">Heilind Electronics</t>
  </si>
  <si>
    <t xml:space="preserve">interconnect/electromechanical components</t>
  </si>
  <si>
    <t xml:space="preserve">heilind.com</t>
  </si>
  <si>
    <t xml:space="preserve">Hensley Beverage Company</t>
  </si>
  <si>
    <t xml:space="preserve">beer/beverage distribution</t>
  </si>
  <si>
    <t xml:space="preserve">Chandler</t>
  </si>
  <si>
    <t xml:space="preserve">hensley.com</t>
  </si>
  <si>
    <t xml:space="preserve">Kendall Electric</t>
  </si>
  <si>
    <t xml:space="preserve">electrical/automation</t>
  </si>
  <si>
    <t xml:space="preserve">Portage</t>
  </si>
  <si>
    <t xml:space="preserve">kendallelectric.com</t>
  </si>
  <si>
    <t xml:space="preserve">Kimball Midwest</t>
  </si>
  <si>
    <t xml:space="preserve">MRO consumables</t>
  </si>
  <si>
    <t xml:space="preserve">kimballmidwest.com</t>
  </si>
  <si>
    <t xml:space="preserve">COO; CIO; VP Sales Operations</t>
  </si>
  <si>
    <t xml:space="preserve">MDM 2026 fasteners list $565M</t>
  </si>
  <si>
    <t xml:space="preserve">Kirby Risk</t>
  </si>
  <si>
    <t xml:space="preserve">Lafayette</t>
  </si>
  <si>
    <t xml:space="preserve">kirbyrisk.com</t>
  </si>
  <si>
    <t xml:space="preserve">L. Knife &amp; Son (Sheehan Family Companies)</t>
  </si>
  <si>
    <t xml:space="preserve">Kingston</t>
  </si>
  <si>
    <t xml:space="preserve">sheehanfamilycompanies.com</t>
  </si>
  <si>
    <t xml:space="preserve">Manhattan Beer Distributors</t>
  </si>
  <si>
    <t xml:space="preserve">Bronx</t>
  </si>
  <si>
    <t xml:space="preserve">manhattanbeer.com</t>
  </si>
  <si>
    <t xml:space="preserve">Merchants Foodservice</t>
  </si>
  <si>
    <t xml:space="preserve">broadline foodservice</t>
  </si>
  <si>
    <t xml:space="preserve">Hattiesburg</t>
  </si>
  <si>
    <t xml:space="preserve">merchantsfoodservice.com</t>
  </si>
  <si>
    <t xml:space="preserve">Meyer Distributing</t>
  </si>
  <si>
    <t xml:space="preserve">automotive/RV aftermarket</t>
  </si>
  <si>
    <t xml:space="preserve">Jasper</t>
  </si>
  <si>
    <t xml:space="preserve">meyerdistributing.com</t>
  </si>
  <si>
    <t xml:space="preserve">Midwest Veterinary Supply</t>
  </si>
  <si>
    <t xml:space="preserve">veterinary supply</t>
  </si>
  <si>
    <t xml:space="preserve">Lakeville</t>
  </si>
  <si>
    <t xml:space="preserve">midwestvet.net</t>
  </si>
  <si>
    <t xml:space="preserve">Munch's Supply</t>
  </si>
  <si>
    <t xml:space="preserve">HVAC</t>
  </si>
  <si>
    <t xml:space="preserve">New Lenox</t>
  </si>
  <si>
    <t xml:space="preserve">munchsupply.com</t>
  </si>
  <si>
    <t xml:space="preserve">Ridgemont Equity Partners</t>
  </si>
  <si>
    <t xml:space="preserve">PE roll-up; revenue estimate</t>
  </si>
  <si>
    <t xml:space="preserve">Nicholas and Company</t>
  </si>
  <si>
    <t xml:space="preserve">nicholasandco.com</t>
  </si>
  <si>
    <t xml:space="preserve">Optimas Solutions</t>
  </si>
  <si>
    <t xml:space="preserve">fasteners/C-parts</t>
  </si>
  <si>
    <t xml:space="preserve">Wood Dale</t>
  </si>
  <si>
    <t xml:space="preserve">optimas.com</t>
  </si>
  <si>
    <t xml:space="preserve">American Industrial Partners</t>
  </si>
  <si>
    <t xml:space="preserve">COO; CIO; VP Supply Chain</t>
  </si>
  <si>
    <t xml:space="preserve">Rank 25 ID Big 50</t>
  </si>
  <si>
    <t xml:space="preserve">R.E. Michel Company</t>
  </si>
  <si>
    <t xml:space="preserve">HVACR</t>
  </si>
  <si>
    <t xml:space="preserve">Glen Burnie</t>
  </si>
  <si>
    <t xml:space="preserve">remichel.com</t>
  </si>
  <si>
    <t xml:space="preserve">R.S. Hughes Co.</t>
  </si>
  <si>
    <t xml:space="preserve">industrial/safety MRO</t>
  </si>
  <si>
    <t xml:space="preserve">rshughes.com</t>
  </si>
  <si>
    <t xml:space="preserve">Rank 31 ID Big 50</t>
  </si>
  <si>
    <t xml:space="preserve">Richards Building Supply</t>
  </si>
  <si>
    <t xml:space="preserve">roofing/siding/windows</t>
  </si>
  <si>
    <t xml:space="preserve">Homewood</t>
  </si>
  <si>
    <t xml:space="preserve">richards-supply.com</t>
  </si>
  <si>
    <t xml:space="preserve">Sarnova (Bound Tree Medical)</t>
  </si>
  <si>
    <t xml:space="preserve">EMS/emergency medical supply</t>
  </si>
  <si>
    <t xml:space="preserve">sarnova.com</t>
  </si>
  <si>
    <t xml:space="preserve">Patricia Industries</t>
  </si>
  <si>
    <t xml:space="preserve">Revenue estimate; Investor AB unit</t>
  </si>
  <si>
    <t xml:space="preserve">Silver Eagle Distributors Houston</t>
  </si>
  <si>
    <t xml:space="preserve">silvereagle.com</t>
  </si>
  <si>
    <t xml:space="preserve">State Electric Supply</t>
  </si>
  <si>
    <t xml:space="preserve">Huntington</t>
  </si>
  <si>
    <t xml:space="preserve">stateelectric.com</t>
  </si>
  <si>
    <t xml:space="preserve">TruckPro</t>
  </si>
  <si>
    <t xml:space="preserve">heavy-duty truck parts</t>
  </si>
  <si>
    <t xml:space="preserve">Cordova</t>
  </si>
  <si>
    <t xml:space="preserve">truckpro.com</t>
  </si>
  <si>
    <t xml:space="preserve">Turtle &amp; Hughes</t>
  </si>
  <si>
    <t xml:space="preserve">electrical/industrial</t>
  </si>
  <si>
    <t xml:space="preserve">Clark</t>
  </si>
  <si>
    <t xml:space="preserve">turtle.com</t>
  </si>
  <si>
    <t xml:space="preserve">Jayne Millard</t>
  </si>
  <si>
    <t xml:space="preserve">Women-owned; revenue estimate</t>
  </si>
  <si>
    <t xml:space="preserve">Van Meter Inc.</t>
  </si>
  <si>
    <t xml:space="preserve">vanmeterinc.com</t>
  </si>
  <si>
    <t xml:space="preserve">Coburn Supply Company</t>
  </si>
  <si>
    <t xml:space="preserve">plumbing/HVAC/electrical</t>
  </si>
  <si>
    <t xml:space="preserve">Beaumont</t>
  </si>
  <si>
    <t xml:space="preserve">coburns.com</t>
  </si>
  <si>
    <t xml:space="preserve">Darby Dental Supply</t>
  </si>
  <si>
    <t xml:space="preserve">dental supply</t>
  </si>
  <si>
    <t xml:space="preserve">Jericho</t>
  </si>
  <si>
    <t xml:space="preserve">darbydental.com</t>
  </si>
  <si>
    <t xml:space="preserve">Endries International</t>
  </si>
  <si>
    <t xml:space="preserve">Brillion</t>
  </si>
  <si>
    <t xml:space="preserve">endries.com</t>
  </si>
  <si>
    <t xml:space="preserve">Rank 32 ID Big 50</t>
  </si>
  <si>
    <t xml:space="preserve">First Supply</t>
  </si>
  <si>
    <t xml:space="preserve">plumbing/HVAC/waterworks</t>
  </si>
  <si>
    <t xml:space="preserve">firstsupply.com</t>
  </si>
  <si>
    <t xml:space="preserve">Inline Electric Supply</t>
  </si>
  <si>
    <t xml:space="preserve">Huntsville</t>
  </si>
  <si>
    <t xml:space="preserve">inlineelectric.com</t>
  </si>
  <si>
    <t xml:space="preserve">MDM 2026 electrical list</t>
  </si>
  <si>
    <t xml:space="preserve">Locke Supply Co.</t>
  </si>
  <si>
    <t xml:space="preserve">plumbing/electrical/HVAC</t>
  </si>
  <si>
    <t xml:space="preserve">Oklahoma City</t>
  </si>
  <si>
    <t xml:space="preserve">lockesupply.com</t>
  </si>
  <si>
    <t xml:space="preserve">Magid Glove &amp; Safety</t>
  </si>
  <si>
    <t xml:space="preserve">safety PPE</t>
  </si>
  <si>
    <t xml:space="preserve">Romeoville</t>
  </si>
  <si>
    <t xml:space="preserve">magidglove.com</t>
  </si>
  <si>
    <t xml:space="preserve">Mallory Safety and Supply</t>
  </si>
  <si>
    <t xml:space="preserve">safety/industrial</t>
  </si>
  <si>
    <t xml:space="preserve">mallory.com</t>
  </si>
  <si>
    <t xml:space="preserve">Rank 44 ID Big 50</t>
  </si>
  <si>
    <t xml:space="preserve">Martin Inc.</t>
  </si>
  <si>
    <t xml:space="preserve">industrial/safety/integrated supply</t>
  </si>
  <si>
    <t xml:space="preserve">Florence</t>
  </si>
  <si>
    <t xml:space="preserve">martinsupply.com</t>
  </si>
  <si>
    <t xml:space="preserve">Rank 40 ID Big 50</t>
  </si>
  <si>
    <t xml:space="preserve">Master Electronics</t>
  </si>
  <si>
    <t xml:space="preserve">electronic components</t>
  </si>
  <si>
    <t xml:space="preserve">masterelectronics.com</t>
  </si>
  <si>
    <t xml:space="preserve">Motion &amp; Control Enterprises</t>
  </si>
  <si>
    <t xml:space="preserve">fluid power/automation</t>
  </si>
  <si>
    <t xml:space="preserve">Zelienople</t>
  </si>
  <si>
    <t xml:space="preserve">mce-inc.com</t>
  </si>
  <si>
    <t xml:space="preserve">Frontenac</t>
  </si>
  <si>
    <t xml:space="preserve">Rank 33 ID Big 50; PE roll-up</t>
  </si>
  <si>
    <t xml:space="preserve">Sid Harvey Industries</t>
  </si>
  <si>
    <t xml:space="preserve">Garden City</t>
  </si>
  <si>
    <t xml:space="preserve">sidharvey.com</t>
  </si>
  <si>
    <t xml:space="preserve">Summit Electric Supply</t>
  </si>
  <si>
    <t xml:space="preserve">summit.com</t>
  </si>
  <si>
    <t xml:space="preserve">Tencarva Machinery</t>
  </si>
  <si>
    <t xml:space="preserve">pumps/process equipment</t>
  </si>
  <si>
    <t xml:space="preserve">Greensboro</t>
  </si>
  <si>
    <t xml:space="preserve">tencarva.com</t>
  </si>
  <si>
    <t xml:space="preserve">Cortec Group</t>
  </si>
  <si>
    <t xml:space="preserve">Rank 34 ID Big 50</t>
  </si>
  <si>
    <t xml:space="preserve">United Electric Supply</t>
  </si>
  <si>
    <t xml:space="preserve">New Castle</t>
  </si>
  <si>
    <t xml:space="preserve">unitedelectric.com</t>
  </si>
  <si>
    <t xml:space="preserve">What Chefs Want</t>
  </si>
  <si>
    <t xml:space="preserve">specialty foodservice</t>
  </si>
  <si>
    <t xml:space="preserve">whatchefswant.com</t>
  </si>
  <si>
    <t xml:space="preserve">Revenue estimate; tech-forward ordering</t>
  </si>
  <si>
    <t xml:space="preserve">Cummins-Wagner</t>
  </si>
  <si>
    <t xml:space="preserve">pumps/HVAC equipment</t>
  </si>
  <si>
    <t xml:space="preserve">Annapolis Junction</t>
  </si>
  <si>
    <t xml:space="preserve">cummins-wagner.com</t>
  </si>
  <si>
    <t xml:space="preserve">Rank 46 ID Big 50; ESOP</t>
  </si>
  <si>
    <t xml:space="preserve">7 Brew Coffee</t>
  </si>
  <si>
    <t xml:space="preserve">drive-thru coffee franchisor</t>
  </si>
  <si>
    <t xml:space="preserve">Rogers</t>
  </si>
  <si>
    <t xml:space="preserve">7brew.com</t>
  </si>
  <si>
    <t xml:space="preserve">John Davidson</t>
  </si>
  <si>
    <t xml:space="preserve">COO; CIO; VP Franchise Development</t>
  </si>
  <si>
    <t xml:space="preserve">Blackstone majority 2025; 400+ stands; band reflects systemwide sales estimate</t>
  </si>
  <si>
    <t xml:space="preserve">https://www.7brew.com</t>
  </si>
  <si>
    <t xml:space="preserve">AVI Foodsystems</t>
  </si>
  <si>
    <t xml:space="preserve">contract foodservice &amp; vending</t>
  </si>
  <si>
    <t xml:space="preserve">Warren</t>
  </si>
  <si>
    <t xml:space="preserve">avifoodsystems.com</t>
  </si>
  <si>
    <t xml:space="preserve">Anthony Payiavlas</t>
  </si>
  <si>
    <t xml:space="preserve">Largest family-owned contract caterer; band is estimate</t>
  </si>
  <si>
    <t xml:space="preserve">https://www.avifoodsystems.com</t>
  </si>
  <si>
    <t xml:space="preserve">Amy's Kitchen</t>
  </si>
  <si>
    <t xml:space="preserve">frozen &amp; canned natural foods</t>
  </si>
  <si>
    <t xml:space="preserve">Petaluma</t>
  </si>
  <si>
    <t xml:space="preserve">amys.com</t>
  </si>
  <si>
    <t xml:space="preserve">Xavier Unkovic</t>
  </si>
  <si>
    <t xml:space="preserve">Organic frozen meals; band is estimate</t>
  </si>
  <si>
    <t xml:space="preserve">https://www.amys.com</t>
  </si>
  <si>
    <t xml:space="preserve">Ascent Hospitality Management</t>
  </si>
  <si>
    <t xml:space="preserve">family dining franchisor</t>
  </si>
  <si>
    <t xml:space="preserve">ascenthospitality.com</t>
  </si>
  <si>
    <t xml:space="preserve">Perkins and Huddle House parent; band reflects systemwide sales estimate</t>
  </si>
  <si>
    <t xml:space="preserve">https://www.ascenthospitality.com</t>
  </si>
  <si>
    <t xml:space="preserve">Basic American Foods</t>
  </si>
  <si>
    <t xml:space="preserve">dehydrated potato &amp; bean manufacturer</t>
  </si>
  <si>
    <t xml:space="preserve">baf.com</t>
  </si>
  <si>
    <t xml:space="preserve">Foodservice potato products; band is estimate</t>
  </si>
  <si>
    <t xml:space="preserve">https://www.baf.com</t>
  </si>
  <si>
    <t xml:space="preserve">Bolthouse Farms</t>
  </si>
  <si>
    <t xml:space="preserve">fresh produce &amp; beverages</t>
  </si>
  <si>
    <t xml:space="preserve">Bakersfield</t>
  </si>
  <si>
    <t xml:space="preserve">bolthouse.com</t>
  </si>
  <si>
    <t xml:space="preserve">Butterfly Equity</t>
  </si>
  <si>
    <t xml:space="preserve">Steve Cornell</t>
  </si>
  <si>
    <t xml:space="preserve">Carrots juices and dressings; merged with Evolution Fresh; band is estimate</t>
  </si>
  <si>
    <t xml:space="preserve">https://www.bolthouse.com</t>
  </si>
  <si>
    <t xml:space="preserve">California Pizza Kitchen</t>
  </si>
  <si>
    <t xml:space="preserve">casual dining chain</t>
  </si>
  <si>
    <t xml:space="preserve">cpk.com</t>
  </si>
  <si>
    <t xml:space="preserve">Bain Capital (via Convive Brands)</t>
  </si>
  <si>
    <t xml:space="preserve">~120 units; acquired by Convive Brands 2025; band is estimate</t>
  </si>
  <si>
    <t xml:space="preserve">Church's Texas Chicken</t>
  </si>
  <si>
    <t xml:space="preserve">churchs.com</t>
  </si>
  <si>
    <t xml:space="preserve">High Bluff Capital Partners</t>
  </si>
  <si>
    <t xml:space="preserve">Roland Spongberg</t>
  </si>
  <si>
    <t xml:space="preserve">High Bluff acquired 2021; band reflects US systemwide sales estimate</t>
  </si>
  <si>
    <t xml:space="preserve">https://www.churchs.com</t>
  </si>
  <si>
    <t xml:space="preserve">Concord Hospitality Enterprises</t>
  </si>
  <si>
    <t xml:space="preserve">hotel management &amp; development</t>
  </si>
  <si>
    <t xml:space="preserve">concordhotels.com</t>
  </si>
  <si>
    <t xml:space="preserve">Mark Laport</t>
  </si>
  <si>
    <t xml:space="preserve">150+ hotels; band is estimate</t>
  </si>
  <si>
    <t xml:space="preserve">https://www.shms.com/en/news/largest-hotel-management-companies/</t>
  </si>
  <si>
    <t xml:space="preserve">Crescent Hotels &amp; Resorts</t>
  </si>
  <si>
    <t xml:space="preserve">third-party hotel management</t>
  </si>
  <si>
    <t xml:space="preserve">crescenthotels.com</t>
  </si>
  <si>
    <t xml:space="preserve">Michael George</t>
  </si>
  <si>
    <t xml:space="preserve">~120 hotels; band is estimate</t>
  </si>
  <si>
    <t xml:space="preserve">https://www.crescenthotels.com</t>
  </si>
  <si>
    <t xml:space="preserve">Fogo de Chao</t>
  </si>
  <si>
    <t xml:space="preserve">steakhouse chain</t>
  </si>
  <si>
    <t xml:space="preserve">fogodechao.com</t>
  </si>
  <si>
    <t xml:space="preserve">Barry McGowan</t>
  </si>
  <si>
    <t xml:space="preserve">Bain acquired 2023 from Rhone; band is estimate</t>
  </si>
  <si>
    <t xml:space="preserve">https://www.fogodechao.com</t>
  </si>
  <si>
    <t xml:space="preserve">Freddy's Frozen Custard &amp; Steakburgers</t>
  </si>
  <si>
    <t xml:space="preserve">freddys.com</t>
  </si>
  <si>
    <t xml:space="preserve">Rhone Group</t>
  </si>
  <si>
    <t xml:space="preserve">Chris Dull</t>
  </si>
  <si>
    <t xml:space="preserve">550+ units; Rhone acquired 2025 from Thompson Street; band reflects systemwide sales estimate</t>
  </si>
  <si>
    <t xml:space="preserve">GF Hotels &amp; Resorts</t>
  </si>
  <si>
    <t xml:space="preserve">gfhotels.com</t>
  </si>
  <si>
    <t xml:space="preserve">Ken Kochenour</t>
  </si>
  <si>
    <t xml:space="preserve">~170 hotels under management; band is estimate</t>
  </si>
  <si>
    <t xml:space="preserve">https://www.gfhotels.com</t>
  </si>
  <si>
    <t xml:space="preserve">Great Wolf Resorts</t>
  </si>
  <si>
    <t xml:space="preserve">indoor waterpark resorts</t>
  </si>
  <si>
    <t xml:space="preserve">greatwolf.com</t>
  </si>
  <si>
    <t xml:space="preserve">John Murphy</t>
  </si>
  <si>
    <t xml:space="preserve">20+ resorts; band is estimate</t>
  </si>
  <si>
    <t xml:space="preserve">https://www.greatwolf.com</t>
  </si>
  <si>
    <t xml:space="preserve">Harvest Hill Beverage Company</t>
  </si>
  <si>
    <t xml:space="preserve">juice &amp; beverage manufacturer</t>
  </si>
  <si>
    <t xml:space="preserve">harvesthill.com</t>
  </si>
  <si>
    <t xml:space="preserve">Brynwood Partners</t>
  </si>
  <si>
    <t xml:space="preserve">Juicy Juice and SunnyD; band is estimate</t>
  </si>
  <si>
    <t xml:space="preserve">https://zoominvestors.com/blog/private-equity-food-manufacturing</t>
  </si>
  <si>
    <t xml:space="preserve">Hotel Equities</t>
  </si>
  <si>
    <t xml:space="preserve">hotel management &amp; ownership</t>
  </si>
  <si>
    <t xml:space="preserve">hotelequities.com</t>
  </si>
  <si>
    <t xml:space="preserve">Brad Rahinsky</t>
  </si>
  <si>
    <t xml:space="preserve">250+ hotels US and Canada; band is estimate</t>
  </si>
  <si>
    <t xml:space="preserve">King's Hawaiian</t>
  </si>
  <si>
    <t xml:space="preserve">bakery manufacturer</t>
  </si>
  <si>
    <t xml:space="preserve">kingshawaiian.com</t>
  </si>
  <si>
    <t xml:space="preserve">Mark Taira</t>
  </si>
  <si>
    <t xml:space="preserve">Sweet rolls; expanding Indiana plant; band is estimate</t>
  </si>
  <si>
    <t xml:space="preserve">https://www.kingshawaiian.com</t>
  </si>
  <si>
    <t xml:space="preserve">Land O'Frost</t>
  </si>
  <si>
    <t xml:space="preserve">lunchmeat manufacturer</t>
  </si>
  <si>
    <t xml:space="preserve">Munster</t>
  </si>
  <si>
    <t xml:space="preserve">landofrost.com</t>
  </si>
  <si>
    <t xml:space="preserve">David Van Eekeren</t>
  </si>
  <si>
    <t xml:space="preserve">COO; CFO; VP Operations</t>
  </si>
  <si>
    <t xml:space="preserve">Family-owned deli meats; band is estimate</t>
  </si>
  <si>
    <t xml:space="preserve">https://www.landofrost.com</t>
  </si>
  <si>
    <t xml:space="preserve">Lettuce Entertain You Enterprises</t>
  </si>
  <si>
    <t xml:space="preserve">multi-concept restaurant group</t>
  </si>
  <si>
    <t xml:space="preserve">lettuce.com</t>
  </si>
  <si>
    <t xml:space="preserve">R.J. Melman</t>
  </si>
  <si>
    <t xml:space="preserve">60+ concepts; band is estimate</t>
  </si>
  <si>
    <t xml:space="preserve">https://www.lettuce.com</t>
  </si>
  <si>
    <t xml:space="preserve">Lyons Magnus</t>
  </si>
  <si>
    <t xml:space="preserve">foodservice beverage &amp; ingredient manufacturer</t>
  </si>
  <si>
    <t xml:space="preserve">Fresno</t>
  </si>
  <si>
    <t xml:space="preserve">lyonsmagnus.com</t>
  </si>
  <si>
    <t xml:space="preserve">Paine Schwartz Partners</t>
  </si>
  <si>
    <t xml:space="preserve">Fruit-based syrups and nutrition beverages; band is estimate</t>
  </si>
  <si>
    <t xml:space="preserve">https://www.lyonsmagnus.com</t>
  </si>
  <si>
    <t xml:space="preserve">Nothing Bundt Cakes</t>
  </si>
  <si>
    <t xml:space="preserve">bakery franchisor</t>
  </si>
  <si>
    <t xml:space="preserve">Addison</t>
  </si>
  <si>
    <t xml:space="preserve">nothingbundtcakes.com</t>
  </si>
  <si>
    <t xml:space="preserve">Dolf Berle</t>
  </si>
  <si>
    <t xml:space="preserve">600+ bakeries; band reflects systemwide sales estimate</t>
  </si>
  <si>
    <t xml:space="preserve">https://www.roarkcapital.com/portfolio</t>
  </si>
  <si>
    <t xml:space="preserve">P.F. Chang's</t>
  </si>
  <si>
    <t xml:space="preserve">pfchangs.com</t>
  </si>
  <si>
    <t xml:space="preserve">TriArtisan Capital Advisors; Paulson &amp; Co.</t>
  </si>
  <si>
    <t xml:space="preserve">Damola Adamolekun</t>
  </si>
  <si>
    <t xml:space="preserve">~300 units; band is estimate</t>
  </si>
  <si>
    <t xml:space="preserve">https://www.pfchangs.com</t>
  </si>
  <si>
    <t xml:space="preserve">Polar Beverages</t>
  </si>
  <si>
    <t xml:space="preserve">soft drink bottler</t>
  </si>
  <si>
    <t xml:space="preserve">Worcester</t>
  </si>
  <si>
    <t xml:space="preserve">polarbev.com</t>
  </si>
  <si>
    <t xml:space="preserve">Ralph Crowley Jr.</t>
  </si>
  <si>
    <t xml:space="preserve">Fourth-generation family bottler; band is estimate</t>
  </si>
  <si>
    <t xml:space="preserve">https://www.polarbev.com</t>
  </si>
  <si>
    <t xml:space="preserve">Ruiz Foods</t>
  </si>
  <si>
    <t xml:space="preserve">frozen Mexican foods manufacturer</t>
  </si>
  <si>
    <t xml:space="preserve">ruizfoods.com</t>
  </si>
  <si>
    <t xml:space="preserve">Rachel Cullen</t>
  </si>
  <si>
    <t xml:space="preserve">El Monterey and Tornados; band is estimate</t>
  </si>
  <si>
    <t xml:space="preserve">https://www.ruizfoods.com</t>
  </si>
  <si>
    <t xml:space="preserve">SPB Hospitality</t>
  </si>
  <si>
    <t xml:space="preserve">casual dining operator</t>
  </si>
  <si>
    <t xml:space="preserve">spbhospitality.com</t>
  </si>
  <si>
    <t xml:space="preserve">Josh Kern</t>
  </si>
  <si>
    <t xml:space="preserve">Logan's Roadhouse Old Chicago J. Alexander's Krystal; Fortress-affiliated ownership; band is estimate</t>
  </si>
  <si>
    <t xml:space="preserve">https://www.spbhospitality.com</t>
  </si>
  <si>
    <t xml:space="preserve">Sage Hospitality Group</t>
  </si>
  <si>
    <t xml:space="preserve">hotel &amp; restaurant management</t>
  </si>
  <si>
    <t xml:space="preserve">sagehospitalitygroup.com</t>
  </si>
  <si>
    <t xml:space="preserve">Daniel del Olmo</t>
  </si>
  <si>
    <t xml:space="preserve">Lifestyle hotels and restaurants; band is estimate</t>
  </si>
  <si>
    <t xml:space="preserve">https://www.sagehospitalitygroup.com</t>
  </si>
  <si>
    <t xml:space="preserve">Sara Lee Frozen Bakery</t>
  </si>
  <si>
    <t xml:space="preserve">frozen bakery manufacturer</t>
  </si>
  <si>
    <t xml:space="preserve">Oakbrook Terrace</t>
  </si>
  <si>
    <t xml:space="preserve">saraleefrozenbakery.com</t>
  </si>
  <si>
    <t xml:space="preserve">Carved out of Tyson 2018; band is estimate</t>
  </si>
  <si>
    <t xml:space="preserve">https://www.saraleefrozenbakery.com</t>
  </si>
  <si>
    <t xml:space="preserve">Sauer Brands</t>
  </si>
  <si>
    <t xml:space="preserve">condiments &amp; sauces manufacturer</t>
  </si>
  <si>
    <t xml:space="preserve">Richmond</t>
  </si>
  <si>
    <t xml:space="preserve">sauerbrands.com</t>
  </si>
  <si>
    <t xml:space="preserve">Bill Lyons</t>
  </si>
  <si>
    <t xml:space="preserve">Duke's Mayo and Mateo's; Advent acquired Jan 2025; band is estimate</t>
  </si>
  <si>
    <t xml:space="preserve">https://www.akingump.com/en/insights/articles/2026-perspectives-in-private-equity-food-and-agriculture</t>
  </si>
  <si>
    <t xml:space="preserve">Scooter's Coffee</t>
  </si>
  <si>
    <t xml:space="preserve">scooterscoffee.com</t>
  </si>
  <si>
    <t xml:space="preserve">Joe Thornton</t>
  </si>
  <si>
    <t xml:space="preserve">800+ units; family-controlled; band reflects systemwide sales estimate</t>
  </si>
  <si>
    <t xml:space="preserve">https://www.scooterscoffee.com</t>
  </si>
  <si>
    <t xml:space="preserve">TPG Hotels &amp; Resorts</t>
  </si>
  <si>
    <t xml:space="preserve">tpghotelsandresorts.com</t>
  </si>
  <si>
    <t xml:space="preserve">Ben Perelmuter</t>
  </si>
  <si>
    <t xml:space="preserve">Procaccianti family; band is estimate</t>
  </si>
  <si>
    <t xml:space="preserve">https://www.tpghotelsandresorts.com</t>
  </si>
  <si>
    <t xml:space="preserve">Thompson Hospitality</t>
  </si>
  <si>
    <t xml:space="preserve">contract foodservice &amp; restaurants</t>
  </si>
  <si>
    <t xml:space="preserve">thompsonhospitality.com</t>
  </si>
  <si>
    <t xml:space="preserve">Warren Thompson</t>
  </si>
  <si>
    <t xml:space="preserve">Largest minority-owned foodservice company; band is estimate</t>
  </si>
  <si>
    <t xml:space="preserve">https://www.thompsonhospitality.com</t>
  </si>
  <si>
    <t xml:space="preserve">Black Bear Diner</t>
  </si>
  <si>
    <t xml:space="preserve">Redding</t>
  </si>
  <si>
    <t xml:space="preserve">blackbeardiner.com</t>
  </si>
  <si>
    <t xml:space="preserve">PWP Growth Equity</t>
  </si>
  <si>
    <t xml:space="preserve">Anita Adams</t>
  </si>
  <si>
    <t xml:space="preserve">COO; CFO; VP Franchise Operations</t>
  </si>
  <si>
    <t xml:space="preserve">~160 units; band reflects systemwide sales estimate</t>
  </si>
  <si>
    <t xml:space="preserve">https://www.blackbeardiner.com</t>
  </si>
  <si>
    <t xml:space="preserve">Blount Fine Foods</t>
  </si>
  <si>
    <t xml:space="preserve">soups &amp; prepared foods manufacturer</t>
  </si>
  <si>
    <t xml:space="preserve">Fall River</t>
  </si>
  <si>
    <t xml:space="preserve">blountfinefoods.com</t>
  </si>
  <si>
    <t xml:space="preserve">Todd Blount</t>
  </si>
  <si>
    <t xml:space="preserve">Retail and foodservice soups; band is estimate</t>
  </si>
  <si>
    <t xml:space="preserve">https://www.blountfinefoods.com</t>
  </si>
  <si>
    <t xml:space="preserve">Califia Farms</t>
  </si>
  <si>
    <t xml:space="preserve">plant-based beverage brand</t>
  </si>
  <si>
    <t xml:space="preserve">califiafarms.com</t>
  </si>
  <si>
    <t xml:space="preserve">Dave Ritterbush</t>
  </si>
  <si>
    <t xml:space="preserve">Qatar Investment Authority-led growth round; band is estimate</t>
  </si>
  <si>
    <t xml:space="preserve">https://www.califiafarms.com</t>
  </si>
  <si>
    <t xml:space="preserve">Cameron Mitchell Restaurants</t>
  </si>
  <si>
    <t xml:space="preserve">cameronmitchell.com</t>
  </si>
  <si>
    <t xml:space="preserve">Cameron Mitchell</t>
  </si>
  <si>
    <t xml:space="preserve">Ocean Prime and 60+ restaurants; band is estimate</t>
  </si>
  <si>
    <t xml:space="preserve">https://www.cameronmitchell.com</t>
  </si>
  <si>
    <t xml:space="preserve">Chicken Salad Chick</t>
  </si>
  <si>
    <t xml:space="preserve">fast casual franchisor</t>
  </si>
  <si>
    <t xml:space="preserve">Auburn</t>
  </si>
  <si>
    <t xml:space="preserve">chickensaladchick.com</t>
  </si>
  <si>
    <t xml:space="preserve">Brentwood Associates</t>
  </si>
  <si>
    <t xml:space="preserve">Scott Deviney</t>
  </si>
  <si>
    <t xml:space="preserve">270+ units; band reflects systemwide sales estimate</t>
  </si>
  <si>
    <t xml:space="preserve">https://www.chickensaladchick.com</t>
  </si>
  <si>
    <t xml:space="preserve">Cuisine Solutions</t>
  </si>
  <si>
    <t xml:space="preserve">sous-vide food manufacturer</t>
  </si>
  <si>
    <t xml:space="preserve">Sterling</t>
  </si>
  <si>
    <t xml:space="preserve">cuisinesolutions.com</t>
  </si>
  <si>
    <t xml:space="preserve">Felipe Hasselmann</t>
  </si>
  <si>
    <t xml:space="preserve">Bain Capital minority investment 2022; band is estimate</t>
  </si>
  <si>
    <t xml:space="preserve">https://www.cuisinesolutions.com</t>
  </si>
  <si>
    <t xml:space="preserve">Eat'n Park Hospitality Group</t>
  </si>
  <si>
    <t xml:space="preserve">restaurants &amp; contract dining</t>
  </si>
  <si>
    <t xml:space="preserve">enphospitality.com</t>
  </si>
  <si>
    <t xml:space="preserve">Jeff Broadhurst</t>
  </si>
  <si>
    <t xml:space="preserve">Eat'n Park restaurants and Parkhurst Dining; band is estimate</t>
  </si>
  <si>
    <t xml:space="preserve">https://www.enphospitality.com</t>
  </si>
  <si>
    <t xml:space="preserve">Five Star Food Service</t>
  </si>
  <si>
    <t xml:space="preserve">vending &amp; micro-market foodservice</t>
  </si>
  <si>
    <t xml:space="preserve">fivestarfood.com</t>
  </si>
  <si>
    <t xml:space="preserve">Alan Recher</t>
  </si>
  <si>
    <t xml:space="preserve">Canteen franchisee; band is estimate</t>
  </si>
  <si>
    <t xml:space="preserve">https://www.fivestarfood.com</t>
  </si>
  <si>
    <t xml:space="preserve">Hometown Food Company</t>
  </si>
  <si>
    <t xml:space="preserve">baking mixes &amp; flour</t>
  </si>
  <si>
    <t xml:space="preserve">hometownfoodcompany.com</t>
  </si>
  <si>
    <t xml:space="preserve">COO; CFO; VP Supply Chain</t>
  </si>
  <si>
    <t xml:space="preserve">Pillsbury baking and Hungry Jack licenses; band is estimate</t>
  </si>
  <si>
    <t xml:space="preserve">Idahoan Foods</t>
  </si>
  <si>
    <t xml:space="preserve">dehydrated potato manufacturer</t>
  </si>
  <si>
    <t xml:space="preserve">Idaho Falls</t>
  </si>
  <si>
    <t xml:space="preserve">idahoan.com</t>
  </si>
  <si>
    <t xml:space="preserve">Drew Facer</t>
  </si>
  <si>
    <t xml:space="preserve">Instant mashed potatoes; band is estimate</t>
  </si>
  <si>
    <t xml:space="preserve">https://www.idahoan.com</t>
  </si>
  <si>
    <t xml:space="preserve">Kettle Cuisine</t>
  </si>
  <si>
    <t xml:space="preserve">refrigerated soups &amp; sauces</t>
  </si>
  <si>
    <t xml:space="preserve">Lynn</t>
  </si>
  <si>
    <t xml:space="preserve">kettlecuisine.com</t>
  </si>
  <si>
    <t xml:space="preserve">Fresh soups for retail and foodservice; band is estimate</t>
  </si>
  <si>
    <t xml:space="preserve">https://www.kettlecuisine.com</t>
  </si>
  <si>
    <t xml:space="preserve">Lakeview Farms</t>
  </si>
  <si>
    <t xml:space="preserve">refrigerated dips &amp; desserts</t>
  </si>
  <si>
    <t xml:space="preserve">Delphos</t>
  </si>
  <si>
    <t xml:space="preserve">lakeviewfarms.com</t>
  </si>
  <si>
    <t xml:space="preserve">Ancor Capital Partners</t>
  </si>
  <si>
    <t xml:space="preserve">Merged with noosa yoghurt 2024; band is estimate</t>
  </si>
  <si>
    <t xml:space="preserve">https://www.lakeviewfarms.com</t>
  </si>
  <si>
    <t xml:space="preserve">Lazy Dog Restaurant &amp; Bar</t>
  </si>
  <si>
    <t xml:space="preserve">lazydogrestaurants.com</t>
  </si>
  <si>
    <t xml:space="preserve">Chris Simms</t>
  </si>
  <si>
    <t xml:space="preserve">50+ units; band is estimate</t>
  </si>
  <si>
    <t xml:space="preserve">https://www.lazydogrestaurants.com</t>
  </si>
  <si>
    <t xml:space="preserve">Litehouse Foods</t>
  </si>
  <si>
    <t xml:space="preserve">dressings &amp; dips manufacturer</t>
  </si>
  <si>
    <t xml:space="preserve">Sandpoint</t>
  </si>
  <si>
    <t xml:space="preserve">litehousefoods.com</t>
  </si>
  <si>
    <t xml:space="preserve">Kelly Prior</t>
  </si>
  <si>
    <t xml:space="preserve">100% ESOP; band is estimate</t>
  </si>
  <si>
    <t xml:space="preserve">https://www.litehousefoods.com</t>
  </si>
  <si>
    <t xml:space="preserve">Nellson</t>
  </si>
  <si>
    <t xml:space="preserve">nutrition bar &amp; powder contract manufacturer</t>
  </si>
  <si>
    <t xml:space="preserve">nellson.com</t>
  </si>
  <si>
    <t xml:space="preserve">Contract manufacturer for nutrition brands; band is estimate</t>
  </si>
  <si>
    <t xml:space="preserve">https://www.nellson.com</t>
  </si>
  <si>
    <t xml:space="preserve">Old Dutch Foods</t>
  </si>
  <si>
    <t xml:space="preserve">snack manufacturer</t>
  </si>
  <si>
    <t xml:space="preserve">olddutchfoods.com</t>
  </si>
  <si>
    <t xml:space="preserve">Eric Aanenson</t>
  </si>
  <si>
    <t xml:space="preserve">Upper Midwest and Canada snacks; band is estimate</t>
  </si>
  <si>
    <t xml:space="preserve">https://www.olddutchfoods.com</t>
  </si>
  <si>
    <t xml:space="preserve">Pete and Gerry's Organics</t>
  </si>
  <si>
    <t xml:space="preserve">egg producer</t>
  </si>
  <si>
    <t xml:space="preserve">Monroe</t>
  </si>
  <si>
    <t xml:space="preserve">peteandgerrys.com</t>
  </si>
  <si>
    <t xml:space="preserve">Tom Flocco</t>
  </si>
  <si>
    <t xml:space="preserve">Organic and pasture-raised eggs; band is estimate</t>
  </si>
  <si>
    <t xml:space="preserve">Second Nature Brands</t>
  </si>
  <si>
    <t xml:space="preserve">snacks &amp; confectionery manufacturer</t>
  </si>
  <si>
    <t xml:space="preserve">Madison Heights</t>
  </si>
  <si>
    <t xml:space="preserve">secondnaturebrands.com</t>
  </si>
  <si>
    <t xml:space="preserve">CapVest Partners</t>
  </si>
  <si>
    <t xml:space="preserve">Kar's Nuts and Sanders; band is estimate</t>
  </si>
  <si>
    <t xml:space="preserve">https://www.secondnaturebrands.com</t>
  </si>
  <si>
    <t xml:space="preserve">Slim Chickens</t>
  </si>
  <si>
    <t xml:space="preserve">Fayetteville</t>
  </si>
  <si>
    <t xml:space="preserve">slimchickens.com</t>
  </si>
  <si>
    <t xml:space="preserve">10 Point Capital</t>
  </si>
  <si>
    <t xml:space="preserve">Tom Gordon</t>
  </si>
  <si>
    <t xml:space="preserve">300+ units; band reflects systemwide sales estimate</t>
  </si>
  <si>
    <t xml:space="preserve">https://www.slimchickens.com</t>
  </si>
  <si>
    <t xml:space="preserve">Talking Rain Beverage Company</t>
  </si>
  <si>
    <t xml:space="preserve">sparkling water manufacturer</t>
  </si>
  <si>
    <t xml:space="preserve">Preston</t>
  </si>
  <si>
    <t xml:space="preserve">talkingrain.com</t>
  </si>
  <si>
    <t xml:space="preserve">Chris Hall</t>
  </si>
  <si>
    <t xml:space="preserve">Sparkling Ice brand; band is estimate</t>
  </si>
  <si>
    <t xml:space="preserve">https://www.talkingrain.com</t>
  </si>
  <si>
    <t xml:space="preserve">The Duckhorn Portfolio</t>
  </si>
  <si>
    <t xml:space="preserve">wine producer</t>
  </si>
  <si>
    <t xml:space="preserve">St. Helena</t>
  </si>
  <si>
    <t xml:space="preserve">duckhorn.com</t>
  </si>
  <si>
    <t xml:space="preserve">Deirdre Mahlan</t>
  </si>
  <si>
    <t xml:space="preserve">CFO; COO; VP Sales Operations</t>
  </si>
  <si>
    <t xml:space="preserve">FY2024 revenue ~$405M per last public filing; taken private Dec 2024</t>
  </si>
  <si>
    <t xml:space="preserve">https://www.duckhorn.com</t>
  </si>
  <si>
    <t xml:space="preserve">Torchy's Tacos</t>
  </si>
  <si>
    <t xml:space="preserve">fast casual chain</t>
  </si>
  <si>
    <t xml:space="preserve">torchystacos.com</t>
  </si>
  <si>
    <t xml:space="preserve">120+ units; band is estimate</t>
  </si>
  <si>
    <t xml:space="preserve">https://www.torchystacos.com</t>
  </si>
  <si>
    <t xml:space="preserve">Turkey Hill Dairy</t>
  </si>
  <si>
    <t xml:space="preserve">ice cream &amp; iced tea manufacturer</t>
  </si>
  <si>
    <t xml:space="preserve">Conestoga</t>
  </si>
  <si>
    <t xml:space="preserve">turkeyhill.com</t>
  </si>
  <si>
    <t xml:space="preserve">Peak Rock Capital</t>
  </si>
  <si>
    <t xml:space="preserve">Carved out of Kroger 2019; band is estimate</t>
  </si>
  <si>
    <t xml:space="preserve">https://www.turkeyhill.com</t>
  </si>
  <si>
    <t xml:space="preserve">Walk-On's Sports Bistreaux</t>
  </si>
  <si>
    <t xml:space="preserve">sports bar franchisor</t>
  </si>
  <si>
    <t xml:space="preserve">walk-ons.com</t>
  </si>
  <si>
    <t xml:space="preserve">Chris Porcelli</t>
  </si>
  <si>
    <t xml:space="preserve">~80 units; band reflects systemwide sales estimate</t>
  </si>
  <si>
    <t xml:space="preserve">https://www.walk-ons.com</t>
  </si>
  <si>
    <t xml:space="preserve">Athletic Brewing Company</t>
  </si>
  <si>
    <t xml:space="preserve">non-alcoholic beer brewer</t>
  </si>
  <si>
    <t xml:space="preserve">Milford</t>
  </si>
  <si>
    <t xml:space="preserve">athleticbrewing.com</t>
  </si>
  <si>
    <t xml:space="preserve">Bill Shufelt</t>
  </si>
  <si>
    <t xml:space="preserve">Keurig Dr Pepper minority stake; band is estimate</t>
  </si>
  <si>
    <t xml:space="preserve">https://www.athleticbrewing.com</t>
  </si>
  <si>
    <t xml:space="preserve">Berner Food &amp; Beverage</t>
  </si>
  <si>
    <t xml:space="preserve">private label dips &amp; RTD beverages</t>
  </si>
  <si>
    <t xml:space="preserve">Dakota</t>
  </si>
  <si>
    <t xml:space="preserve">bernerfoods.com</t>
  </si>
  <si>
    <t xml:space="preserve">COO; CFO; Plant Manager</t>
  </si>
  <si>
    <t xml:space="preserve">Private label cheese dips and coffee drinks; band is estimate</t>
  </si>
  <si>
    <t xml:space="preserve">https://www.bernerfoods.com</t>
  </si>
  <si>
    <t xml:space="preserve">Bob's Red Mill Natural Foods</t>
  </si>
  <si>
    <t xml:space="preserve">whole grain foods manufacturer</t>
  </si>
  <si>
    <t xml:space="preserve">Milwaukie</t>
  </si>
  <si>
    <t xml:space="preserve">bobsredmill.com</t>
  </si>
  <si>
    <t xml:space="preserve">Trey Winthrop</t>
  </si>
  <si>
    <t xml:space="preserve">ESOP-owned; band is estimate</t>
  </si>
  <si>
    <t xml:space="preserve">https://www.bobsredmill.com</t>
  </si>
  <si>
    <t xml:space="preserve">Chosen Foods</t>
  </si>
  <si>
    <t xml:space="preserve">oils &amp; dressings brand</t>
  </si>
  <si>
    <t xml:space="preserve">chosenfoods.com</t>
  </si>
  <si>
    <t xml:space="preserve">Gabriel Perez Krieb</t>
  </si>
  <si>
    <t xml:space="preserve">Avocado oil leader; band is estimate</t>
  </si>
  <si>
    <t xml:space="preserve">Continental Services</t>
  </si>
  <si>
    <t xml:space="preserve">corporate dining &amp; vending</t>
  </si>
  <si>
    <t xml:space="preserve">continentalserves.com</t>
  </si>
  <si>
    <t xml:space="preserve">Julie Walker</t>
  </si>
  <si>
    <t xml:space="preserve">Michigan-based contract caterer; band is estimate</t>
  </si>
  <si>
    <t xml:space="preserve">https://www.continentalserves.com</t>
  </si>
  <si>
    <t xml:space="preserve">Country Pure Foods</t>
  </si>
  <si>
    <t xml:space="preserve">juice manufacturer</t>
  </si>
  <si>
    <t xml:space="preserve">countrypurefoods.com</t>
  </si>
  <si>
    <t xml:space="preserve">Blue Point Capital Partners</t>
  </si>
  <si>
    <t xml:space="preserve">Ardmore Farms and foodservice juice; band is estimate</t>
  </si>
  <si>
    <t xml:space="preserve">https://www.countrypurefoods.com</t>
  </si>
  <si>
    <t xml:space="preserve">Generous Brands (Health-Ade)</t>
  </si>
  <si>
    <t xml:space="preserve">functional beverage platform</t>
  </si>
  <si>
    <t xml:space="preserve">health-ade.com</t>
  </si>
  <si>
    <t xml:space="preserve">CEO; COO; VP Operations</t>
  </si>
  <si>
    <t xml:space="preserve">Health-Ade acquired ~$500M July 2025; band is estimate</t>
  </si>
  <si>
    <t xml:space="preserve">https://www.foodnavigator.com/Article/2026/06/26/private-equity-reshapes-food-and-beverage-through-deals-and-consolidation/</t>
  </si>
  <si>
    <t xml:space="preserve">HUNGRY Marketplace</t>
  </si>
  <si>
    <t xml:space="preserve">corporate catering platform</t>
  </si>
  <si>
    <t xml:space="preserve">tryhungry.com</t>
  </si>
  <si>
    <t xml:space="preserve">Jeff Grass</t>
  </si>
  <si>
    <t xml:space="preserve">Surpassed $100M annual revenue per 2025 press release; venture-backed</t>
  </si>
  <si>
    <t xml:space="preserve">https://www.accessnewswire.com/newsroom/en/food-and-beverage-products/hungry-surpasses-100-million-in-annual-revenue-and-reaches-sustained-pro-1162679</t>
  </si>
  <si>
    <t xml:space="preserve">Louisiana Fish Fry Products</t>
  </si>
  <si>
    <t xml:space="preserve">seasonings &amp; breading manufacturer</t>
  </si>
  <si>
    <t xml:space="preserve">louisianafishfry.com</t>
  </si>
  <si>
    <t xml:space="preserve">MidOcean Partners</t>
  </si>
  <si>
    <t xml:space="preserve">COO; CFO; VP Sales Operations</t>
  </si>
  <si>
    <t xml:space="preserve">MidOcean acquired 2023; band is estimate</t>
  </si>
  <si>
    <t xml:space="preserve">https://www.louisianafishfry.com</t>
  </si>
  <si>
    <t xml:space="preserve">Metz Culinary Management</t>
  </si>
  <si>
    <t xml:space="preserve">contract foodservice</t>
  </si>
  <si>
    <t xml:space="preserve">metzculinary.com</t>
  </si>
  <si>
    <t xml:space="preserve">Jeff Metz</t>
  </si>
  <si>
    <t xml:space="preserve">Education healthcare and senior living dining; band is estimate</t>
  </si>
  <si>
    <t xml:space="preserve">https://www.metzculinary.com</t>
  </si>
  <si>
    <t xml:space="preserve">Nonni's Foods</t>
  </si>
  <si>
    <t xml:space="preserve">biscotti &amp; cookie manufacturer</t>
  </si>
  <si>
    <t xml:space="preserve">nonnis.com</t>
  </si>
  <si>
    <t xml:space="preserve">Nonni's and THINaddictives; band is estimate</t>
  </si>
  <si>
    <t xml:space="preserve">https://www.nonnis.com</t>
  </si>
  <si>
    <t xml:space="preserve">Olde Thompson</t>
  </si>
  <si>
    <t xml:space="preserve">spices &amp; seasonings manufacturer</t>
  </si>
  <si>
    <t xml:space="preserve">Oxnard</t>
  </si>
  <si>
    <t xml:space="preserve">oldethompson.com</t>
  </si>
  <si>
    <t xml:space="preserve">Private label spices; band is estimate</t>
  </si>
  <si>
    <t xml:space="preserve">https://www.oldethompson.com</t>
  </si>
  <si>
    <t xml:space="preserve">Philz Coffee</t>
  </si>
  <si>
    <t xml:space="preserve">coffee chain</t>
  </si>
  <si>
    <t xml:space="preserve">philzcoffee.com</t>
  </si>
  <si>
    <t xml:space="preserve">Freeman Spogli &amp; Co.</t>
  </si>
  <si>
    <t xml:space="preserve">Acquired for $145M in 2025; band is estimate</t>
  </si>
  <si>
    <t xml:space="preserve">Purely Elizabeth</t>
  </si>
  <si>
    <t xml:space="preserve">natural granola &amp; snacks brand</t>
  </si>
  <si>
    <t xml:space="preserve">Boulder</t>
  </si>
  <si>
    <t xml:space="preserve">purelyelizabeth.com</t>
  </si>
  <si>
    <t xml:space="preserve">Bansk Group</t>
  </si>
  <si>
    <t xml:space="preserve">Elizabeth Stein</t>
  </si>
  <si>
    <t xml:space="preserve">Bansk majority 2024; band is estimate</t>
  </si>
  <si>
    <t xml:space="preserve">https://www.purelyelizabeth.com</t>
  </si>
  <si>
    <t xml:space="preserve">Shipley Do-Nuts</t>
  </si>
  <si>
    <t xml:space="preserve">bakery-cafe franchisor</t>
  </si>
  <si>
    <t xml:space="preserve">shipleydonuts.com</t>
  </si>
  <si>
    <t xml:space="preserve">Levine Leichtman Capital Partners</t>
  </si>
  <si>
    <t xml:space="preserve">Flynn Dekker</t>
  </si>
  <si>
    <t xml:space="preserve">COO; CFO; VP Franchise Development</t>
  </si>
  <si>
    <t xml:space="preserve">~350 units; LLCP acquired 2025; band reflects systemwide sales estimate</t>
  </si>
  <si>
    <t xml:space="preserve">Southwest Foodservice Excellence</t>
  </si>
  <si>
    <t xml:space="preserve">K-12 foodservice contractor</t>
  </si>
  <si>
    <t xml:space="preserve">sfellc.com</t>
  </si>
  <si>
    <t xml:space="preserve">Monty Staggs</t>
  </si>
  <si>
    <t xml:space="preserve">K-12 school nutrition; band is estimate</t>
  </si>
  <si>
    <t xml:space="preserve">https://www.sfellc.com</t>
  </si>
  <si>
    <t xml:space="preserve">Spindrift Beverage Co.</t>
  </si>
  <si>
    <t xml:space="preserve">sparkling water brand</t>
  </si>
  <si>
    <t xml:space="preserve">Newton</t>
  </si>
  <si>
    <t xml:space="preserve">drinkspindrift.com</t>
  </si>
  <si>
    <t xml:space="preserve">Bill Creelman</t>
  </si>
  <si>
    <t xml:space="preserve">Gryphon majority investment Jan 2025; band is estimate</t>
  </si>
  <si>
    <t xml:space="preserve">The Nutrition Group</t>
  </si>
  <si>
    <t xml:space="preserve">Irwin</t>
  </si>
  <si>
    <t xml:space="preserve">thenutritiongroup.biz</t>
  </si>
  <si>
    <t xml:space="preserve">K-12 and senior living; band is estimate</t>
  </si>
  <si>
    <t xml:space="preserve">https://www.thenutritiongroup.biz</t>
  </si>
  <si>
    <t xml:space="preserve">Union Square Hospitality Group</t>
  </si>
  <si>
    <t xml:space="preserve">restaurant &amp; hospitality group</t>
  </si>
  <si>
    <t xml:space="preserve">ushg.com</t>
  </si>
  <si>
    <t xml:space="preserve">Chip Wade</t>
  </si>
  <si>
    <t xml:space="preserve">Danny Meyer founded; band is estimate</t>
  </si>
  <si>
    <t xml:space="preserve">https://www.ushg.com</t>
  </si>
  <si>
    <t xml:space="preserve">Velvet Taco</t>
  </si>
  <si>
    <t xml:space="preserve">velvettaco.com</t>
  </si>
  <si>
    <t xml:space="preserve">Clay Dover</t>
  </si>
  <si>
    <t xml:space="preserve">LGP majority since 2021; band is estimate</t>
  </si>
  <si>
    <t xml:space="preserve">https://www.velvettaco.com</t>
  </si>
  <si>
    <t xml:space="preserve">Whitsons Culinary Group</t>
  </si>
  <si>
    <t xml:space="preserve">Islandia</t>
  </si>
  <si>
    <t xml:space="preserve">whitsons.com</t>
  </si>
  <si>
    <t xml:space="preserve">Paul Whitcomb</t>
  </si>
  <si>
    <t xml:space="preserve">School and healthcare dining in Northeast; band is estimate</t>
  </si>
  <si>
    <t xml:space="preserve">https://www.whitsons.com</t>
  </si>
  <si>
    <t xml:space="preserve">OWS Foods</t>
  </si>
  <si>
    <t xml:space="preserve">sauces &amp; seasonings platform</t>
  </si>
  <si>
    <t xml:space="preserve">Lenexa</t>
  </si>
  <si>
    <t xml:space="preserve">owsfoods.com</t>
  </si>
  <si>
    <t xml:space="preserve">CEO; COO; CFO</t>
  </si>
  <si>
    <t xml:space="preserve">Head Country BBQ and Lillie's Q add-ons; band is estimate</t>
  </si>
  <si>
    <t xml:space="preserve">ALKU</t>
  </si>
  <si>
    <t xml:space="preserve">Specialized staffing (technology)</t>
  </si>
  <si>
    <t xml:space="preserve">Andover</t>
  </si>
  <si>
    <t xml:space="preserve">alku.com</t>
  </si>
  <si>
    <t xml:space="preserve">FFL Partners</t>
  </si>
  <si>
    <t xml:space="preserve">Mark Eldridge</t>
  </si>
  <si>
    <t xml:space="preserve">COO; CIO; VP Technology; VP Operations</t>
  </si>
  <si>
    <t xml:space="preserve">ERP and cybersecurity staffing specialist</t>
  </si>
  <si>
    <t xml:space="preserve">https://www.alku.com</t>
  </si>
  <si>
    <t xml:space="preserve">Loffler Companies</t>
  </si>
  <si>
    <t xml:space="preserve">loffler.com</t>
  </si>
  <si>
    <t xml:space="preserve">James Loffler</t>
  </si>
  <si>
    <t xml:space="preserve">COO; CIO; VP IT Services; VP Operations</t>
  </si>
  <si>
    <t xml:space="preserve">Minnesota office technology and IT services</t>
  </si>
  <si>
    <t xml:space="preserve">https://www.loffler.com</t>
  </si>
  <si>
    <t xml:space="preserve">Evolve IP</t>
  </si>
  <si>
    <t xml:space="preserve">Managed cloud / UCaaS</t>
  </si>
  <si>
    <t xml:space="preserve">evolveip.net</t>
  </si>
  <si>
    <t xml:space="preserve">Rob Jakobson</t>
  </si>
  <si>
    <t xml:space="preserve">Workspace and cloud services for mid-market</t>
  </si>
  <si>
    <t xml:space="preserve">https://www.evolveip.net</t>
  </si>
  <si>
    <t xml:space="preserve">Blank Rome</t>
  </si>
  <si>
    <t xml:space="preserve">blankrome.com</t>
  </si>
  <si>
    <t xml:space="preserve">Grant Palmer</t>
  </si>
  <si>
    <t xml:space="preserve">Am Law 100/200 boundary</t>
  </si>
  <si>
    <t xml:space="preserve">https://en.wikipedia.org/wiki/Blank_Rome</t>
  </si>
  <si>
    <t xml:space="preserve">Cahill Gordon &amp; Reindel</t>
  </si>
  <si>
    <t xml:space="preserve">cahill.com</t>
  </si>
  <si>
    <t xml:space="preserve">Herbert Washer</t>
  </si>
  <si>
    <t xml:space="preserve">Am Law 200 #107 (FY2025 $502.5M); PPP $5.65M</t>
  </si>
  <si>
    <t xml:space="preserve">Cozen O'Connor</t>
  </si>
  <si>
    <t xml:space="preserve">cozen.com</t>
  </si>
  <si>
    <t xml:space="preserve">Michael Heller</t>
  </si>
  <si>
    <t xml:space="preserve">https://en.wikipedia.org/wiki/Cozen_O'Connor</t>
  </si>
  <si>
    <t xml:space="preserve">Dorsey &amp; Whitney</t>
  </si>
  <si>
    <t xml:space="preserve">dorsey.com</t>
  </si>
  <si>
    <t xml:space="preserve">Bill Stoeri</t>
  </si>
  <si>
    <t xml:space="preserve">Am Law 200 #101 in 2025 (FY2024 $513M; ~550 lawyers)</t>
  </si>
  <si>
    <t xml:space="preserve">https://davidlat.substack.com/p/2025-am-law-200-second-100-law-firms-profits-per-equity-partner-ppep-revenue-per-lawyer-rpl-in-2024</t>
  </si>
  <si>
    <t xml:space="preserve">Duane Morris</t>
  </si>
  <si>
    <t xml:space="preserve">duanemorris.com</t>
  </si>
  <si>
    <t xml:space="preserve">Matthew Taylor</t>
  </si>
  <si>
    <t xml:space="preserve">Am Law 100 firm</t>
  </si>
  <si>
    <t xml:space="preserve">https://en.wikipedia.org/wiki/Duane_Morris</t>
  </si>
  <si>
    <t xml:space="preserve">Jackson Walker</t>
  </si>
  <si>
    <t xml:space="preserve">jw.com</t>
  </si>
  <si>
    <t xml:space="preserve">Wade Cooper</t>
  </si>
  <si>
    <t xml:space="preserve">Am Law 200 #105 (FY2025 $517M); largest Texas-only firm</t>
  </si>
  <si>
    <t xml:space="preserve">Katten Muchin Rosenman</t>
  </si>
  <si>
    <t xml:space="preserve">katten.com</t>
  </si>
  <si>
    <t xml:space="preserve">Noah Heller</t>
  </si>
  <si>
    <t xml:space="preserve">https://en.wikipedia.org/wiki/Katten_Muchin_Rosenman</t>
  </si>
  <si>
    <t xml:space="preserve">Kilpatrick Townsend &amp; Stockton</t>
  </si>
  <si>
    <t xml:space="preserve">ktslaw.com</t>
  </si>
  <si>
    <t xml:space="preserve">Henry Walker</t>
  </si>
  <si>
    <t xml:space="preserve">https://en.wikipedia.org/wiki/Kilpatrick_Townsend_&amp;_Stockton</t>
  </si>
  <si>
    <t xml:space="preserve">Loeb &amp; Loeb</t>
  </si>
  <si>
    <t xml:space="preserve">loeb.com</t>
  </si>
  <si>
    <t xml:space="preserve">Kenneth Florin</t>
  </si>
  <si>
    <t xml:space="preserve">Am Law 200 #108 (FY2025 $502M); media/entertainment focus</t>
  </si>
  <si>
    <t xml:space="preserve">Bracewell</t>
  </si>
  <si>
    <t xml:space="preserve">bracewell.com</t>
  </si>
  <si>
    <t xml:space="preserve">Gregory Bopp</t>
  </si>
  <si>
    <t xml:space="preserve">Energy-focused Am Law 200 firm</t>
  </si>
  <si>
    <t xml:space="preserve">https://en.wikipedia.org/wiki/Bracewell_LLP</t>
  </si>
  <si>
    <t xml:space="preserve">Bradley Arant Boult Cummings</t>
  </si>
  <si>
    <t xml:space="preserve">bradley.com</t>
  </si>
  <si>
    <t xml:space="preserve">Jonathan Skeeters</t>
  </si>
  <si>
    <t xml:space="preserve">Am Law 200 #105 in 2024 (FY2023 $424.7M); FY2024 est</t>
  </si>
  <si>
    <t xml:space="preserve">Brownstein Hyatt Farber Schreck</t>
  </si>
  <si>
    <t xml:space="preserve">bhfs.com</t>
  </si>
  <si>
    <t xml:space="preserve">Rich Benenson</t>
  </si>
  <si>
    <t xml:space="preserve">Am Law 200; top lobbying firm</t>
  </si>
  <si>
    <t xml:space="preserve">https://en.wikipedia.org/wiki/Brownstein_Hyatt_Farber_Schreck</t>
  </si>
  <si>
    <t xml:space="preserve">Buchalter</t>
  </si>
  <si>
    <t xml:space="preserve">buchalter.com</t>
  </si>
  <si>
    <t xml:space="preserve">Adam Bass</t>
  </si>
  <si>
    <t xml:space="preserve">Am Law 200 West Coast firm</t>
  </si>
  <si>
    <t xml:space="preserve">https://en.wikipedia.org/wiki/Buchalter_(law_firm)</t>
  </si>
  <si>
    <t xml:space="preserve">Buchanan Ingersoll &amp; Rooney</t>
  </si>
  <si>
    <t xml:space="preserve">bipc.com</t>
  </si>
  <si>
    <t xml:space="preserve">Joseph Dougherty</t>
  </si>
  <si>
    <t xml:space="preserve">https://en.wikipedia.org/wiki/Buchanan_Ingersoll_&amp;_Rooney</t>
  </si>
  <si>
    <t xml:space="preserve">Carlton Fields</t>
  </si>
  <si>
    <t xml:space="preserve">carltonfields.com</t>
  </si>
  <si>
    <t xml:space="preserve">Gary Sasso</t>
  </si>
  <si>
    <t xml:space="preserve">Am Law 200 Florida firm</t>
  </si>
  <si>
    <t xml:space="preserve">Choate Hall &amp; Stewart</t>
  </si>
  <si>
    <t xml:space="preserve">choate.com</t>
  </si>
  <si>
    <t xml:space="preserve">John Nadas</t>
  </si>
  <si>
    <t xml:space="preserve">RPL $2.03M; PPP $4.33M</t>
  </si>
  <si>
    <t xml:space="preserve">Clark Hill</t>
  </si>
  <si>
    <t xml:space="preserve">clarkhill.com</t>
  </si>
  <si>
    <t xml:space="preserve">John Hern</t>
  </si>
  <si>
    <t xml:space="preserve">688 attorneys worldwide; Am Law 200</t>
  </si>
  <si>
    <t xml:space="preserve">Dickinson Wright</t>
  </si>
  <si>
    <t xml:space="preserve">dickinsonwright.com</t>
  </si>
  <si>
    <t xml:space="preserve">Michael Hammer</t>
  </si>
  <si>
    <t xml:space="preserve">Am Law 200 firm; US/Canada</t>
  </si>
  <si>
    <t xml:space="preserve">https://en.wikipedia.org/wiki/Dickinson_Wright</t>
  </si>
  <si>
    <t xml:space="preserve">Dinsmore &amp; Shohl</t>
  </si>
  <si>
    <t xml:space="preserve">dinsmore.com</t>
  </si>
  <si>
    <t xml:space="preserve">George Vincent</t>
  </si>
  <si>
    <t xml:space="preserve">Am Law 200; 8.2% growth cited 2025</t>
  </si>
  <si>
    <t xml:space="preserve">https://www.dinsmore.com/news/dinsmore-ranks-134-in-amlaw-200-list/</t>
  </si>
  <si>
    <t xml:space="preserve">Dykema Gossett</t>
  </si>
  <si>
    <t xml:space="preserve">dykema.com</t>
  </si>
  <si>
    <t xml:space="preserve">Leonard Wolfe</t>
  </si>
  <si>
    <t xml:space="preserve">https://en.wikipedia.org/wiki/Dykema_Gossett</t>
  </si>
  <si>
    <t xml:space="preserve">Finnegan Henderson Farabow Garrett &amp; Dunner</t>
  </si>
  <si>
    <t xml:space="preserve">finnegan.com</t>
  </si>
  <si>
    <t xml:space="preserve">Anand Sharma</t>
  </si>
  <si>
    <t xml:space="preserve">Am Law 200 IP firm</t>
  </si>
  <si>
    <t xml:space="preserve">https://en.wikipedia.org/wiki/Finnegan,_Henderson,_Farabow,_Garrett_&amp;_Dunner</t>
  </si>
  <si>
    <t xml:space="preserve">Foley Hoag</t>
  </si>
  <si>
    <t xml:space="preserve">foleyhoag.com</t>
  </si>
  <si>
    <t xml:space="preserve">Kenneth Leonetti</t>
  </si>
  <si>
    <t xml:space="preserve">Am Law 200 Boston firm</t>
  </si>
  <si>
    <t xml:space="preserve">https://en.wikipedia.org/wiki/Foley_Hoag</t>
  </si>
  <si>
    <t xml:space="preserve">Fredrikson &amp; Byron</t>
  </si>
  <si>
    <t xml:space="preserve">fredlaw.com</t>
  </si>
  <si>
    <t xml:space="preserve">Ann Ladd</t>
  </si>
  <si>
    <t xml:space="preserve">Am Law 200 Minnesota firm</t>
  </si>
  <si>
    <t xml:space="preserve">https://en.wikipedia.org/wiki/Fredrikson_&amp;_Byron</t>
  </si>
  <si>
    <t xml:space="preserve">Frost Brown Todd</t>
  </si>
  <si>
    <t xml:space="preserve">frostbrowntodd.com</t>
  </si>
  <si>
    <t xml:space="preserve">Robert Sartin</t>
  </si>
  <si>
    <t xml:space="preserve">Am Law 200 Midwest firm; FY2024 est</t>
  </si>
  <si>
    <t xml:space="preserve">https://en.wikipedia.org/wiki/Frost_Brown_Todd</t>
  </si>
  <si>
    <t xml:space="preserve">Holland &amp; Hart</t>
  </si>
  <si>
    <t xml:space="preserve">hollandhart.com</t>
  </si>
  <si>
    <t xml:space="preserve">Chris Balch</t>
  </si>
  <si>
    <t xml:space="preserve">Am Law 200 Mountain West firm</t>
  </si>
  <si>
    <t xml:space="preserve">https://en.wikipedia.org/wiki/Holland_&amp;_Hart</t>
  </si>
  <si>
    <t xml:space="preserve">Ice Miller</t>
  </si>
  <si>
    <t xml:space="preserve">icemiller.com</t>
  </si>
  <si>
    <t xml:space="preserve">Judy Okenfuss</t>
  </si>
  <si>
    <t xml:space="preserve">Am Law 200; double-digit gains cited</t>
  </si>
  <si>
    <t xml:space="preserve">Irell &amp; Manella</t>
  </si>
  <si>
    <t xml:space="preserve">litigation boutique (Am Law 200)</t>
  </si>
  <si>
    <t xml:space="preserve">irell.com</t>
  </si>
  <si>
    <t xml:space="preserve">Ellisen Turner</t>
  </si>
  <si>
    <t xml:space="preserve">RPL $2.23M; PEP $4.1M</t>
  </si>
  <si>
    <t xml:space="preserve">Jones Walker</t>
  </si>
  <si>
    <t xml:space="preserve">joneswalker.com</t>
  </si>
  <si>
    <t xml:space="preserve">William Hines</t>
  </si>
  <si>
    <t xml:space="preserve">Am Law 200 Gulf South firm</t>
  </si>
  <si>
    <t xml:space="preserve">https://en.wikipedia.org/wiki/Jones_Walker</t>
  </si>
  <si>
    <t xml:space="preserve">Knobbe Martens</t>
  </si>
  <si>
    <t xml:space="preserve">IP law firm</t>
  </si>
  <si>
    <t xml:space="preserve">knobbe.com</t>
  </si>
  <si>
    <t xml:space="preserve">Steven Nataupsky</t>
  </si>
  <si>
    <t xml:space="preserve">Largest West Coast IP boutique</t>
  </si>
  <si>
    <t xml:space="preserve">https://en.wikipedia.org/wiki/Knobbe_Martens</t>
  </si>
  <si>
    <t xml:space="preserve">Kobre &amp; Kim</t>
  </si>
  <si>
    <t xml:space="preserve">kobrekim.com</t>
  </si>
  <si>
    <t xml:space="preserve">Michael Kim</t>
  </si>
  <si>
    <t xml:space="preserve">RPL $2.13M (highest in Second Hundred)</t>
  </si>
  <si>
    <t xml:space="preserve">Kutak Rock</t>
  </si>
  <si>
    <t xml:space="preserve">kutakrock.com</t>
  </si>
  <si>
    <t xml:space="preserve">David Karnes</t>
  </si>
  <si>
    <t xml:space="preserve">Am Law 200; public finance leader</t>
  </si>
  <si>
    <t xml:space="preserve">https://en.wikipedia.org/wiki/Kutak_Rock</t>
  </si>
  <si>
    <t xml:space="preserve">Lathrop GPM</t>
  </si>
  <si>
    <t xml:space="preserve">lathropgpm.com</t>
  </si>
  <si>
    <t xml:space="preserve">Cameron Garrison</t>
  </si>
  <si>
    <t xml:space="preserve">FY2025 revenue $263.3M (+31.3%)</t>
  </si>
  <si>
    <t xml:space="preserve">McCarter &amp; English</t>
  </si>
  <si>
    <t xml:space="preserve">Newark</t>
  </si>
  <si>
    <t xml:space="preserve">mccarter.com</t>
  </si>
  <si>
    <t xml:space="preserve">Joseph Boccassini</t>
  </si>
  <si>
    <t xml:space="preserve">Largest NJ-based firm</t>
  </si>
  <si>
    <t xml:space="preserve">https://en.wikipedia.org/wiki/McCarter_&amp;_English</t>
  </si>
  <si>
    <t xml:space="preserve">Munger Tolles &amp; Olson</t>
  </si>
  <si>
    <t xml:space="preserve">mto.com</t>
  </si>
  <si>
    <t xml:space="preserve">Hailyn Chen</t>
  </si>
  <si>
    <t xml:space="preserve">RPL $2.03M; PPP $3.1M (Am Law 200 2026)</t>
  </si>
  <si>
    <t xml:space="preserve">Patterson Belknap Webb &amp; Tyler</t>
  </si>
  <si>
    <t xml:space="preserve">pbwt.com</t>
  </si>
  <si>
    <t xml:space="preserve">Lisa Cleary</t>
  </si>
  <si>
    <t xml:space="preserve">Am Law 200; RPL top tier</t>
  </si>
  <si>
    <t xml:space="preserve">https://en.wikipedia.org/wiki/Patterson_Belknap_Webb_&amp;_Tyler</t>
  </si>
  <si>
    <t xml:space="preserve">Robins Kaplan</t>
  </si>
  <si>
    <t xml:space="preserve">robinskaplan.com</t>
  </si>
  <si>
    <t xml:space="preserve">Steven Schleicher</t>
  </si>
  <si>
    <t xml:space="preserve">FY2023 $288.7M (contingency-fee spike); FY2024 est</t>
  </si>
  <si>
    <t xml:space="preserve">Saul Ewing</t>
  </si>
  <si>
    <t xml:space="preserve">saul.com</t>
  </si>
  <si>
    <t xml:space="preserve">Jason St. John</t>
  </si>
  <si>
    <t xml:space="preserve">Am Law 200 Mid-Atlantic firm</t>
  </si>
  <si>
    <t xml:space="preserve">https://en.wikipedia.org/wiki/Saul_Ewing</t>
  </si>
  <si>
    <t xml:space="preserve">Snell &amp; Wilmer</t>
  </si>
  <si>
    <t xml:space="preserve">swlaw.com</t>
  </si>
  <si>
    <t xml:space="preserve">Matt Feeney</t>
  </si>
  <si>
    <t xml:space="preserve">Am Law 200 #109 (FY2025 $474M)</t>
  </si>
  <si>
    <t xml:space="preserve">Steptoe LLP</t>
  </si>
  <si>
    <t xml:space="preserve">steptoe.com</t>
  </si>
  <si>
    <t xml:space="preserve">Gwendolyn Renigar</t>
  </si>
  <si>
    <t xml:space="preserve">Am Law 200 #101 in 2022 ($434.6M); FY2024 est</t>
  </si>
  <si>
    <t xml:space="preserve">https://abovethelaw.com/2023/05/am-law-200-ranking/</t>
  </si>
  <si>
    <t xml:space="preserve">Stinson LLP</t>
  </si>
  <si>
    <t xml:space="preserve">stinson.com</t>
  </si>
  <si>
    <t xml:space="preserve">Allison Murdock</t>
  </si>
  <si>
    <t xml:space="preserve">FY2025 revenue $352.3M (+11.5%)</t>
  </si>
  <si>
    <t xml:space="preserve">Stoel Rives</t>
  </si>
  <si>
    <t xml:space="preserve">stoel.com</t>
  </si>
  <si>
    <t xml:space="preserve">Melissa Jones</t>
  </si>
  <si>
    <t xml:space="preserve">https://en.wikipedia.org/wiki/Stoel_Rives</t>
  </si>
  <si>
    <t xml:space="preserve">Susman Godfrey</t>
  </si>
  <si>
    <t xml:space="preserve">susmangodfrey.com</t>
  </si>
  <si>
    <t xml:space="preserve">Kalpana Srinivasan</t>
  </si>
  <si>
    <t xml:space="preserve">Contingency-fee litigation; revenue volatile</t>
  </si>
  <si>
    <t xml:space="preserve">Thompson Coburn</t>
  </si>
  <si>
    <t xml:space="preserve">thompsoncoburn.com</t>
  </si>
  <si>
    <t xml:space="preserve">Roman Wuller</t>
  </si>
  <si>
    <t xml:space="preserve">FY2025 revenue $305.7M</t>
  </si>
  <si>
    <t xml:space="preserve">Vedder Price</t>
  </si>
  <si>
    <t xml:space="preserve">vedderprice.com</t>
  </si>
  <si>
    <t xml:space="preserve">Junaid Zubairi</t>
  </si>
  <si>
    <t xml:space="preserve">Am Law 200 Chicago firm</t>
  </si>
  <si>
    <t xml:space="preserve">https://en.wikipedia.org/wiki/Vedder_Price</t>
  </si>
  <si>
    <t xml:space="preserve">Williams &amp; Connolly</t>
  </si>
  <si>
    <t xml:space="preserve">wc.com</t>
  </si>
  <si>
    <t xml:space="preserve">Jane Genster</t>
  </si>
  <si>
    <t xml:space="preserve">Am Law 200 litigation firm</t>
  </si>
  <si>
    <t xml:space="preserve">https://en.wikipedia.org/wiki/Williams_&amp;_Connolly</t>
  </si>
  <si>
    <t xml:space="preserve">Adams and Reese</t>
  </si>
  <si>
    <t xml:space="preserve">adamsandreese.com</t>
  </si>
  <si>
    <t xml:space="preserve">Gif Thornton</t>
  </si>
  <si>
    <t xml:space="preserve">FY2023 $159.7M (+15.9%); FY2024 est</t>
  </si>
  <si>
    <t xml:space="preserve">Armstrong Teasdale</t>
  </si>
  <si>
    <t xml:space="preserve">armstrongteasdale.com</t>
  </si>
  <si>
    <t xml:space="preserve">David Braswell</t>
  </si>
  <si>
    <t xml:space="preserve">FY2025 revenue $177.4M; Am Law 200 #160 in 2024</t>
  </si>
  <si>
    <t xml:space="preserve">Butler Snow</t>
  </si>
  <si>
    <t xml:space="preserve">butlersnow.com</t>
  </si>
  <si>
    <t xml:space="preserve">Christopher Maddux</t>
  </si>
  <si>
    <t xml:space="preserve">Am Law 200 Southeast firm</t>
  </si>
  <si>
    <t xml:space="preserve">https://en.wikipedia.org/wiki/Butler_Snow</t>
  </si>
  <si>
    <t xml:space="preserve">Day Pitney</t>
  </si>
  <si>
    <t xml:space="preserve">daypitney.com</t>
  </si>
  <si>
    <t xml:space="preserve">Gregory Hayes</t>
  </si>
  <si>
    <t xml:space="preserve">Am Law 200 Northeast firm</t>
  </si>
  <si>
    <t xml:space="preserve">https://en.wikipedia.org/wiki/Day_Pitney</t>
  </si>
  <si>
    <t xml:space="preserve">Freeman Mathis &amp; Gary</t>
  </si>
  <si>
    <t xml:space="preserve">fmglaw.com</t>
  </si>
  <si>
    <t xml:space="preserve">Ben Mathis</t>
  </si>
  <si>
    <t xml:space="preserve">Debuted Am Law 200 #192 in 2024</t>
  </si>
  <si>
    <t xml:space="preserve">Maynard Nexsen</t>
  </si>
  <si>
    <t xml:space="preserve">maynardnexsen.com</t>
  </si>
  <si>
    <t xml:space="preserve">Mark Drew</t>
  </si>
  <si>
    <t xml:space="preserve">2023 merger of Maynard Cooper and Nexsen Pruet</t>
  </si>
  <si>
    <t xml:space="preserve">https://en.wikipedia.org/wiki/Maynard_Nexsen</t>
  </si>
  <si>
    <t xml:space="preserve">Moore &amp; Van Allen</t>
  </si>
  <si>
    <t xml:space="preserve">mvalaw.com</t>
  </si>
  <si>
    <t xml:space="preserve">Tom Mitchell</t>
  </si>
  <si>
    <t xml:space="preserve">Carolinas regional firm</t>
  </si>
  <si>
    <t xml:space="preserve">https://en.wikipedia.org/wiki/Moore_&amp;_Van_Allen</t>
  </si>
  <si>
    <t xml:space="preserve">Morris Manning &amp; Martin</t>
  </si>
  <si>
    <t xml:space="preserve">mmmlaw.com</t>
  </si>
  <si>
    <t xml:space="preserve">Simon Malko</t>
  </si>
  <si>
    <t xml:space="preserve">Atlanta regional firm</t>
  </si>
  <si>
    <t xml:space="preserve">https://en.wikipedia.org/wiki/Morris,_Manning_&amp;_Martin</t>
  </si>
  <si>
    <t xml:space="preserve">Munsch Hardt Kopf &amp; Harr</t>
  </si>
  <si>
    <t xml:space="preserve">munsch.com</t>
  </si>
  <si>
    <t xml:space="preserve">Phil Appenzeller</t>
  </si>
  <si>
    <t xml:space="preserve">Revenue +16.7% in 2025</t>
  </si>
  <si>
    <t xml:space="preserve">https://www.law.com/pro-mid-market/2026/05/18/with-strong-demand-across-practices-revenue-grows-167-at-midsize-texas-law-firm-munsch-hardt/</t>
  </si>
  <si>
    <t xml:space="preserve">Smith Gambrell &amp; Russell</t>
  </si>
  <si>
    <t xml:space="preserve">sgrlaw.com</t>
  </si>
  <si>
    <t xml:space="preserve">Stephen Forte</t>
  </si>
  <si>
    <t xml:space="preserve">FY2023 $216M (+18.5%); absorbed Freeborn &amp; Peters</t>
  </si>
  <si>
    <t xml:space="preserve">UB Greensfelder</t>
  </si>
  <si>
    <t xml:space="preserve">ubglaw.com</t>
  </si>
  <si>
    <t xml:space="preserve">Scott Kadish</t>
  </si>
  <si>
    <t xml:space="preserve">FY2025 revenue $147.6M; Ulmer &amp; Berne + Greensfelder merger 2024</t>
  </si>
  <si>
    <t xml:space="preserve">Winstead PC</t>
  </si>
  <si>
    <t xml:space="preserve">winstead.com</t>
  </si>
  <si>
    <t xml:space="preserve">David Dawson</t>
  </si>
  <si>
    <t xml:space="preserve">Texas regional firm</t>
  </si>
  <si>
    <t xml:space="preserve">https://en.wikipedia.org/wiki/Winstead_PC</t>
  </si>
  <si>
    <t xml:space="preserve">Ariel Corporation</t>
  </si>
  <si>
    <t xml:space="preserve">reciprocating gas compressors</t>
  </si>
  <si>
    <t xml:space="preserve">Mount Vernon</t>
  </si>
  <si>
    <t xml:space="preserve">arielcorp.com</t>
  </si>
  <si>
    <t xml:space="preserve">Karen Buchwald Wright</t>
  </si>
  <si>
    <t xml:space="preserve">COO; CIO; VP Manufacturing; VP Engineering</t>
  </si>
  <si>
    <t xml:space="preserve">Revenue band estimate; world's largest separable compressor maker</t>
  </si>
  <si>
    <t xml:space="preserve">https://www.arielcorp.com/</t>
  </si>
  <si>
    <t xml:space="preserve">Ariens Company</t>
  </si>
  <si>
    <t xml:space="preserve">outdoor power equipment</t>
  </si>
  <si>
    <t xml:space="preserve">ariens.com</t>
  </si>
  <si>
    <t xml:space="preserve">Dan Ariens</t>
  </si>
  <si>
    <t xml:space="preserve">Revenue band estimate; family-owned since 1933</t>
  </si>
  <si>
    <t xml:space="preserve">https://www.ariens.com/</t>
  </si>
  <si>
    <t xml:space="preserve">Blue Bell Creameries</t>
  </si>
  <si>
    <t xml:space="preserve">ice cream</t>
  </si>
  <si>
    <t xml:space="preserve">Brenham</t>
  </si>
  <si>
    <t xml:space="preserve">bluebell.com</t>
  </si>
  <si>
    <t xml:space="preserve">Ricky Dickson</t>
  </si>
  <si>
    <t xml:space="preserve">https://en.wikipedia.org/wiki/Blue_Bell_Creameries</t>
  </si>
  <si>
    <t xml:space="preserve">Brakebush Brothers</t>
  </si>
  <si>
    <t xml:space="preserve">further-processed poultry</t>
  </si>
  <si>
    <t xml:space="preserve">Westfield</t>
  </si>
  <si>
    <t xml:space="preserve">brakebush.com</t>
  </si>
  <si>
    <t xml:space="preserve">COO; VP Operations; VP Supply Chain; Director of IT</t>
  </si>
  <si>
    <t xml:space="preserve">Deloitte Wisconsin 75 (2025) rank 31</t>
  </si>
  <si>
    <t xml:space="preserve">https://www.deloitte.com/content/dam/assets-zone3/us/en/docs/programs/2025/us-10123398-wisconsin-75-list-of-winners.pdf</t>
  </si>
  <si>
    <t xml:space="preserve">Case Farms</t>
  </si>
  <si>
    <t xml:space="preserve">poultry processing</t>
  </si>
  <si>
    <t xml:space="preserve">Troutman</t>
  </si>
  <si>
    <t xml:space="preserve">casefarms.com</t>
  </si>
  <si>
    <t xml:space="preserve">https://www.casefarms.com/</t>
  </si>
  <si>
    <t xml:space="preserve">Charlotte Pipe and Foundry</t>
  </si>
  <si>
    <t xml:space="preserve">cast iron &amp; plastic pipe</t>
  </si>
  <si>
    <t xml:space="preserve">charlottepipe.com</t>
  </si>
  <si>
    <t xml:space="preserve">COO; CIO; VP Operations; Plant Manager</t>
  </si>
  <si>
    <t xml:space="preserve">Revenue band estimate; new Oakboro foundry</t>
  </si>
  <si>
    <t xml:space="preserve">https://en.wikipedia.org/wiki/Charlotte_Pipe_and_Foundry_Company</t>
  </si>
  <si>
    <t xml:space="preserve">Fellowes Brands</t>
  </si>
  <si>
    <t xml:space="preserve">office products &amp; workspace solutions</t>
  </si>
  <si>
    <t xml:space="preserve">Itasca</t>
  </si>
  <si>
    <t xml:space="preserve">fellowes.com</t>
  </si>
  <si>
    <t xml:space="preserve">John Fellowes</t>
  </si>
  <si>
    <t xml:space="preserve">https://en.wikipedia.org/wiki/Fellowes_Brands</t>
  </si>
  <si>
    <t xml:space="preserve">GOJO Industries</t>
  </si>
  <si>
    <t xml:space="preserve">hand hygiene (Purell)</t>
  </si>
  <si>
    <t xml:space="preserve">gojo.com</t>
  </si>
  <si>
    <t xml:space="preserve">Carey Jaros</t>
  </si>
  <si>
    <t xml:space="preserve">Revenue band estimate; Crain's Cleveland private list</t>
  </si>
  <si>
    <t xml:space="preserve">https://en.wikipedia.org/wiki/Gojo_Industries</t>
  </si>
  <si>
    <t xml:space="preserve">Glen Raven</t>
  </si>
  <si>
    <t xml:space="preserve">performance fabrics (Sunbrella)</t>
  </si>
  <si>
    <t xml:space="preserve">glenraven.com</t>
  </si>
  <si>
    <t xml:space="preserve">Leib Oehmig</t>
  </si>
  <si>
    <t xml:space="preserve">https://en.wikipedia.org/wiki/Glen_Raven%2C_Inc.</t>
  </si>
  <si>
    <t xml:space="preserve">Gorman-Rupp</t>
  </si>
  <si>
    <t xml:space="preserve">pumps</t>
  </si>
  <si>
    <t xml:space="preserve">gormanrupp.com</t>
  </si>
  <si>
    <t xml:space="preserve">Scott King</t>
  </si>
  <si>
    <t xml:space="preserve">NYSE: GRC</t>
  </si>
  <si>
    <t xml:space="preserve">https://en.wikipedia.org/wiki/Gorman-Rupp_Company</t>
  </si>
  <si>
    <t xml:space="preserve">Griffith Foods</t>
  </si>
  <si>
    <t xml:space="preserve">food ingredients &amp; seasonings</t>
  </si>
  <si>
    <t xml:space="preserve">Alsip</t>
  </si>
  <si>
    <t xml:space="preserve">griffithfoods.com</t>
  </si>
  <si>
    <t xml:space="preserve">TC Chatterjee</t>
  </si>
  <si>
    <t xml:space="preserve">COO; CIO; VP Operations; VP R&amp;D</t>
  </si>
  <si>
    <t xml:space="preserve">https://en.wikipedia.org/wiki/Griffith_Foods</t>
  </si>
  <si>
    <t xml:space="preserve">HSM Solutions</t>
  </si>
  <si>
    <t xml:space="preserve">foam &amp; furniture components</t>
  </si>
  <si>
    <t xml:space="preserve">hsmsolutions.com</t>
  </si>
  <si>
    <t xml:space="preserve">Formerly Hickory Springs; revenue band estimate</t>
  </si>
  <si>
    <t xml:space="preserve">https://www.hsmsolutions.com/</t>
  </si>
  <si>
    <t xml:space="preserve">Hydrite Chemical</t>
  </si>
  <si>
    <t xml:space="preserve">specialty &amp; commodity chemicals</t>
  </si>
  <si>
    <t xml:space="preserve">hydrite.com</t>
  </si>
  <si>
    <t xml:space="preserve">John Honkamp</t>
  </si>
  <si>
    <t xml:space="preserve">Deloitte Wisconsin 75 (2025) rank 36</t>
  </si>
  <si>
    <t xml:space="preserve">KI (Krueger International)</t>
  </si>
  <si>
    <t xml:space="preserve">contract &amp; education furniture</t>
  </si>
  <si>
    <t xml:space="preserve">ki.com</t>
  </si>
  <si>
    <t xml:space="preserve">Brian Krenke</t>
  </si>
  <si>
    <t xml:space="preserve">COO; CIO; VP Operations; VP Manufacturing</t>
  </si>
  <si>
    <t xml:space="preserve">Deloitte Wisconsin 75 (2025) rank 38</t>
  </si>
  <si>
    <t xml:space="preserve">Kalmbach Feeds</t>
  </si>
  <si>
    <t xml:space="preserve">animal nutrition</t>
  </si>
  <si>
    <t xml:space="preserve">Upper Sandusky</t>
  </si>
  <si>
    <t xml:space="preserve">kalmbachfeeds.com</t>
  </si>
  <si>
    <t xml:space="preserve">Paul Kalmbach</t>
  </si>
  <si>
    <t xml:space="preserve">https://www.kalmbachfeeds.com/</t>
  </si>
  <si>
    <t xml:space="preserve">Klein Tools</t>
  </si>
  <si>
    <t xml:space="preserve">hand tools</t>
  </si>
  <si>
    <t xml:space="preserve">Lincolnshire</t>
  </si>
  <si>
    <t xml:space="preserve">kleintools.com</t>
  </si>
  <si>
    <t xml:space="preserve">https://en.wikipedia.org/wiki/Klein_Tools</t>
  </si>
  <si>
    <t xml:space="preserve">Knapheide Manufacturing</t>
  </si>
  <si>
    <t xml:space="preserve">truck bodies &amp; upfits</t>
  </si>
  <si>
    <t xml:space="preserve">knapheide.com</t>
  </si>
  <si>
    <t xml:space="preserve">Bo Knapheide</t>
  </si>
  <si>
    <t xml:space="preserve">COO; CIO; VP Manufacturing; VP Operations</t>
  </si>
  <si>
    <t xml:space="preserve">https://en.wikipedia.org/wiki/Knapheide_Manufacturing_Company</t>
  </si>
  <si>
    <t xml:space="preserve">L.B. Foster</t>
  </si>
  <si>
    <t xml:space="preserve">rail &amp; infrastructure products</t>
  </si>
  <si>
    <t xml:space="preserve">lbfoster.com</t>
  </si>
  <si>
    <t xml:space="preserve">John Kasel</t>
  </si>
  <si>
    <t xml:space="preserve">COO; CIO; VP Operations; VP Rail Technologies</t>
  </si>
  <si>
    <t xml:space="preserve">NASDAQ: FSTR</t>
  </si>
  <si>
    <t xml:space="preserve">https://en.wikipedia.org/wiki/L.B._Foster_Company</t>
  </si>
  <si>
    <t xml:space="preserve">Lacks Enterprises</t>
  </si>
  <si>
    <t xml:space="preserve">automotive wheels &amp; decorative trim</t>
  </si>
  <si>
    <t xml:space="preserve">lacksenterprises.com</t>
  </si>
  <si>
    <t xml:space="preserve">COO; CIO; VP Operations; VP Quality</t>
  </si>
  <si>
    <t xml:space="preserve">Revenue band estimate based on headcount</t>
  </si>
  <si>
    <t xml:space="preserve">https://www.lacksenterprises.com/</t>
  </si>
  <si>
    <t xml:space="preserve">Lakeside Foods</t>
  </si>
  <si>
    <t xml:space="preserve">frozen &amp; canned vegetables</t>
  </si>
  <si>
    <t xml:space="preserve">Manitowoc</t>
  </si>
  <si>
    <t xml:space="preserve">lakesidefoods.com</t>
  </si>
  <si>
    <t xml:space="preserve">Joe Yanda</t>
  </si>
  <si>
    <t xml:space="preserve">Deloitte Wisconsin 75 (2025) rank 45</t>
  </si>
  <si>
    <t xml:space="preserve">Masters Gallery Foods</t>
  </si>
  <si>
    <t xml:space="preserve">cheese processing &amp; packaging</t>
  </si>
  <si>
    <t xml:space="preserve">mastersgalleryfoods.com</t>
  </si>
  <si>
    <t xml:space="preserve">Jeff Gentine</t>
  </si>
  <si>
    <t xml:space="preserve">Deloitte Wisconsin 75 (2025) rank 22</t>
  </si>
  <si>
    <t xml:space="preserve">Mazzella Companies</t>
  </si>
  <si>
    <t xml:space="preserve">lifting &amp; rigging products</t>
  </si>
  <si>
    <t xml:space="preserve">mazzellacompanies.com</t>
  </si>
  <si>
    <t xml:space="preserve">Tony Mazzella</t>
  </si>
  <si>
    <t xml:space="preserve">Manufactures slings and cranes; also distribution</t>
  </si>
  <si>
    <t xml:space="preserve">https://www.mazzellacompanies.com/</t>
  </si>
  <si>
    <t xml:space="preserve">Myers Industries</t>
  </si>
  <si>
    <t xml:space="preserve">polymer products &amp; material handling</t>
  </si>
  <si>
    <t xml:space="preserve">myersindustries.com</t>
  </si>
  <si>
    <t xml:space="preserve">Aaron Schapper</t>
  </si>
  <si>
    <t xml:space="preserve">NYSE: MYE; Focused Transformation program</t>
  </si>
  <si>
    <t xml:space="preserve">https://en.wikipedia.org/wiki/Myers_Industries</t>
  </si>
  <si>
    <t xml:space="preserve">NYX Inc</t>
  </si>
  <si>
    <t xml:space="preserve">automotive interior plastic components</t>
  </si>
  <si>
    <t xml:space="preserve">nyxinc.com</t>
  </si>
  <si>
    <t xml:space="preserve">Jatinder-Bir Sandhu</t>
  </si>
  <si>
    <t xml:space="preserve">COO; CIO; VP Operations; VP Program Management</t>
  </si>
  <si>
    <t xml:space="preserve">Founder-led Tier 1 with plants in MI and Mexico</t>
  </si>
  <si>
    <t xml:space="preserve">https://data.crainsdetroit.com/files/view/s3/4/list-files/172/2026/2026%20CDB%20Largest%20Private%20Companies%201-200.pdf</t>
  </si>
  <si>
    <t xml:space="preserve">Oatey Co</t>
  </si>
  <si>
    <t xml:space="preserve">plumbing products</t>
  </si>
  <si>
    <t xml:space="preserve">oatey.com</t>
  </si>
  <si>
    <t xml:space="preserve">Neal Restivo</t>
  </si>
  <si>
    <t xml:space="preserve">Revenue band estimate based on Crain's Cleveland listing</t>
  </si>
  <si>
    <t xml:space="preserve">https://www.oatey.com/</t>
  </si>
  <si>
    <t xml:space="preserve">PennEngineering</t>
  </si>
  <si>
    <t xml:space="preserve">fasteners (PEM)</t>
  </si>
  <si>
    <t xml:space="preserve">Danboro</t>
  </si>
  <si>
    <t xml:space="preserve">pemnet.com</t>
  </si>
  <si>
    <t xml:space="preserve">Revenue band estimate; global fastener maker</t>
  </si>
  <si>
    <t xml:space="preserve">https://www.pemnet.com/</t>
  </si>
  <si>
    <t xml:space="preserve">Poly-America</t>
  </si>
  <si>
    <t xml:space="preserve">polyethylene film &amp; bags</t>
  </si>
  <si>
    <t xml:space="preserve">Grand Prairie</t>
  </si>
  <si>
    <t xml:space="preserve">poly-america.com</t>
  </si>
  <si>
    <t xml:space="preserve">https://www.poly-america.com/</t>
  </si>
  <si>
    <t xml:space="preserve">Prestage Farms</t>
  </si>
  <si>
    <t xml:space="preserve">pork &amp; turkey production</t>
  </si>
  <si>
    <t xml:space="preserve">Clinton</t>
  </si>
  <si>
    <t xml:space="preserve">prestagefarms.com</t>
  </si>
  <si>
    <t xml:space="preserve">John Prestage</t>
  </si>
  <si>
    <t xml:space="preserve">Revenue band estimate; Iowa pork plant</t>
  </si>
  <si>
    <t xml:space="preserve">https://www.prestagefarms.com/</t>
  </si>
  <si>
    <t xml:space="preserve">Pretium Packaging</t>
  </si>
  <si>
    <t xml:space="preserve">rigid plastic packaging</t>
  </si>
  <si>
    <t xml:space="preserve">Chesterfield</t>
  </si>
  <si>
    <t xml:space="preserve">pretiumpkg.com</t>
  </si>
  <si>
    <t xml:space="preserve">Paul Kayser</t>
  </si>
  <si>
    <t xml:space="preserve">https://www.pretiumpkg.com/</t>
  </si>
  <si>
    <t xml:space="preserve">Shape Corp</t>
  </si>
  <si>
    <t xml:space="preserve">roll-formed automotive structural components</t>
  </si>
  <si>
    <t xml:space="preserve">Grand Haven</t>
  </si>
  <si>
    <t xml:space="preserve">shapecorp.com</t>
  </si>
  <si>
    <t xml:space="preserve">Mark White</t>
  </si>
  <si>
    <t xml:space="preserve">Revenue band is an estimate based on plant footprint and headcount</t>
  </si>
  <si>
    <t xml:space="preserve">https://www.shapecorp.com/about/</t>
  </si>
  <si>
    <t xml:space="preserve">Shurtape Technologies</t>
  </si>
  <si>
    <t xml:space="preserve">adhesive tapes</t>
  </si>
  <si>
    <t xml:space="preserve">shurtape.com</t>
  </si>
  <si>
    <t xml:space="preserve">Stephen Shuford</t>
  </si>
  <si>
    <t xml:space="preserve">Owns Duck Tape brand; revenue band estimate</t>
  </si>
  <si>
    <t xml:space="preserve">https://www.shurtape.com/</t>
  </si>
  <si>
    <t xml:space="preserve">Sloan Valve</t>
  </si>
  <si>
    <t xml:space="preserve">commercial plumbing products</t>
  </si>
  <si>
    <t xml:space="preserve">Franklin Park</t>
  </si>
  <si>
    <t xml:space="preserve">sloan.com</t>
  </si>
  <si>
    <t xml:space="preserve">https://en.wikipedia.org/wiki/Sloan_Valve_Company</t>
  </si>
  <si>
    <t xml:space="preserve">Standard Textile</t>
  </si>
  <si>
    <t xml:space="preserve">institutional textiles</t>
  </si>
  <si>
    <t xml:space="preserve">standardtextile.com</t>
  </si>
  <si>
    <t xml:space="preserve">Gary Heiman</t>
  </si>
  <si>
    <t xml:space="preserve">Vertically integrated healthcare and hospitality textiles</t>
  </si>
  <si>
    <t xml:space="preserve">https://www.standardtextile.com/</t>
  </si>
  <si>
    <t xml:space="preserve">Stoughton Trailers</t>
  </si>
  <si>
    <t xml:space="preserve">semi-trailers &amp; intermodal chassis</t>
  </si>
  <si>
    <t xml:space="preserve">Stoughton</t>
  </si>
  <si>
    <t xml:space="preserve">stoughtontrailers.com</t>
  </si>
  <si>
    <t xml:space="preserve">Bob Wahlin</t>
  </si>
  <si>
    <t xml:space="preserve">COO; CIO; VP Manufacturing; VP Supply Chain</t>
  </si>
  <si>
    <t xml:space="preserve">Deloitte Wisconsin 75 (2025) rank 46</t>
  </si>
  <si>
    <t xml:space="preserve">TAIT</t>
  </si>
  <si>
    <t xml:space="preserve">live-entertainment staging &amp; automation</t>
  </si>
  <si>
    <t xml:space="preserve">Lititz</t>
  </si>
  <si>
    <t xml:space="preserve">taittowers.com</t>
  </si>
  <si>
    <t xml:space="preserve">Providence Equity Partners</t>
  </si>
  <si>
    <t xml:space="preserve">Adam Davis</t>
  </si>
  <si>
    <t xml:space="preserve">Providence Equity invested 2019</t>
  </si>
  <si>
    <t xml:space="preserve">https://www.taittowers.com/</t>
  </si>
  <si>
    <t xml:space="preserve">ThermoSafe</t>
  </si>
  <si>
    <t xml:space="preserve">temperature-controlled packaging</t>
  </si>
  <si>
    <t xml:space="preserve">Arlington Heights</t>
  </si>
  <si>
    <t xml:space="preserve">thermosafe.com</t>
  </si>
  <si>
    <t xml:space="preserve">Arsenal Capital Partners</t>
  </si>
  <si>
    <t xml:space="preserve">Revenue per CT Acquisitions PE roll-up tracker</t>
  </si>
  <si>
    <t xml:space="preserve">https://ctacquisitions.com/manufacturing-pe-rollup-tracker-2026/</t>
  </si>
  <si>
    <t xml:space="preserve">Unifi</t>
  </si>
  <si>
    <t xml:space="preserve">synthetic yarns (REPREVE)</t>
  </si>
  <si>
    <t xml:space="preserve">unifi.com</t>
  </si>
  <si>
    <t xml:space="preserve">Eddie Ingle</t>
  </si>
  <si>
    <t xml:space="preserve">NYSE: UFI</t>
  </si>
  <si>
    <t xml:space="preserve">https://en.wikipedia.org/wiki/Unifi_(company)</t>
  </si>
  <si>
    <t xml:space="preserve">Ampco-Pittsburgh</t>
  </si>
  <si>
    <t xml:space="preserve">forged rolls &amp; air handling</t>
  </si>
  <si>
    <t xml:space="preserve">Carnegie</t>
  </si>
  <si>
    <t xml:space="preserve">ampcopgh.com</t>
  </si>
  <si>
    <t xml:space="preserve">Brett McBrayer</t>
  </si>
  <si>
    <t xml:space="preserve">NYSE: AP</t>
  </si>
  <si>
    <t xml:space="preserve">https://en.wikipedia.org/wiki/Ampco-Pittsburgh</t>
  </si>
  <si>
    <t xml:space="preserve">Bemis Manufacturing</t>
  </si>
  <si>
    <t xml:space="preserve">plastics &amp; toilet seats contract manufacturing</t>
  </si>
  <si>
    <t xml:space="preserve">Sheboygan Falls</t>
  </si>
  <si>
    <t xml:space="preserve">bemismfg.com</t>
  </si>
  <si>
    <t xml:space="preserve">COO; VP Operations; VP Engineering; Director of IT</t>
  </si>
  <si>
    <t xml:space="preserve">https://www.bemismfg.com/</t>
  </si>
  <si>
    <t xml:space="preserve">Bernhardt Furniture</t>
  </si>
  <si>
    <t xml:space="preserve">residential &amp; contract furniture</t>
  </si>
  <si>
    <t xml:space="preserve">Lenoir</t>
  </si>
  <si>
    <t xml:space="preserve">bernhardt.com</t>
  </si>
  <si>
    <t xml:space="preserve">Alex Bernhardt Jr.</t>
  </si>
  <si>
    <t xml:space="preserve">https://www.bernhardt.com/</t>
  </si>
  <si>
    <t xml:space="preserve">Brentwood Industries</t>
  </si>
  <si>
    <t xml:space="preserve">engineered plastics &amp; water treatment media</t>
  </si>
  <si>
    <t xml:space="preserve">brentwoodindustries.com</t>
  </si>
  <si>
    <t xml:space="preserve">https://www.brentwoodindustries.com/</t>
  </si>
  <si>
    <t xml:space="preserve">Cascade Engineering</t>
  </si>
  <si>
    <t xml:space="preserve">large-part plastic injection molding</t>
  </si>
  <si>
    <t xml:space="preserve">cascadeng.com</t>
  </si>
  <si>
    <t xml:space="preserve">Christina Keller</t>
  </si>
  <si>
    <t xml:space="preserve">COO; CIO; VP Operations; VP Continuous Improvement</t>
  </si>
  <si>
    <t xml:space="preserve">Certified B Corp; automotive and waste container molding</t>
  </si>
  <si>
    <t xml:space="preserve">https://www.cascadeng.com/</t>
  </si>
  <si>
    <t xml:space="preserve">Ennis Inc</t>
  </si>
  <si>
    <t xml:space="preserve">printed business products</t>
  </si>
  <si>
    <t xml:space="preserve">Midlothian</t>
  </si>
  <si>
    <t xml:space="preserve">ennis.com</t>
  </si>
  <si>
    <t xml:space="preserve">Keith Walters</t>
  </si>
  <si>
    <t xml:space="preserve">NYSE: EBF</t>
  </si>
  <si>
    <t xml:space="preserve">https://en.wikipedia.org/wiki/Ennis%2C_Inc.</t>
  </si>
  <si>
    <t xml:space="preserve">Eriez Manufacturing</t>
  </si>
  <si>
    <t xml:space="preserve">magnetic separation &amp; vibratory equipment</t>
  </si>
  <si>
    <t xml:space="preserve">Erie</t>
  </si>
  <si>
    <t xml:space="preserve">eriez.com</t>
  </si>
  <si>
    <t xml:space="preserve">Lukas Guenthardt</t>
  </si>
  <si>
    <t xml:space="preserve">https://www.eriez.com/</t>
  </si>
  <si>
    <t xml:space="preserve">Flexco</t>
  </si>
  <si>
    <t xml:space="preserve">conveyor belt fasteners &amp; products</t>
  </si>
  <si>
    <t xml:space="preserve">flexco.com</t>
  </si>
  <si>
    <t xml:space="preserve">Flexible Steel Lacing Company; revenue band estimate</t>
  </si>
  <si>
    <t xml:space="preserve">https://www.flexco.com/</t>
  </si>
  <si>
    <t xml:space="preserve">Hanover Foods</t>
  </si>
  <si>
    <t xml:space="preserve">canned &amp; frozen vegetables</t>
  </si>
  <si>
    <t xml:space="preserve">Hanover</t>
  </si>
  <si>
    <t xml:space="preserve">hanoverfoods.com</t>
  </si>
  <si>
    <t xml:space="preserve">John Warehime</t>
  </si>
  <si>
    <t xml:space="preserve">https://en.wikipedia.org/wiki/Hanover_Foods</t>
  </si>
  <si>
    <t xml:space="preserve">Herr Foods</t>
  </si>
  <si>
    <t xml:space="preserve">snack foods</t>
  </si>
  <si>
    <t xml:space="preserve">Nottingham</t>
  </si>
  <si>
    <t xml:space="preserve">herrs.com</t>
  </si>
  <si>
    <t xml:space="preserve">Ed Herr</t>
  </si>
  <si>
    <t xml:space="preserve">https://en.wikipedia.org/wiki/Herr%27s</t>
  </si>
  <si>
    <t xml:space="preserve">Hoffmaster Group</t>
  </si>
  <si>
    <t xml:space="preserve">disposable tableware &amp; napkins</t>
  </si>
  <si>
    <t xml:space="preserve">Oshkosh</t>
  </si>
  <si>
    <t xml:space="preserve">hoffmaster.com</t>
  </si>
  <si>
    <t xml:space="preserve">Wellspring Capital Management</t>
  </si>
  <si>
    <t xml:space="preserve">Andy Romjue</t>
  </si>
  <si>
    <t xml:space="preserve">PE-owned since 2018</t>
  </si>
  <si>
    <t xml:space="preserve">https://www.hoffmaster.com/</t>
  </si>
  <si>
    <t xml:space="preserve">Husco</t>
  </si>
  <si>
    <t xml:space="preserve">hydraulic &amp; electromechanical components</t>
  </si>
  <si>
    <t xml:space="preserve">Waukesha</t>
  </si>
  <si>
    <t xml:space="preserve">husco.com</t>
  </si>
  <si>
    <t xml:space="preserve">Austin Ramirez</t>
  </si>
  <si>
    <t xml:space="preserve">Deloitte Wisconsin 75 (2025) rank 50</t>
  </si>
  <si>
    <t xml:space="preserve">Hussey Copper</t>
  </si>
  <si>
    <t xml:space="preserve">copper bar &amp; sheet</t>
  </si>
  <si>
    <t xml:space="preserve">Leetsdale</t>
  </si>
  <si>
    <t xml:space="preserve">husseycopper.com</t>
  </si>
  <si>
    <t xml:space="preserve">President; COO; VP Operations; Plant Manager</t>
  </si>
  <si>
    <t xml:space="preserve">Revenue band estimate driven by copper pricing</t>
  </si>
  <si>
    <t xml:space="preserve">https://www.husseycopper.com/</t>
  </si>
  <si>
    <t xml:space="preserve">Martin's Famous Pastry Shoppe</t>
  </si>
  <si>
    <t xml:space="preserve">bakery (potato rolls)</t>
  </si>
  <si>
    <t xml:space="preserve">Chambersburg</t>
  </si>
  <si>
    <t xml:space="preserve">potatorolls.com</t>
  </si>
  <si>
    <t xml:space="preserve">Tony Martin</t>
  </si>
  <si>
    <t xml:space="preserve">https://potatorolls.com/</t>
  </si>
  <si>
    <t xml:space="preserve">Meyer Tool</t>
  </si>
  <si>
    <t xml:space="preserve">aerospace precision machining</t>
  </si>
  <si>
    <t xml:space="preserve">meyertool.com</t>
  </si>
  <si>
    <t xml:space="preserve">Beau Easton</t>
  </si>
  <si>
    <t xml:space="preserve">Hot-section turbine components; revenue band estimate</t>
  </si>
  <si>
    <t xml:space="preserve">https://www.meyertool.com/</t>
  </si>
  <si>
    <t xml:space="preserve">Palermo Villa</t>
  </si>
  <si>
    <t xml:space="preserve">frozen pizza</t>
  </si>
  <si>
    <t xml:space="preserve">palermospizza.com</t>
  </si>
  <si>
    <t xml:space="preserve">Giacomo Fallucca</t>
  </si>
  <si>
    <t xml:space="preserve">Deloitte Wisconsin 75 (2025) rank 42; private label and branded</t>
  </si>
  <si>
    <t xml:space="preserve">Pridgeon &amp; Clay</t>
  </si>
  <si>
    <t xml:space="preserve">precision metal stampings &amp; fine blanking</t>
  </si>
  <si>
    <t xml:space="preserve">pridgeonandclay.com</t>
  </si>
  <si>
    <t xml:space="preserve">https://www.pridgeonandclay.com/</t>
  </si>
  <si>
    <t xml:space="preserve">Request Foods</t>
  </si>
  <si>
    <t xml:space="preserve">frozen entree contract manufacturer</t>
  </si>
  <si>
    <t xml:space="preserve">Holland</t>
  </si>
  <si>
    <t xml:space="preserve">requestfoods.com</t>
  </si>
  <si>
    <t xml:space="preserve">Steve DeWitt</t>
  </si>
  <si>
    <t xml:space="preserve">Co-manufacturer for national food brands</t>
  </si>
  <si>
    <t xml:space="preserve">https://www.requestfoods.com/</t>
  </si>
  <si>
    <t xml:space="preserve">Resource Label Group</t>
  </si>
  <si>
    <t xml:space="preserve">pressure-sensitive labels</t>
  </si>
  <si>
    <t xml:space="preserve">Franklin</t>
  </si>
  <si>
    <t xml:space="preserve">resourcelabel.com</t>
  </si>
  <si>
    <t xml:space="preserve">Revenue band estimate; 25+ plants</t>
  </si>
  <si>
    <t xml:space="preserve">https://www.resourcelabel.com/</t>
  </si>
  <si>
    <t xml:space="preserve">Sauder Woodworking</t>
  </si>
  <si>
    <t xml:space="preserve">ready-to-assemble furniture</t>
  </si>
  <si>
    <t xml:space="preserve">Archbold</t>
  </si>
  <si>
    <t xml:space="preserve">sauder.com</t>
  </si>
  <si>
    <t xml:space="preserve">Kevin Sauder</t>
  </si>
  <si>
    <t xml:space="preserve">Largest US RTA furniture maker</t>
  </si>
  <si>
    <t xml:space="preserve">https://en.wikipedia.org/wiki/Sauder_Woodworking</t>
  </si>
  <si>
    <t xml:space="preserve">Stella &amp; Chewy's</t>
  </si>
  <si>
    <t xml:space="preserve">premium pet food</t>
  </si>
  <si>
    <t xml:space="preserve">Oak Creek</t>
  </si>
  <si>
    <t xml:space="preserve">stellaandchewys.com</t>
  </si>
  <si>
    <t xml:space="preserve">Deloitte Wisconsin 75 (2025) rank 67</t>
  </si>
  <si>
    <t xml:space="preserve">Therm-O-Disc</t>
  </si>
  <si>
    <t xml:space="preserve">thermal sensors &amp; controls</t>
  </si>
  <si>
    <t xml:space="preserve">thermodisc.com</t>
  </si>
  <si>
    <t xml:space="preserve">One Rock Capital Partners</t>
  </si>
  <si>
    <t xml:space="preserve">Carved out from Emerson in 2022</t>
  </si>
  <si>
    <t xml:space="preserve">https://www.thermodisc.com/</t>
  </si>
  <si>
    <t xml:space="preserve">Time Manufacturing (Versalift)</t>
  </si>
  <si>
    <t xml:space="preserve">aerial lifts &amp; bucket trucks</t>
  </si>
  <si>
    <t xml:space="preserve">versalift.com</t>
  </si>
  <si>
    <t xml:space="preserve">Curt Howell</t>
  </si>
  <si>
    <t xml:space="preserve">H.I.G. acquired 2021; revenue band estimate</t>
  </si>
  <si>
    <t xml:space="preserve">https://www.versalift.com/</t>
  </si>
  <si>
    <t xml:space="preserve">Verus Aerospace</t>
  </si>
  <si>
    <t xml:space="preserve">verusaero.com</t>
  </si>
  <si>
    <t xml:space="preserve">Arlington Capital Partners</t>
  </si>
  <si>
    <t xml:space="preserve">PE roll-up platform; revenue band estimate</t>
  </si>
  <si>
    <t xml:space="preserve">Vitamix</t>
  </si>
  <si>
    <t xml:space="preserve">high-performance blenders</t>
  </si>
  <si>
    <t xml:space="preserve">Olmsted Township</t>
  </si>
  <si>
    <t xml:space="preserve">vitamix.com</t>
  </si>
  <si>
    <t xml:space="preserve">Steve Laserson</t>
  </si>
  <si>
    <t xml:space="preserve">Fourth-generation Barnard family company</t>
  </si>
  <si>
    <t xml:space="preserve">https://en.wikipedia.org/wiki/Vitamix</t>
  </si>
  <si>
    <t xml:space="preserve">Wahl Clipper</t>
  </si>
  <si>
    <t xml:space="preserve">grooming appliances</t>
  </si>
  <si>
    <t xml:space="preserve">wahlusa.com</t>
  </si>
  <si>
    <t xml:space="preserve">Greg Wahl</t>
  </si>
  <si>
    <t xml:space="preserve">https://en.wikipedia.org/wiki/Wahl_Clipper</t>
  </si>
  <si>
    <t xml:space="preserve">American Leather</t>
  </si>
  <si>
    <t xml:space="preserve">upholstered furniture</t>
  </si>
  <si>
    <t xml:space="preserve">americanleather.com</t>
  </si>
  <si>
    <t xml:space="preserve">Veronica Schnitzius</t>
  </si>
  <si>
    <t xml:space="preserve">Dallas Business Journal North Texas manufacturers list</t>
  </si>
  <si>
    <t xml:space="preserve">https://stately.com/wp-content/uploads/2024/08/Manufacturers-in-North-Texas-Dallas-Business-Journal.pdf</t>
  </si>
  <si>
    <t xml:space="preserve">Astronautics Corporation of America</t>
  </si>
  <si>
    <t xml:space="preserve">avionics &amp; cockpit displays</t>
  </si>
  <si>
    <t xml:space="preserve">astronautics.com</t>
  </si>
  <si>
    <t xml:space="preserve">Chad Cundiff</t>
  </si>
  <si>
    <t xml:space="preserve">COO; CIO; VP Engineering; VP Operations</t>
  </si>
  <si>
    <t xml:space="preserve">Deloitte Wisconsin 75 (2025) rank 73</t>
  </si>
  <si>
    <t xml:space="preserve">Bettcher Industries</t>
  </si>
  <si>
    <t xml:space="preserve">food processing equipment &amp; tools</t>
  </si>
  <si>
    <t xml:space="preserve">bettcher.com</t>
  </si>
  <si>
    <t xml:space="preserve">Kristin Nugent</t>
  </si>
  <si>
    <t xml:space="preserve">KKR acquired 2021 from MPE Partners</t>
  </si>
  <si>
    <t xml:space="preserve">https://www.bettcher.com/</t>
  </si>
  <si>
    <t xml:space="preserve">Chelsea Milling Company</t>
  </si>
  <si>
    <t xml:space="preserve">baking mixes (JIFFY)</t>
  </si>
  <si>
    <t xml:space="preserve">Chelsea</t>
  </si>
  <si>
    <t xml:space="preserve">jiffymix.com</t>
  </si>
  <si>
    <t xml:space="preserve">Howdy Holmes</t>
  </si>
  <si>
    <t xml:space="preserve">Fourth-generation family food manufacturer</t>
  </si>
  <si>
    <t xml:space="preserve">E.W. Grobbel Sons</t>
  </si>
  <si>
    <t xml:space="preserve">meat processing (corned beef)</t>
  </si>
  <si>
    <t xml:space="preserve">grobbel.com</t>
  </si>
  <si>
    <t xml:space="preserve">Jason Grobbel</t>
  </si>
  <si>
    <t xml:space="preserve">President; COO; VP Operations</t>
  </si>
  <si>
    <t xml:space="preserve">Oldest corned beef producer in the US</t>
  </si>
  <si>
    <t xml:space="preserve">Freedman Seating</t>
  </si>
  <si>
    <t xml:space="preserve">transit &amp; bus seating</t>
  </si>
  <si>
    <t xml:space="preserve">freedmanseating.com</t>
  </si>
  <si>
    <t xml:space="preserve">Craig Freedman</t>
  </si>
  <si>
    <t xml:space="preserve">President; COO; VP Operations; Director of IT</t>
  </si>
  <si>
    <t xml:space="preserve">https://www.freedmanseating.com/</t>
  </si>
  <si>
    <t xml:space="preserve">Grady-White Boats</t>
  </si>
  <si>
    <t xml:space="preserve">offshore fishing boats</t>
  </si>
  <si>
    <t xml:space="preserve">gradywhite.com</t>
  </si>
  <si>
    <t xml:space="preserve">Kris Carroll</t>
  </si>
  <si>
    <t xml:space="preserve">https://en.wikipedia.org/wiki/Grady-White_Boats</t>
  </si>
  <si>
    <t xml:space="preserve">Hatch Stamping Company</t>
  </si>
  <si>
    <t xml:space="preserve">metal stampings &amp; welded assemblies</t>
  </si>
  <si>
    <t xml:space="preserve">hatchstamping.com</t>
  </si>
  <si>
    <t xml:space="preserve">Daniel Craig</t>
  </si>
  <si>
    <t xml:space="preserve">President; COO; VP Operations; Director of Quality</t>
  </si>
  <si>
    <t xml:space="preserve">Multi-plant stamper serving OEMs and Tier 1s</t>
  </si>
  <si>
    <t xml:space="preserve">Inpro Corporation</t>
  </si>
  <si>
    <t xml:space="preserve">architectural interior protection products</t>
  </si>
  <si>
    <t xml:space="preserve">Muskego</t>
  </si>
  <si>
    <t xml:space="preserve">inprocorp.com</t>
  </si>
  <si>
    <t xml:space="preserve">COO; VP Operations; VP Sales; Director of IT</t>
  </si>
  <si>
    <t xml:space="preserve">Deloitte Wisconsin 75 (2025) rank 75</t>
  </si>
  <si>
    <t xml:space="preserve">International Extrusions</t>
  </si>
  <si>
    <t xml:space="preserve">aluminum extrusions</t>
  </si>
  <si>
    <t xml:space="preserve">intlextrusions.com</t>
  </si>
  <si>
    <t xml:space="preserve">Nicholas Noecker</t>
  </si>
  <si>
    <t xml:space="preserve">President; VP Operations; Plant Manager</t>
  </si>
  <si>
    <t xml:space="preserve">Crain's Detroit Private 200 (2026)</t>
  </si>
  <si>
    <t xml:space="preserve">JWF Industries</t>
  </si>
  <si>
    <t xml:space="preserve">metal fabrication &amp; defense assemblies</t>
  </si>
  <si>
    <t xml:space="preserve">Johnstown</t>
  </si>
  <si>
    <t xml:space="preserve">jwfindustries.com</t>
  </si>
  <si>
    <t xml:space="preserve">Bill Polacek</t>
  </si>
  <si>
    <t xml:space="preserve">https://www.jwfindustries.com/</t>
  </si>
  <si>
    <t xml:space="preserve">Just Born</t>
  </si>
  <si>
    <t xml:space="preserve">confectionery (Peeps)</t>
  </si>
  <si>
    <t xml:space="preserve">Bethlehem</t>
  </si>
  <si>
    <t xml:space="preserve">justborn.com</t>
  </si>
  <si>
    <t xml:space="preserve">Ross Born</t>
  </si>
  <si>
    <t xml:space="preserve">Third-generation family candy maker</t>
  </si>
  <si>
    <t xml:space="preserve">https://en.wikipedia.org/wiki/Just_Born</t>
  </si>
  <si>
    <t xml:space="preserve">Kewaunee Scientific</t>
  </si>
  <si>
    <t xml:space="preserve">laboratory furniture &amp; fume hoods</t>
  </si>
  <si>
    <t xml:space="preserve">Statesville</t>
  </si>
  <si>
    <t xml:space="preserve">kewaunee.com</t>
  </si>
  <si>
    <t xml:space="preserve">Thomas Hull</t>
  </si>
  <si>
    <t xml:space="preserve">NASDAQ: KEQU</t>
  </si>
  <si>
    <t xml:space="preserve">https://en.wikipedia.org/wiki/Kewaunee_Scientific</t>
  </si>
  <si>
    <t xml:space="preserve">Michelman</t>
  </si>
  <si>
    <t xml:space="preserve">specialty coatings &amp; chemicals</t>
  </si>
  <si>
    <t xml:space="preserve">michelman.com</t>
  </si>
  <si>
    <t xml:space="preserve">Rick Michelman</t>
  </si>
  <si>
    <t xml:space="preserve">Global specialty chemical maker</t>
  </si>
  <si>
    <t xml:space="preserve">https://www.michelman.com/</t>
  </si>
  <si>
    <t xml:space="preserve">Mission Pharmacal</t>
  </si>
  <si>
    <t xml:space="preserve">pharmaceuticals &amp; consumer health</t>
  </si>
  <si>
    <t xml:space="preserve">missionpharmacal.com</t>
  </si>
  <si>
    <t xml:space="preserve">Neill Walsdorf Jr.</t>
  </si>
  <si>
    <t xml:space="preserve">https://www.missionpharmacal.com/</t>
  </si>
  <si>
    <t xml:space="preserve">Mt. Olive Pickle Company</t>
  </si>
  <si>
    <t xml:space="preserve">pickles &amp; peppers</t>
  </si>
  <si>
    <t xml:space="preserve">Mount Olive</t>
  </si>
  <si>
    <t xml:space="preserve">mtolivepickles.com</t>
  </si>
  <si>
    <t xml:space="preserve">https://en.wikipedia.org/wiki/Mt._Olive_Pickle_Company</t>
  </si>
  <si>
    <t xml:space="preserve">New Pig Corporation</t>
  </si>
  <si>
    <t xml:space="preserve">industrial absorbents &amp; spill control</t>
  </si>
  <si>
    <t xml:space="preserve">Tipton</t>
  </si>
  <si>
    <t xml:space="preserve">newpig.com</t>
  </si>
  <si>
    <t xml:space="preserve">Ben Stapelfeld</t>
  </si>
  <si>
    <t xml:space="preserve">COO; CIO; VP Operations; VP Ecommerce</t>
  </si>
  <si>
    <t xml:space="preserve">Manufacturer with direct ecommerce model</t>
  </si>
  <si>
    <t xml:space="preserve">https://www.newpig.com/</t>
  </si>
  <si>
    <t xml:space="preserve">Penn United Technologies</t>
  </si>
  <si>
    <t xml:space="preserve">precision tooling &amp; metal components</t>
  </si>
  <si>
    <t xml:space="preserve">Cabot</t>
  </si>
  <si>
    <t xml:space="preserve">pennunited.com</t>
  </si>
  <si>
    <t xml:space="preserve">Bill Jones</t>
  </si>
  <si>
    <t xml:space="preserve">ESOP; carbide and precision stamping</t>
  </si>
  <si>
    <t xml:space="preserve">https://www.pennunited.com/</t>
  </si>
  <si>
    <t xml:space="preserve">Sellmark</t>
  </si>
  <si>
    <t xml:space="preserve">sporting optics &amp; outdoor gear</t>
  </si>
  <si>
    <t xml:space="preserve">sellmark.net</t>
  </si>
  <si>
    <t xml:space="preserve">James Sellers</t>
  </si>
  <si>
    <t xml:space="preserve">Southern Champion (BuzzBallz)</t>
  </si>
  <si>
    <t xml:space="preserve">ready-to-drink cocktails</t>
  </si>
  <si>
    <t xml:space="preserve">Carrollton</t>
  </si>
  <si>
    <t xml:space="preserve">buzzballz.com</t>
  </si>
  <si>
    <t xml:space="preserve">Merrilee Kick</t>
  </si>
  <si>
    <t xml:space="preserve">Acquired by Sazerac in 2024</t>
  </si>
  <si>
    <t xml:space="preserve">Spangler Candy</t>
  </si>
  <si>
    <t xml:space="preserve">confectionery (Dum Dums)</t>
  </si>
  <si>
    <t xml:space="preserve">Bryan</t>
  </si>
  <si>
    <t xml:space="preserve">spanglercandy.com</t>
  </si>
  <si>
    <t xml:space="preserve">Kirk Vashaw</t>
  </si>
  <si>
    <t xml:space="preserve">Acquired Bit-O-Honey and Sweethearts brands</t>
  </si>
  <si>
    <t xml:space="preserve">https://en.wikipedia.org/wiki/Spangler_Candy_Company</t>
  </si>
  <si>
    <t xml:space="preserve">Will-Burt Company</t>
  </si>
  <si>
    <t xml:space="preserve">telescoping masts &amp; contract manufacturing</t>
  </si>
  <si>
    <t xml:space="preserve">Orrville</t>
  </si>
  <si>
    <t xml:space="preserve">willburt.com</t>
  </si>
  <si>
    <t xml:space="preserve">ESOP company; revenue band estimate</t>
  </si>
  <si>
    <t xml:space="preserve">https://www.willburt.com/</t>
  </si>
  <si>
    <t xml:space="preserve">Wooster Brush</t>
  </si>
  <si>
    <t xml:space="preserve">paint applicators</t>
  </si>
  <si>
    <t xml:space="preserve">Wooster</t>
  </si>
  <si>
    <t xml:space="preserve">woosterbrush.com</t>
  </si>
  <si>
    <t xml:space="preserve">President; VP Operations; VP Sales; Director of IT</t>
  </si>
  <si>
    <t xml:space="preserve">https://www.woosterbrush.com/</t>
  </si>
  <si>
    <t xml:space="preserve">Zippo Manufacturing</t>
  </si>
  <si>
    <t xml:space="preserve">lighters &amp; consumer products</t>
  </si>
  <si>
    <t xml:space="preserve">Bradford</t>
  </si>
  <si>
    <t xml:space="preserve">zippo.com</t>
  </si>
  <si>
    <t xml:space="preserve">Mark Paup</t>
  </si>
  <si>
    <t xml:space="preserve">COO; CIO; VP Operations; VP Marketing</t>
  </si>
  <si>
    <t xml:space="preserve">Also owns W.R. Case &amp; Sons Cutlery</t>
  </si>
  <si>
    <t xml:space="preserve">https://en.wikipedia.org/wiki/Zippo</t>
  </si>
  <si>
    <t xml:space="preserve">Cayman Chemical</t>
  </si>
  <si>
    <t xml:space="preserve">biochemicals &amp; research reagents</t>
  </si>
  <si>
    <t xml:space="preserve">caymanchem.com</t>
  </si>
  <si>
    <t xml:space="preserve">Kirk Maxey</t>
  </si>
  <si>
    <t xml:space="preserve">COO; CIO; VP Operations; Director of IT</t>
  </si>
  <si>
    <t xml:space="preserve">Specialty chemical and API manufacturer</t>
  </si>
  <si>
    <t xml:space="preserve">Channellock</t>
  </si>
  <si>
    <t xml:space="preserve">Meadville</t>
  </si>
  <si>
    <t xml:space="preserve">channellock.com</t>
  </si>
  <si>
    <t xml:space="preserve">Jon DeArment</t>
  </si>
  <si>
    <t xml:space="preserve">Fifth-generation family toolmaker</t>
  </si>
  <si>
    <t xml:space="preserve">https://en.wikipedia.org/wiki/Channellock</t>
  </si>
  <si>
    <t xml:space="preserve">Chrysan Industries</t>
  </si>
  <si>
    <t xml:space="preserve">specialty lubricants &amp; metalworking fluids</t>
  </si>
  <si>
    <t xml:space="preserve">chrysan.com</t>
  </si>
  <si>
    <t xml:space="preserve">Suk-Kyu Koh</t>
  </si>
  <si>
    <t xml:space="preserve">Motor City Stamping</t>
  </si>
  <si>
    <t xml:space="preserve">metal stampings &amp; assemblies</t>
  </si>
  <si>
    <t xml:space="preserve">Chesterfield Township</t>
  </si>
  <si>
    <t xml:space="preserve">motorcitystamping.com</t>
  </si>
  <si>
    <t xml:space="preserve">Judith Kucway</t>
  </si>
  <si>
    <t xml:space="preserve">Woman-owned Tier 2 stamper</t>
  </si>
  <si>
    <t xml:space="preserve">Regal Research &amp; Manufacturing</t>
  </si>
  <si>
    <t xml:space="preserve">electromechanical contract manufacturing</t>
  </si>
  <si>
    <t xml:space="preserve">regalresearch.com</t>
  </si>
  <si>
    <t xml:space="preserve">Brian Imbler</t>
  </si>
  <si>
    <t xml:space="preserve">Revenue band estimate from headcount</t>
  </si>
  <si>
    <t xml:space="preserve">Wasserman</t>
  </si>
  <si>
    <t xml:space="preserve">sports and entertainment marketing agency</t>
  </si>
  <si>
    <t xml:space="preserve">teamwass.com</t>
  </si>
  <si>
    <t xml:space="preserve">Casey Wasserman</t>
  </si>
  <si>
    <t xml:space="preserve">Also backed by RedBird Capital; acquired CSM Sport &amp; Entertainment; revenue band estimate</t>
  </si>
  <si>
    <t xml:space="preserve">https://www.teamwass.com/</t>
  </si>
  <si>
    <t xml:space="preserve">CMI Media Group</t>
  </si>
  <si>
    <t xml:space="preserve">healthcare media agency</t>
  </si>
  <si>
    <t xml:space="preserve">cmimediagroup.com</t>
  </si>
  <si>
    <t xml:space="preserve">Susan Dorfman</t>
  </si>
  <si>
    <t xml:space="preserve">WPP; revenue band estimate</t>
  </si>
  <si>
    <t xml:space="preserve">https://www.cmimediagroup.com/</t>
  </si>
  <si>
    <t xml:space="preserve">Czarnowski Collective</t>
  </si>
  <si>
    <t xml:space="preserve">exhibits and experiential</t>
  </si>
  <si>
    <t xml:space="preserve">czarnowski.com</t>
  </si>
  <si>
    <t xml:space="preserve">Ryan Czarnowski</t>
  </si>
  <si>
    <t xml:space="preserve">CEO; COO; CIO; CFO</t>
  </si>
  <si>
    <t xml:space="preserve">https://www.czarnowski.com/</t>
  </si>
  <si>
    <t xml:space="preserve">George P. Johnson</t>
  </si>
  <si>
    <t xml:space="preserve">experiential marketing agency</t>
  </si>
  <si>
    <t xml:space="preserve">Auburn Hills</t>
  </si>
  <si>
    <t xml:space="preserve">gpj.com</t>
  </si>
  <si>
    <t xml:space="preserve">Chris Meyer</t>
  </si>
  <si>
    <t xml:space="preserve">Part of Project Worldwide; revenue band estimate</t>
  </si>
  <si>
    <t xml:space="preserve">https://www.oddtoe.com/experiential-marketing-agencies/</t>
  </si>
  <si>
    <t xml:space="preserve">IWCO Direct</t>
  </si>
  <si>
    <t xml:space="preserve">direct mail marketing</t>
  </si>
  <si>
    <t xml:space="preserve">Chanhassen</t>
  </si>
  <si>
    <t xml:space="preserve">iwco.com</t>
  </si>
  <si>
    <t xml:space="preserve">Cerberus Capital Management</t>
  </si>
  <si>
    <t xml:space="preserve">John Ashe</t>
  </si>
  <si>
    <t xml:space="preserve">Transferred to lenders 2022; revenue band estimate</t>
  </si>
  <si>
    <t xml:space="preserve">https://www.iwco.com/</t>
  </si>
  <si>
    <t xml:space="preserve">Inizio Evoke</t>
  </si>
  <si>
    <t xml:space="preserve">inizioevoke.com</t>
  </si>
  <si>
    <t xml:space="preserve">Clayton Dubilier &amp; Rice</t>
  </si>
  <si>
    <t xml:space="preserve">Reid Connolly</t>
  </si>
  <si>
    <t xml:space="preserve">Unit of Inizio (CD&amp;R); O'Dwyer's No. 3</t>
  </si>
  <si>
    <t xml:space="preserve">Precision AQ</t>
  </si>
  <si>
    <t xml:space="preserve">healthcare marketing and market access</t>
  </si>
  <si>
    <t xml:space="preserve">precisionaq.com</t>
  </si>
  <si>
    <t xml:space="preserve">Dave Coman</t>
  </si>
  <si>
    <t xml:space="preserve">Formerly Precision Value &amp; Health; revenue band estimate</t>
  </si>
  <si>
    <t xml:space="preserve">https://www.precisionaq.com/</t>
  </si>
  <si>
    <t xml:space="preserve">Wieden+Kennedy</t>
  </si>
  <si>
    <t xml:space="preserve">independent creative agency</t>
  </si>
  <si>
    <t xml:space="preserve">wk.com</t>
  </si>
  <si>
    <t xml:space="preserve">Neal Arthur</t>
  </si>
  <si>
    <t xml:space="preserve">CEO; COO; Chief Technology Officer; CFO</t>
  </si>
  <si>
    <t xml:space="preserve">Largest US independent creative agency; revenue band estimate</t>
  </si>
  <si>
    <t xml:space="preserve">https://adage.com/article/special-report-agency-list-creativity-awards/wiedenkennedy-best-agencies-2025/2604086/</t>
  </si>
  <si>
    <t xml:space="preserve">72andSunny</t>
  </si>
  <si>
    <t xml:space="preserve">creative agency</t>
  </si>
  <si>
    <t xml:space="preserve">72andsunny.com</t>
  </si>
  <si>
    <t xml:space="preserve">Evin Shutt</t>
  </si>
  <si>
    <t xml:space="preserve">Anomaly</t>
  </si>
  <si>
    <t xml:space="preserve">anomaly.com</t>
  </si>
  <si>
    <t xml:space="preserve">Karina Wilsher</t>
  </si>
  <si>
    <t xml:space="preserve">Canvas Worldwide</t>
  </si>
  <si>
    <t xml:space="preserve">media agency</t>
  </si>
  <si>
    <t xml:space="preserve">canvasworldwide.com</t>
  </si>
  <si>
    <t xml:space="preserve">Paul Woolmington</t>
  </si>
  <si>
    <t xml:space="preserve">CEO; COO; Chief Data Officer; CFO</t>
  </si>
  <si>
    <t xml:space="preserve">JV of Innocean and Horizon Media; Hyundai/Kia media; revenue band estimate</t>
  </si>
  <si>
    <t xml:space="preserve">https://www.canvasworldwide.com/</t>
  </si>
  <si>
    <t xml:space="preserve">Cheil North America</t>
  </si>
  <si>
    <t xml:space="preserve">full-service agency</t>
  </si>
  <si>
    <t xml:space="preserve">cheil.com</t>
  </si>
  <si>
    <t xml:space="preserve">Samsung affiliate; US arm of Cheil Worldwide; revenue band estimate</t>
  </si>
  <si>
    <t xml:space="preserve">Derse</t>
  </si>
  <si>
    <t xml:space="preserve">derse.com</t>
  </si>
  <si>
    <t xml:space="preserve">Adam Beckett</t>
  </si>
  <si>
    <t xml:space="preserve">https://www.derse.com/</t>
  </si>
  <si>
    <t xml:space="preserve">Doner</t>
  </si>
  <si>
    <t xml:space="preserve">doner.com</t>
  </si>
  <si>
    <t xml:space="preserve">David DeMuth</t>
  </si>
  <si>
    <t xml:space="preserve">Stagwell (Doner Partners Network); revenue band estimate</t>
  </si>
  <si>
    <t xml:space="preserve">FINN Partners</t>
  </si>
  <si>
    <t xml:space="preserve">PR and marketing agency</t>
  </si>
  <si>
    <t xml:space="preserve">finnpartners.com</t>
  </si>
  <si>
    <t xml:space="preserve">Peter Finn</t>
  </si>
  <si>
    <t xml:space="preserve">O'Dwyer's No. 6</t>
  </si>
  <si>
    <t xml:space="preserve">https://www.finnpartners.com/news-insights/finn-partners-ascends-odwyers-2025-top-agency-rankings/</t>
  </si>
  <si>
    <t xml:space="preserve">Fingerpaint Group</t>
  </si>
  <si>
    <t xml:space="preserve">Saratoga Springs</t>
  </si>
  <si>
    <t xml:space="preserve">fingerpaint.com</t>
  </si>
  <si>
    <t xml:space="preserve">Knox Lane</t>
  </si>
  <si>
    <t xml:space="preserve">Bill McEllen</t>
  </si>
  <si>
    <t xml:space="preserve">Knox Lane investment 2021; acquisitive; revenue band estimate</t>
  </si>
  <si>
    <t xml:space="preserve">https://www.fingerpaint.com/</t>
  </si>
  <si>
    <t xml:space="preserve">Goodby Silverstein &amp; Partners</t>
  </si>
  <si>
    <t xml:space="preserve">goodbysilverstein.com</t>
  </si>
  <si>
    <t xml:space="preserve">Derek Robson</t>
  </si>
  <si>
    <t xml:space="preserve">Omnicom; revenue band estimate</t>
  </si>
  <si>
    <t xml:space="preserve">ICR</t>
  </si>
  <si>
    <t xml:space="preserve">strategic communications and IR</t>
  </si>
  <si>
    <t xml:space="preserve">icrinc.com</t>
  </si>
  <si>
    <t xml:space="preserve">CDPQ</t>
  </si>
  <si>
    <t xml:space="preserve">Tom Ryan</t>
  </si>
  <si>
    <t xml:space="preserve">O'Dwyer's No. 7</t>
  </si>
  <si>
    <t xml:space="preserve">Innocean USA</t>
  </si>
  <si>
    <t xml:space="preserve">Huntington Beach</t>
  </si>
  <si>
    <t xml:space="preserve">innoceanusa.com</t>
  </si>
  <si>
    <t xml:space="preserve">Steve Jun</t>
  </si>
  <si>
    <t xml:space="preserve">Hyundai Motor Group affiliate; revenue band estimate</t>
  </si>
  <si>
    <t xml:space="preserve">https://www.innoceanusa.com/</t>
  </si>
  <si>
    <t xml:space="preserve">Jack Morton Worldwide</t>
  </si>
  <si>
    <t xml:space="preserve">brand experience agency</t>
  </si>
  <si>
    <t xml:space="preserve">jackmorton.com</t>
  </si>
  <si>
    <t xml:space="preserve">Craig Millon</t>
  </si>
  <si>
    <t xml:space="preserve">Formerly IPG; revenue band estimate</t>
  </si>
  <si>
    <t xml:space="preserve">Japs-Olson Company</t>
  </si>
  <si>
    <t xml:space="preserve">direct mail production</t>
  </si>
  <si>
    <t xml:space="preserve">St. Louis Park</t>
  </si>
  <si>
    <t xml:space="preserve">japsolson.com</t>
  </si>
  <si>
    <t xml:space="preserve">Michael Murphy</t>
  </si>
  <si>
    <t xml:space="preserve">CEO; COO; CIO; VP Operations</t>
  </si>
  <si>
    <t xml:space="preserve">https://www.japsolson.com/</t>
  </si>
  <si>
    <t xml:space="preserve">Mittera</t>
  </si>
  <si>
    <t xml:space="preserve">print and marketing services</t>
  </si>
  <si>
    <t xml:space="preserve">Des Moines</t>
  </si>
  <si>
    <t xml:space="preserve">mittera.com</t>
  </si>
  <si>
    <t xml:space="preserve">Jon Troen</t>
  </si>
  <si>
    <t xml:space="preserve">https://www.mittera.com/</t>
  </si>
  <si>
    <t xml:space="preserve">Momentum Worldwide</t>
  </si>
  <si>
    <t xml:space="preserve">experiential agency</t>
  </si>
  <si>
    <t xml:space="preserve">momentumww.com</t>
  </si>
  <si>
    <t xml:space="preserve">Donnalyn Smith</t>
  </si>
  <si>
    <t xml:space="preserve">Opus Agency</t>
  </si>
  <si>
    <t xml:space="preserve">experiential and event agency</t>
  </si>
  <si>
    <t xml:space="preserve">Beaverton</t>
  </si>
  <si>
    <t xml:space="preserve">opusagency.com</t>
  </si>
  <si>
    <t xml:space="preserve">Growth Catalyst Partners</t>
  </si>
  <si>
    <t xml:space="preserve">Monica Luechtefeld</t>
  </si>
  <si>
    <t xml:space="preserve">Chief Marketer Agency of the Year 2025; revenue band estimate</t>
  </si>
  <si>
    <t xml:space="preserve">https://www.opusagency.com/article/chief-marketer-agency-of-the-year-2025</t>
  </si>
  <si>
    <t xml:space="preserve">Orchestra</t>
  </si>
  <si>
    <t xml:space="preserve">communications group</t>
  </si>
  <si>
    <t xml:space="preserve">orchestra.co</t>
  </si>
  <si>
    <t xml:space="preserve">Jonathan Rosen</t>
  </si>
  <si>
    <t xml:space="preserve">Parent of BerlinRosen and others; O'Dwyer's No. 8</t>
  </si>
  <si>
    <t xml:space="preserve">Prosek Partners</t>
  </si>
  <si>
    <t xml:space="preserve">financial communications</t>
  </si>
  <si>
    <t xml:space="preserve">prosek.com</t>
  </si>
  <si>
    <t xml:space="preserve">Jennifer Prosek</t>
  </si>
  <si>
    <t xml:space="preserve">O'Dwyer's No. 10</t>
  </si>
  <si>
    <t xml:space="preserve">RPA</t>
  </si>
  <si>
    <t xml:space="preserve">rpa.com</t>
  </si>
  <si>
    <t xml:space="preserve">Bill Hagelstein</t>
  </si>
  <si>
    <t xml:space="preserve">Honda AOR; revenue band estimate</t>
  </si>
  <si>
    <t xml:space="preserve">https://www.rpa.com/</t>
  </si>
  <si>
    <t xml:space="preserve">wearesparks.com</t>
  </si>
  <si>
    <t xml:space="preserve">Freeman subsidiary since 2023; revenue band estimate</t>
  </si>
  <si>
    <t xml:space="preserve">Supreme Group</t>
  </si>
  <si>
    <t xml:space="preserve">healthcare marketing group</t>
  </si>
  <si>
    <t xml:space="preserve">supremegroup.com</t>
  </si>
  <si>
    <t xml:space="preserve">O'Dwyer's No. 11; roll-up of healthcare agencies</t>
  </si>
  <si>
    <t xml:space="preserve">The Martin Agency</t>
  </si>
  <si>
    <t xml:space="preserve">martinagency.com</t>
  </si>
  <si>
    <t xml:space="preserve">Danny Robinson</t>
  </si>
  <si>
    <t xml:space="preserve">Zeno Group</t>
  </si>
  <si>
    <t xml:space="preserve">zenogroup.com</t>
  </si>
  <si>
    <t xml:space="preserve">Barby Siegel</t>
  </si>
  <si>
    <t xml:space="preserve">DJE Holdings (Edelman family); O'Dwyer's No. 9</t>
  </si>
  <si>
    <t xml:space="preserve">Zimmerman Advertising</t>
  </si>
  <si>
    <t xml:space="preserve">retail advertising agency</t>
  </si>
  <si>
    <t xml:space="preserve">zadv.com</t>
  </si>
  <si>
    <t xml:space="preserve">Michael Goldberg</t>
  </si>
  <si>
    <t xml:space="preserve">https://www.zadv.com/</t>
  </si>
  <si>
    <t xml:space="preserve">AbelsonTaylor Group</t>
  </si>
  <si>
    <t xml:space="preserve">healthcare advertising agency</t>
  </si>
  <si>
    <t xml:space="preserve">abelsontaylor.com</t>
  </si>
  <si>
    <t xml:space="preserve">Jeff Berg</t>
  </si>
  <si>
    <t xml:space="preserve">https://www.abelsontaylor.com/</t>
  </si>
  <si>
    <t xml:space="preserve">Allison</t>
  </si>
  <si>
    <t xml:space="preserve">integrated communications</t>
  </si>
  <si>
    <t xml:space="preserve">allisonworldwide.com</t>
  </si>
  <si>
    <t xml:space="preserve">Scott Allison</t>
  </si>
  <si>
    <t xml:space="preserve">Stagwell PR network; revenue band estimate</t>
  </si>
  <si>
    <t xml:space="preserve">Bader Rutter</t>
  </si>
  <si>
    <t xml:space="preserve">B2B and agriculture agency</t>
  </si>
  <si>
    <t xml:space="preserve">baderrutter.com</t>
  </si>
  <si>
    <t xml:space="preserve">Nick Bader</t>
  </si>
  <si>
    <t xml:space="preserve">https://www.baderrutter.com/</t>
  </si>
  <si>
    <t xml:space="preserve">Barkley OKRP</t>
  </si>
  <si>
    <t xml:space="preserve">barkleyokrp.com</t>
  </si>
  <si>
    <t xml:space="preserve">Jeff King</t>
  </si>
  <si>
    <t xml:space="preserve">Formed 2024 merger of Barkley and OKRP; revenue band estimate</t>
  </si>
  <si>
    <t xml:space="preserve">https://www.barkleyokrp.com/</t>
  </si>
  <si>
    <t xml:space="preserve">Colle McVoy</t>
  </si>
  <si>
    <t xml:space="preserve">collemcvoy.com</t>
  </si>
  <si>
    <t xml:space="preserve">Christine Fruechte</t>
  </si>
  <si>
    <t xml:space="preserve">Stagwell; revenue band estimate</t>
  </si>
  <si>
    <t xml:space="preserve">Cramer-Krasselt</t>
  </si>
  <si>
    <t xml:space="preserve">c-k.com</t>
  </si>
  <si>
    <t xml:space="preserve">Peter Krivkovich</t>
  </si>
  <si>
    <t xml:space="preserve">Second largest employee-owned agency in US; revenue band estimate</t>
  </si>
  <si>
    <t xml:space="preserve">https://www.c-k.com/</t>
  </si>
  <si>
    <t xml:space="preserve">Crossmedia</t>
  </si>
  <si>
    <t xml:space="preserve">crossmedia.com</t>
  </si>
  <si>
    <t xml:space="preserve">Kamran Asghar</t>
  </si>
  <si>
    <t xml:space="preserve">Independent full-service media agency; revenue band estimate</t>
  </si>
  <si>
    <t xml:space="preserve">https://www.crossmedia.com/</t>
  </si>
  <si>
    <t xml:space="preserve">Darwill</t>
  </si>
  <si>
    <t xml:space="preserve">direct marketing</t>
  </si>
  <si>
    <t xml:space="preserve">Hillside</t>
  </si>
  <si>
    <t xml:space="preserve">darwill.com</t>
  </si>
  <si>
    <t xml:space="preserve">Corey Donovan</t>
  </si>
  <si>
    <t xml:space="preserve">CEO; COO; CIO; VP Marketing</t>
  </si>
  <si>
    <t xml:space="preserve">https://www.darwill.com/</t>
  </si>
  <si>
    <t xml:space="preserve">Deutsch LA</t>
  </si>
  <si>
    <t xml:space="preserve">deutschla.com</t>
  </si>
  <si>
    <t xml:space="preserve">Kim Getty</t>
  </si>
  <si>
    <t xml:space="preserve">Bought back independence from IPG 2020; revenue band estimate</t>
  </si>
  <si>
    <t xml:space="preserve">Hero Digital</t>
  </si>
  <si>
    <t xml:space="preserve">herodigital.com</t>
  </si>
  <si>
    <t xml:space="preserve">CI Capital Partners</t>
  </si>
  <si>
    <t xml:space="preserve">David Kilimnik</t>
  </si>
  <si>
    <t xml:space="preserve">Acquisitive CX platform; revenue band estimate</t>
  </si>
  <si>
    <t xml:space="preserve">https://www.herodigital.com/</t>
  </si>
  <si>
    <t xml:space="preserve">Highwire PR</t>
  </si>
  <si>
    <t xml:space="preserve">tech PR agency</t>
  </si>
  <si>
    <t xml:space="preserve">highwirepr.com</t>
  </si>
  <si>
    <t xml:space="preserve">Carol Carrubba</t>
  </si>
  <si>
    <t xml:space="preserve">CEO; COO; CFO; VP Digital</t>
  </si>
  <si>
    <t xml:space="preserve">O'Dwyer's No. 14</t>
  </si>
  <si>
    <t xml:space="preserve">Hotwire</t>
  </si>
  <si>
    <t xml:space="preserve">tech communications</t>
  </si>
  <si>
    <t xml:space="preserve">hotwireglobal.com</t>
  </si>
  <si>
    <t xml:space="preserve">Heather Kernahan</t>
  </si>
  <si>
    <t xml:space="preserve">Enero Group (ASX) subsidiary; O'Dwyer's No. 16</t>
  </si>
  <si>
    <t xml:space="preserve">Impact XM</t>
  </si>
  <si>
    <t xml:space="preserve">impact-xm.com</t>
  </si>
  <si>
    <t xml:space="preserve">Jared Pollacco</t>
  </si>
  <si>
    <t xml:space="preserve">https://www.impact-xm.com/</t>
  </si>
  <si>
    <t xml:space="preserve">MikeWorldWide</t>
  </si>
  <si>
    <t xml:space="preserve">mww.com</t>
  </si>
  <si>
    <t xml:space="preserve">Michael Kempner</t>
  </si>
  <si>
    <t xml:space="preserve">O'Dwyer's No. 15</t>
  </si>
  <si>
    <t xml:space="preserve">Mindgruve | Macarta</t>
  </si>
  <si>
    <t xml:space="preserve">mindgruve.com</t>
  </si>
  <si>
    <t xml:space="preserve">Chad Robley</t>
  </si>
  <si>
    <t xml:space="preserve">Merged with Levelwing; Adweek Fastest Growing 2025 large category; revenue band estimate</t>
  </si>
  <si>
    <t xml:space="preserve">NVE Experience Agency</t>
  </si>
  <si>
    <t xml:space="preserve">experiencenve.com</t>
  </si>
  <si>
    <t xml:space="preserve">Brett Hyman</t>
  </si>
  <si>
    <t xml:space="preserve">CEO; COO; CFO; VP Production</t>
  </si>
  <si>
    <t xml:space="preserve">Rain the Growth Agency</t>
  </si>
  <si>
    <t xml:space="preserve">DTC media agency</t>
  </si>
  <si>
    <t xml:space="preserve">raintga.com</t>
  </si>
  <si>
    <t xml:space="preserve">Michelle Cardinal</t>
  </si>
  <si>
    <t xml:space="preserve">CEO; COO; Chief Analytics Officer; CFO</t>
  </si>
  <si>
    <t xml:space="preserve">Performance TV and DTC specialist; revenue band estimate</t>
  </si>
  <si>
    <t xml:space="preserve">SeQuel Response</t>
  </si>
  <si>
    <t xml:space="preserve">direct mail agency</t>
  </si>
  <si>
    <t xml:space="preserve">sequeldm.com</t>
  </si>
  <si>
    <t xml:space="preserve">Jay Carroll</t>
  </si>
  <si>
    <t xml:space="preserve">CEO; COO; CFO; VP Analytics</t>
  </si>
  <si>
    <t xml:space="preserve">Revenue band estimate based on billings</t>
  </si>
  <si>
    <t xml:space="preserve">https://www.sequeldm.com/</t>
  </si>
  <si>
    <t xml:space="preserve">Spectrum Science</t>
  </si>
  <si>
    <t xml:space="preserve">health science communications</t>
  </si>
  <si>
    <t xml:space="preserve">spectrumscience.com</t>
  </si>
  <si>
    <t xml:space="preserve">Jonathan Wilson</t>
  </si>
  <si>
    <t xml:space="preserve">O'Dwyer's No. 12</t>
  </si>
  <si>
    <t xml:space="preserve">TRG (The Richards Group)</t>
  </si>
  <si>
    <t xml:space="preserve">trg.agency</t>
  </si>
  <si>
    <t xml:space="preserve">Glenn Dady</t>
  </si>
  <si>
    <t xml:space="preserve">https://www.trg.agency/</t>
  </si>
  <si>
    <t xml:space="preserve">Alkegen</t>
  </si>
  <si>
    <t xml:space="preserve">Specialty materials</t>
  </si>
  <si>
    <t xml:space="preserve">alkegen.com</t>
  </si>
  <si>
    <t xml:space="preserve">Formerly Unifrax; revenue est.</t>
  </si>
  <si>
    <t xml:space="preserve">Athletico Physical Therapy</t>
  </si>
  <si>
    <t xml:space="preserve">Outpatient physical therapy</t>
  </si>
  <si>
    <t xml:space="preserve">Oak Brook</t>
  </si>
  <si>
    <t xml:space="preserve">athletico.com</t>
  </si>
  <si>
    <t xml:space="preserve">Ron Rodgers</t>
  </si>
  <si>
    <t xml:space="preserve">Revenue est.; 900+ clinics; Harvest/BDT</t>
  </si>
  <si>
    <t xml:space="preserve">Azurity Pharmaceuticals</t>
  </si>
  <si>
    <t xml:space="preserve">Specialty pharma</t>
  </si>
  <si>
    <t xml:space="preserve">Woburn</t>
  </si>
  <si>
    <t xml:space="preserve">azurity.com</t>
  </si>
  <si>
    <t xml:space="preserve">Richard Blackburn</t>
  </si>
  <si>
    <t xml:space="preserve">Revenue est. from industry reports; active 2026 platform</t>
  </si>
  <si>
    <t xml:space="preserve">BluSky Restoration Contractors</t>
  </si>
  <si>
    <t xml:space="preserve">Property restoration</t>
  </si>
  <si>
    <t xml:space="preserve">Centennial</t>
  </si>
  <si>
    <t xml:space="preserve">goblusky.com</t>
  </si>
  <si>
    <t xml:space="preserve">Kent Stemper</t>
  </si>
  <si>
    <t xml:space="preserve">Revenue est.; Kohlberg/Partners Group</t>
  </si>
  <si>
    <t xml:space="preserve">https://www.kohlberg.com/</t>
  </si>
  <si>
    <t xml:space="preserve">Excelitas Technologies</t>
  </si>
  <si>
    <t xml:space="preserve">Photonics manufacturer</t>
  </si>
  <si>
    <t xml:space="preserve">excelitas.com</t>
  </si>
  <si>
    <t xml:space="preserve">Ron Keating</t>
  </si>
  <si>
    <t xml:space="preserve">FreshEdge</t>
  </si>
  <si>
    <t xml:space="preserve">Fresh produce distributor</t>
  </si>
  <si>
    <t xml:space="preserve">freshedge.com</t>
  </si>
  <si>
    <t xml:space="preserve">Steve Grinstead</t>
  </si>
  <si>
    <t xml:space="preserve">Revenue est.; roll-up of regional produce distributors</t>
  </si>
  <si>
    <t xml:space="preserve">J.S. Held</t>
  </si>
  <si>
    <t xml:space="preserve">Consulting (forensics/advisory)</t>
  </si>
  <si>
    <t xml:space="preserve">jsheld.com</t>
  </si>
  <si>
    <t xml:space="preserve">Jonathon Held</t>
  </si>
  <si>
    <t xml:space="preserve">Revenue est.; Kelso/Lovell Minnick</t>
  </si>
  <si>
    <t xml:space="preserve">Numotion</t>
  </si>
  <si>
    <t xml:space="preserve">Mobility equipment provider</t>
  </si>
  <si>
    <t xml:space="preserve">numotion.com</t>
  </si>
  <si>
    <t xml:space="preserve">Mike Swinford</t>
  </si>
  <si>
    <t xml:space="preserve">OTC Industrial Technologies</t>
  </si>
  <si>
    <t xml:space="preserve">Industrial distribution &amp; service</t>
  </si>
  <si>
    <t xml:space="preserve">otcindustrial.com</t>
  </si>
  <si>
    <t xml:space="preserve">Phil Derrow</t>
  </si>
  <si>
    <t xml:space="preserve">Revenue est.; formerly Ohio Transmission Corp</t>
  </si>
  <si>
    <t xml:space="preserve">PPC Flexible Packaging</t>
  </si>
  <si>
    <t xml:space="preserve">Flexible packaging manufacturer</t>
  </si>
  <si>
    <t xml:space="preserve">Buffalo Grove</t>
  </si>
  <si>
    <t xml:space="preserve">ppcflex.com</t>
  </si>
  <si>
    <t xml:space="preserve">Kevin Keneally</t>
  </si>
  <si>
    <t xml:space="preserve">Revenue est.; Kohlberg since 2018</t>
  </si>
  <si>
    <t xml:space="preserve">Pavion</t>
  </si>
  <si>
    <t xml:space="preserve">Fire/security/communications integration</t>
  </si>
  <si>
    <t xml:space="preserve">Chantilly</t>
  </si>
  <si>
    <t xml:space="preserve">pavion.com</t>
  </si>
  <si>
    <t xml:space="preserve">Joe Oliveri</t>
  </si>
  <si>
    <t xml:space="preserve">Revenue est.; formerly Corbett Technology Solutions</t>
  </si>
  <si>
    <t xml:space="preserve">Pet Supplies Plus</t>
  </si>
  <si>
    <t xml:space="preserve">Pet retail franchisor</t>
  </si>
  <si>
    <t xml:space="preserve">petsuppliesplus.com</t>
  </si>
  <si>
    <t xml:space="preserve">Chris Rowland</t>
  </si>
  <si>
    <t xml:space="preserve">Company revenue est.; 700+ stores; Franchise Group sold to Sentinel-led group 2024</t>
  </si>
  <si>
    <t xml:space="preserve">Phillips Pet Food &amp; Supplies</t>
  </si>
  <si>
    <t xml:space="preserve">Pet products distributor</t>
  </si>
  <si>
    <t xml:space="preserve">Easton</t>
  </si>
  <si>
    <t xml:space="preserve">phillipspet.com</t>
  </si>
  <si>
    <t xml:space="preserve">Singer Industrial</t>
  </si>
  <si>
    <t xml:space="preserve">Industrial distribution</t>
  </si>
  <si>
    <t xml:space="preserve">singerindustrial.com</t>
  </si>
  <si>
    <t xml:space="preserve">Revenue est.; fluid power/hose roll-up</t>
  </si>
  <si>
    <t xml:space="preserve">Smile Brands</t>
  </si>
  <si>
    <t xml:space="preserve">Dental support organization</t>
  </si>
  <si>
    <t xml:space="preserve">smilebrands.com</t>
  </si>
  <si>
    <t xml:space="preserve">Steve Bilt</t>
  </si>
  <si>
    <t xml:space="preserve">Revenue est.; 650+ affiliated offices</t>
  </si>
  <si>
    <t xml:space="preserve">Sonny's Enterprises</t>
  </si>
  <si>
    <t xml:space="preserve">Car wash equipment &amp; services</t>
  </si>
  <si>
    <t xml:space="preserve">Tamarac</t>
  </si>
  <si>
    <t xml:space="preserve">sonnysdirect.com</t>
  </si>
  <si>
    <t xml:space="preserve">Paul Fazio</t>
  </si>
  <si>
    <t xml:space="preserve">Revenue est.; Genstar 2019</t>
  </si>
  <si>
    <t xml:space="preserve">Springs Window Fashions</t>
  </si>
  <si>
    <t xml:space="preserve">Window coverings manufacturer</t>
  </si>
  <si>
    <t xml:space="preserve">Middleton</t>
  </si>
  <si>
    <t xml:space="preserve">springswindowfashions.com</t>
  </si>
  <si>
    <t xml:space="preserve">Eric Jungbluth</t>
  </si>
  <si>
    <t xml:space="preserve">Revenue est.; Clearlake 2021</t>
  </si>
  <si>
    <t xml:space="preserve">Voyant Beauty</t>
  </si>
  <si>
    <t xml:space="preserve">Beauty/personal care contract manufacturer</t>
  </si>
  <si>
    <t xml:space="preserve">voyantbeauty.com</t>
  </si>
  <si>
    <t xml:space="preserve">Wellness Pet Company</t>
  </si>
  <si>
    <t xml:space="preserve">Pet food brands</t>
  </si>
  <si>
    <t xml:space="preserve">wellnesspet.com</t>
  </si>
  <si>
    <t xml:space="preserve">Yellowstone Landscape</t>
  </si>
  <si>
    <t xml:space="preserve">Commercial landscaping</t>
  </si>
  <si>
    <t xml:space="preserve">Bunnell</t>
  </si>
  <si>
    <t xml:space="preserve">yellowstonelandscape.com</t>
  </si>
  <si>
    <t xml:space="preserve">Tim Portland</t>
  </si>
  <si>
    <t xml:space="preserve">Revenue est.; Harvest/CIVC</t>
  </si>
  <si>
    <t xml:space="preserve">ABC Fitness</t>
  </si>
  <si>
    <t xml:space="preserve">Fitness club software</t>
  </si>
  <si>
    <t xml:space="preserve">Sherwood</t>
  </si>
  <si>
    <t xml:space="preserve">abcfitness.com</t>
  </si>
  <si>
    <t xml:space="preserve">Bill Davis</t>
  </si>
  <si>
    <t xml:space="preserve">Advanced Dermatology and Cosmetic Surgery</t>
  </si>
  <si>
    <t xml:space="preserve">Dermatology practice management</t>
  </si>
  <si>
    <t xml:space="preserve">Maitland</t>
  </si>
  <si>
    <t xml:space="preserve">advancedderm.com</t>
  </si>
  <si>
    <t xml:space="preserve">Revenue est.; largest US derm platform</t>
  </si>
  <si>
    <t xml:space="preserve">Aramsco</t>
  </si>
  <si>
    <t xml:space="preserve">Specialty distribution (restoration/abatement)</t>
  </si>
  <si>
    <t xml:space="preserve">Paulsboro</t>
  </si>
  <si>
    <t xml:space="preserve">aramsco.com</t>
  </si>
  <si>
    <t xml:space="preserve">Better Being Co.</t>
  </si>
  <si>
    <t xml:space="preserve">Supplements manufacturer</t>
  </si>
  <si>
    <t xml:space="preserve">Ogden</t>
  </si>
  <si>
    <t xml:space="preserve">betterbeing.com</t>
  </si>
  <si>
    <t xml:space="preserve">Revenue est.; formerly Nutraceutical Corp.</t>
  </si>
  <si>
    <t xml:space="preserve">Brook + Whittle</t>
  </si>
  <si>
    <t xml:space="preserve">Label/packaging manufacturer</t>
  </si>
  <si>
    <t xml:space="preserve">Guilford</t>
  </si>
  <si>
    <t xml:space="preserve">brookandwhittle.com</t>
  </si>
  <si>
    <t xml:space="preserve">Mark Pollard</t>
  </si>
  <si>
    <t xml:space="preserve">Revenue est.; Genstar 2021</t>
  </si>
  <si>
    <t xml:space="preserve">Captain D's</t>
  </si>
  <si>
    <t xml:space="preserve">QSR franchisor/operator</t>
  </si>
  <si>
    <t xml:space="preserve">captainds.com</t>
  </si>
  <si>
    <t xml:space="preserve">Phil Greifeld</t>
  </si>
  <si>
    <t xml:space="preserve">Revenue est.; 500+ restaurants</t>
  </si>
  <si>
    <t xml:space="preserve">Central Moloney</t>
  </si>
  <si>
    <t xml:space="preserve">Distribution transformers</t>
  </si>
  <si>
    <t xml:space="preserve">centralmoloney.com</t>
  </si>
  <si>
    <t xml:space="preserve">Revenue est.; grid demand tailwind</t>
  </si>
  <si>
    <t xml:space="preserve">Cerity Partners</t>
  </si>
  <si>
    <t xml:space="preserve">RIA / wealth management</t>
  </si>
  <si>
    <t xml:space="preserve">ceritypartners.com</t>
  </si>
  <si>
    <t xml:space="preserve">Kurt Miscinski</t>
  </si>
  <si>
    <t xml:space="preserve">Revenue est.; Genstar/Lightyear</t>
  </si>
  <si>
    <t xml:space="preserve">Chemical Guys</t>
  </si>
  <si>
    <t xml:space="preserve">Car care consumer products</t>
  </si>
  <si>
    <t xml:space="preserve">Gardena</t>
  </si>
  <si>
    <t xml:space="preserve">chemicalguys.com</t>
  </si>
  <si>
    <t xml:space="preserve">Colibri Group</t>
  </si>
  <si>
    <t xml:space="preserve">Professional education/licensing</t>
  </si>
  <si>
    <t xml:space="preserve">colibrigroup.com</t>
  </si>
  <si>
    <t xml:space="preserve">Peter Seidenberg</t>
  </si>
  <si>
    <t xml:space="preserve">Revenue est.; Gridiron 2019</t>
  </si>
  <si>
    <t xml:space="preserve">https://gridironcapital.com/</t>
  </si>
  <si>
    <t xml:space="preserve">Colony Hardware</t>
  </si>
  <si>
    <t xml:space="preserve">Construction supply distributor</t>
  </si>
  <si>
    <t xml:space="preserve">Orange</t>
  </si>
  <si>
    <t xml:space="preserve">colonyhardware.com</t>
  </si>
  <si>
    <t xml:space="preserve">Colson Group</t>
  </si>
  <si>
    <t xml:space="preserve">Casters &amp; wheels manufacturer</t>
  </si>
  <si>
    <t xml:space="preserve">colsongroup.com</t>
  </si>
  <si>
    <t xml:space="preserve">Revenue est.; global manufacturer</t>
  </si>
  <si>
    <t xml:space="preserve">Eagle Family Foods Group</t>
  </si>
  <si>
    <t xml:space="preserve">Branded packaged foods</t>
  </si>
  <si>
    <t xml:space="preserve">eaglefoods.com</t>
  </si>
  <si>
    <t xml:space="preserve">https://www.kelso.com/</t>
  </si>
  <si>
    <t xml:space="preserve">Frontline Education</t>
  </si>
  <si>
    <t xml:space="preserve">K-12 administration software</t>
  </si>
  <si>
    <t xml:space="preserve">Malvern</t>
  </si>
  <si>
    <t xml:space="preserve">frontlineeducation.com</t>
  </si>
  <si>
    <t xml:space="preserve">Mark Gruzin</t>
  </si>
  <si>
    <t xml:space="preserve">Roper sold to Thoma Bravo 2022; revenue est.</t>
  </si>
  <si>
    <t xml:space="preserve">HEPACO</t>
  </si>
  <si>
    <t xml:space="preserve">Environmental &amp; emergency response</t>
  </si>
  <si>
    <t xml:space="preserve">hepaco.com</t>
  </si>
  <si>
    <t xml:space="preserve">Heartland Veterinary Partners</t>
  </si>
  <si>
    <t xml:space="preserve">Veterinary services</t>
  </si>
  <si>
    <t xml:space="preserve">heartlandvetpartners.com</t>
  </si>
  <si>
    <t xml:space="preserve">150+ practices; Gryphon 2018</t>
  </si>
  <si>
    <t xml:space="preserve">INGENYX</t>
  </si>
  <si>
    <t xml:space="preserve">MedTech OEM manufacturing</t>
  </si>
  <si>
    <t xml:space="preserve">ingenyx.com</t>
  </si>
  <si>
    <t xml:space="preserve">Formerly Teleflex Medical OEM; launched Aug 2026</t>
  </si>
  <si>
    <t xml:space="preserve">Idera</t>
  </si>
  <si>
    <t xml:space="preserve">B2B software holding company</t>
  </si>
  <si>
    <t xml:space="preserve">idera.com</t>
  </si>
  <si>
    <t xml:space="preserve">Randy Jacops</t>
  </si>
  <si>
    <t xml:space="preserve">Revenue est.; HGGC/Partners Group/TA</t>
  </si>
  <si>
    <t xml:space="preserve">Krayden</t>
  </si>
  <si>
    <t xml:space="preserve">Specialty chemical distributor</t>
  </si>
  <si>
    <t xml:space="preserve">krayden.com</t>
  </si>
  <si>
    <t xml:space="preserve">COO; CFO; VP Operations; VP Supply Chain</t>
  </si>
  <si>
    <t xml:space="preserve">Adhesives/sealants/coatings distribution; Audax 2023</t>
  </si>
  <si>
    <t xml:space="preserve">LEARN Behavioral</t>
  </si>
  <si>
    <t xml:space="preserve">Autism/ABA services</t>
  </si>
  <si>
    <t xml:space="preserve">learnbehavioral.com</t>
  </si>
  <si>
    <t xml:space="preserve">Justin Funches</t>
  </si>
  <si>
    <t xml:space="preserve">Revenue est.; Gryphon since 2014</t>
  </si>
  <si>
    <t xml:space="preserve">Lanter Delivery Systems</t>
  </si>
  <si>
    <t xml:space="preserve">Dedicated logistics/parts distribution</t>
  </si>
  <si>
    <t xml:space="preserve">lanterdeliverysystems.com</t>
  </si>
  <si>
    <t xml:space="preserve">Overnight parts delivery network; Audax 2025</t>
  </si>
  <si>
    <t xml:space="preserve">Legacy Service Partners</t>
  </si>
  <si>
    <t xml:space="preserve">Residential HVAC/plumbing/electrical</t>
  </si>
  <si>
    <t xml:space="preserve">legacyservicepartners.com</t>
  </si>
  <si>
    <t xml:space="preserve">Home services roll-up</t>
  </si>
  <si>
    <t xml:space="preserve">Metagenics</t>
  </si>
  <si>
    <t xml:space="preserve">Nutritional supplements</t>
  </si>
  <si>
    <t xml:space="preserve">metagenics.com</t>
  </si>
  <si>
    <t xml:space="preserve">Revenue est.; Gryphon 2021</t>
  </si>
  <si>
    <t xml:space="preserve">Model N</t>
  </si>
  <si>
    <t xml:space="preserve">Revenue management software (pharma/high tech)</t>
  </si>
  <si>
    <t xml:space="preserve">modeln.com</t>
  </si>
  <si>
    <t xml:space="preserve">Jason Blessing</t>
  </si>
  <si>
    <t xml:space="preserve">Take-private 2024; revenue est.</t>
  </si>
  <si>
    <t xml:space="preserve">Monotype</t>
  </si>
  <si>
    <t xml:space="preserve">Font/typography software</t>
  </si>
  <si>
    <t xml:space="preserve">monotype.com</t>
  </si>
  <si>
    <t xml:space="preserve">Brett Zucker</t>
  </si>
  <si>
    <t xml:space="preserve">Revenue est.; HGGC 2019</t>
  </si>
  <si>
    <t xml:space="preserve">National Carwash Solutions</t>
  </si>
  <si>
    <t xml:space="preserve">Car wash equipment &amp; chemicals</t>
  </si>
  <si>
    <t xml:space="preserve">Grimes</t>
  </si>
  <si>
    <t xml:space="preserve">ncswash.com</t>
  </si>
  <si>
    <t xml:space="preserve">National Spine &amp; Pain Centers</t>
  </si>
  <si>
    <t xml:space="preserve">Pain management practices</t>
  </si>
  <si>
    <t xml:space="preserve">treatingpain.com</t>
  </si>
  <si>
    <t xml:space="preserve">Nations Roof</t>
  </si>
  <si>
    <t xml:space="preserve">Commercial roofing</t>
  </si>
  <si>
    <t xml:space="preserve">Mobile</t>
  </si>
  <si>
    <t xml:space="preserve">nationsroof.com</t>
  </si>
  <si>
    <t xml:space="preserve">Nellson Nutraceutical</t>
  </si>
  <si>
    <t xml:space="preserve">Nutrition bar/powder contract manufacturer</t>
  </si>
  <si>
    <t xml:space="preserve">nellsonllc.com</t>
  </si>
  <si>
    <t xml:space="preserve">Kohlberg since 2013</t>
  </si>
  <si>
    <t xml:space="preserve">Nelson Global Products</t>
  </si>
  <si>
    <t xml:space="preserve">Engineered exhaust/thermal components</t>
  </si>
  <si>
    <t xml:space="preserve">nelsonglobalproducts.com</t>
  </si>
  <si>
    <t xml:space="preserve">Nivel Parts &amp; Manufacturing</t>
  </si>
  <si>
    <t xml:space="preserve">Aftermarket parts distributor</t>
  </si>
  <si>
    <t xml:space="preserve">nivelparts.com</t>
  </si>
  <si>
    <t xml:space="preserve">Golf cart/powersports parts; Kelso 2022</t>
  </si>
  <si>
    <t xml:space="preserve">Oceans Healthcare</t>
  </si>
  <si>
    <t xml:space="preserve">Behavioral health hospitals</t>
  </si>
  <si>
    <t xml:space="preserve">oceanshealthcare.com</t>
  </si>
  <si>
    <t xml:space="preserve">Stuart Archer</t>
  </si>
  <si>
    <t xml:space="preserve">Oncourse Home Solutions</t>
  </si>
  <si>
    <t xml:space="preserve">Home warranty/repair plans</t>
  </si>
  <si>
    <t xml:space="preserve">Naperville</t>
  </si>
  <si>
    <t xml:space="preserve">oncoursehome.com</t>
  </si>
  <si>
    <t xml:space="preserve">Acquired from Apax 2025; revenue est.</t>
  </si>
  <si>
    <t xml:space="preserve">Pathstone</t>
  </si>
  <si>
    <t xml:space="preserve">Wealth management / family office</t>
  </si>
  <si>
    <t xml:space="preserve">pathstone.com</t>
  </si>
  <si>
    <t xml:space="preserve">Matt Fleissig</t>
  </si>
  <si>
    <t xml:space="preserve">$100B+ AUA; Kelso/Lovell Minnick</t>
  </si>
  <si>
    <t xml:space="preserve">Performance Health</t>
  </si>
  <si>
    <t xml:space="preserve">Rehab &amp; wellness products</t>
  </si>
  <si>
    <t xml:space="preserve">Warrenville</t>
  </si>
  <si>
    <t xml:space="preserve">performancehealth.com</t>
  </si>
  <si>
    <t xml:space="preserve">Revenue est.; TheraBand/Biofreeze brands</t>
  </si>
  <si>
    <t xml:space="preserve">Qualus</t>
  </si>
  <si>
    <t xml:space="preserve">Power engineering services</t>
  </si>
  <si>
    <t xml:space="preserve">qualuscorp.com</t>
  </si>
  <si>
    <t xml:space="preserve">Hala Ballouz</t>
  </si>
  <si>
    <t xml:space="preserve">RTIC Outdoors</t>
  </si>
  <si>
    <t xml:space="preserve">Outdoor coolers/drinkware (DTC)</t>
  </si>
  <si>
    <t xml:space="preserve">Cypress</t>
  </si>
  <si>
    <t xml:space="preserve">rticoutdoors.com</t>
  </si>
  <si>
    <t xml:space="preserve">Rimkus</t>
  </si>
  <si>
    <t xml:space="preserve">Forensic engineering consulting</t>
  </si>
  <si>
    <t xml:space="preserve">rimkus.com</t>
  </si>
  <si>
    <t xml:space="preserve">Curtis Brown</t>
  </si>
  <si>
    <t xml:space="preserve">Revenue est.; HGGC 2024</t>
  </si>
  <si>
    <t xml:space="preserve">Rough Country</t>
  </si>
  <si>
    <t xml:space="preserve">Aftermarket truck accessories</t>
  </si>
  <si>
    <t xml:space="preserve">Dyersburg</t>
  </si>
  <si>
    <t xml:space="preserve">roughcountry.com</t>
  </si>
  <si>
    <t xml:space="preserve">Ken Dunn</t>
  </si>
  <si>
    <t xml:space="preserve">Shermco Industries</t>
  </si>
  <si>
    <t xml:space="preserve">Electrical testing &amp; engineering services</t>
  </si>
  <si>
    <t xml:space="preserve">shermco.com</t>
  </si>
  <si>
    <t xml:space="preserve">Phil Petrocelli</t>
  </si>
  <si>
    <t xml:space="preserve">Revenue est.; data center and utility customers</t>
  </si>
  <si>
    <t xml:space="preserve">Stir Foods</t>
  </si>
  <si>
    <t xml:space="preserve">Custom food manufacturer</t>
  </si>
  <si>
    <t xml:space="preserve">stirfoods.com</t>
  </si>
  <si>
    <t xml:space="preserve">Team Technologies</t>
  </si>
  <si>
    <t xml:space="preserve">Contract manufacturing (health/consumer)</t>
  </si>
  <si>
    <t xml:space="preserve">Morristown</t>
  </si>
  <si>
    <t xml:space="preserve">teamtech.com</t>
  </si>
  <si>
    <t xml:space="preserve">Techmer PM</t>
  </si>
  <si>
    <t xml:space="preserve">Specialty polymer compounding</t>
  </si>
  <si>
    <t xml:space="preserve">techmerpm.com</t>
  </si>
  <si>
    <t xml:space="preserve">Marc Dollard</t>
  </si>
  <si>
    <t xml:space="preserve">Vessco Water</t>
  </si>
  <si>
    <t xml:space="preserve">Water treatment equipment distribution</t>
  </si>
  <si>
    <t xml:space="preserve">vessco.com</t>
  </si>
  <si>
    <t xml:space="preserve">Sal Longo</t>
  </si>
  <si>
    <t xml:space="preserve">Acquisitive water distribution platform</t>
  </si>
  <si>
    <t xml:space="preserve">Window Nation</t>
  </si>
  <si>
    <t xml:space="preserve">Replacement windows (DTC)</t>
  </si>
  <si>
    <t xml:space="preserve">windownation.com</t>
  </si>
  <si>
    <t xml:space="preserve">COO; CIO; Chief Marketing Officer</t>
  </si>
  <si>
    <t xml:space="preserve">cabi</t>
  </si>
  <si>
    <t xml:space="preserve">Direct-selling apparel</t>
  </si>
  <si>
    <t xml:space="preserve">Rancho Dominguez</t>
  </si>
  <si>
    <t xml:space="preserve">cabionline.com</t>
  </si>
  <si>
    <t xml:space="preserve">Advancing Eyecare</t>
  </si>
  <si>
    <t xml:space="preserve">Ophthalmic equipment distribution/service</t>
  </si>
  <si>
    <t xml:space="preserve">advancingeyecare.com</t>
  </si>
  <si>
    <t xml:space="preserve">Harvest 2022</t>
  </si>
  <si>
    <t xml:space="preserve">Beacon Communications</t>
  </si>
  <si>
    <t xml:space="preserve">Critical systems integration</t>
  </si>
  <si>
    <t xml:space="preserve">beaconcom.com</t>
  </si>
  <si>
    <t xml:space="preserve">Kelso 2025</t>
  </si>
  <si>
    <t xml:space="preserve">Command Alkon</t>
  </si>
  <si>
    <t xml:space="preserve">Construction materials software</t>
  </si>
  <si>
    <t xml:space="preserve">commandalkon.com</t>
  </si>
  <si>
    <t xml:space="preserve">Martin Willoughby</t>
  </si>
  <si>
    <t xml:space="preserve">Dentive</t>
  </si>
  <si>
    <t xml:space="preserve">Provo</t>
  </si>
  <si>
    <t xml:space="preserve">dentive.com</t>
  </si>
  <si>
    <t xml:space="preserve">HGGC 2023</t>
  </si>
  <si>
    <t xml:space="preserve">Eptura</t>
  </si>
  <si>
    <t xml:space="preserve">Workplace management software</t>
  </si>
  <si>
    <t xml:space="preserve">eptura.com</t>
  </si>
  <si>
    <t xml:space="preserve">Brandon Holden</t>
  </si>
  <si>
    <t xml:space="preserve">Condeco + iOFFICE merger; revenue est.</t>
  </si>
  <si>
    <t xml:space="preserve">Galloway &amp; Company</t>
  </si>
  <si>
    <t xml:space="preserve">Architecture &amp; engineering</t>
  </si>
  <si>
    <t xml:space="preserve">gallowayus.com</t>
  </si>
  <si>
    <t xml:space="preserve">Greenix Pest Control</t>
  </si>
  <si>
    <t xml:space="preserve">Pest control</t>
  </si>
  <si>
    <t xml:space="preserve">Orem</t>
  </si>
  <si>
    <t xml:space="preserve">greenixpc.com</t>
  </si>
  <si>
    <t xml:space="preserve">Gridiron 2022</t>
  </si>
  <si>
    <t xml:space="preserve">Greenphire</t>
  </si>
  <si>
    <t xml:space="preserve">Clinical trial payments software</t>
  </si>
  <si>
    <t xml:space="preserve">greenphire.com</t>
  </si>
  <si>
    <t xml:space="preserve">Thoma Bravo 2021</t>
  </si>
  <si>
    <t xml:space="preserve">Hasa</t>
  </si>
  <si>
    <t xml:space="preserve">Water treatment chemicals</t>
  </si>
  <si>
    <t xml:space="preserve">Saugus</t>
  </si>
  <si>
    <t xml:space="preserve">hasapool.com</t>
  </si>
  <si>
    <t xml:space="preserve">Wind Point 2020</t>
  </si>
  <si>
    <t xml:space="preserve">Hiller</t>
  </si>
  <si>
    <t xml:space="preserve">Fire protection &amp; life safety services</t>
  </si>
  <si>
    <t xml:space="preserve">Clarksville</t>
  </si>
  <si>
    <t xml:space="preserve">hillercompanies.com</t>
  </si>
  <si>
    <t xml:space="preserve">Inovar Packaging Group</t>
  </si>
  <si>
    <t xml:space="preserve">Labels &amp; flexible packaging</t>
  </si>
  <si>
    <t xml:space="preserve">inovarpackaging.com</t>
  </si>
  <si>
    <t xml:space="preserve">Kelso 2021</t>
  </si>
  <si>
    <t xml:space="preserve">Interim HealthCare</t>
  </si>
  <si>
    <t xml:space="preserve">Home healthcare franchisor</t>
  </si>
  <si>
    <t xml:space="preserve">Sunrise</t>
  </si>
  <si>
    <t xml:space="preserve">interimhealthcare.com</t>
  </si>
  <si>
    <t xml:space="preserve">Rexanne Domico</t>
  </si>
  <si>
    <t xml:space="preserve">Franchisor revenue; 300+ offices</t>
  </si>
  <si>
    <t xml:space="preserve">Lone Wolf Technologies</t>
  </si>
  <si>
    <t xml:space="preserve">Real estate brokerage software</t>
  </si>
  <si>
    <t xml:space="preserve">lwolf.com</t>
  </si>
  <si>
    <t xml:space="preserve">Vista Endeavor fund</t>
  </si>
  <si>
    <t xml:space="preserve">Marmic Fire &amp; Safety</t>
  </si>
  <si>
    <t xml:space="preserve">Fire protection services</t>
  </si>
  <si>
    <t xml:space="preserve">Joplin</t>
  </si>
  <si>
    <t xml:space="preserve">marmicfire.com</t>
  </si>
  <si>
    <t xml:space="preserve">Roll-up of fire &amp; life safety service companies</t>
  </si>
  <si>
    <t xml:space="preserve">Milani Cosmetics</t>
  </si>
  <si>
    <t xml:space="preserve">Beauty brand</t>
  </si>
  <si>
    <t xml:space="preserve">milanicosmetics.com</t>
  </si>
  <si>
    <t xml:space="preserve">Mass cosmetics; Gryphon 2018</t>
  </si>
  <si>
    <t xml:space="preserve">Myers Emergency Power Systems</t>
  </si>
  <si>
    <t xml:space="preserve">Emergency lighting/power equipment</t>
  </si>
  <si>
    <t xml:space="preserve">myerseps.com</t>
  </si>
  <si>
    <t xml:space="preserve">Kohlberg acquired 2021</t>
  </si>
  <si>
    <t xml:space="preserve">https://www.businesswire.com/news/home/20210818005181/en/Kohlberg-Company-Acquires-Myers-EPS</t>
  </si>
  <si>
    <t xml:space="preserve">Oakbridge Insurance Agency</t>
  </si>
  <si>
    <t xml:space="preserve">Athens</t>
  </si>
  <si>
    <t xml:space="preserve">oakbridgeinsurance.com</t>
  </si>
  <si>
    <t xml:space="preserve">Robbie Smith</t>
  </si>
  <si>
    <t xml:space="preserve">COO; CIO; Chief Growth Officer</t>
  </si>
  <si>
    <t xml:space="preserve">Audax 2023; acquisitive Southeast broker</t>
  </si>
  <si>
    <t xml:space="preserve">Potter Global Technologies</t>
  </si>
  <si>
    <t xml:space="preserve">Fire &amp; life safety electronics</t>
  </si>
  <si>
    <t xml:space="preserve">pottersignal.com</t>
  </si>
  <si>
    <t xml:space="preserve">Gryphon 2021</t>
  </si>
  <si>
    <t xml:space="preserve">Produce One</t>
  </si>
  <si>
    <t xml:space="preserve">produceone.com</t>
  </si>
  <si>
    <t xml:space="preserve">Strickland Brothers 10 Minute Oil Change</t>
  </si>
  <si>
    <t xml:space="preserve">Automotive services</t>
  </si>
  <si>
    <t xml:space="preserve">sb10minuteoilchange.com</t>
  </si>
  <si>
    <t xml:space="preserve">Justin Strickland</t>
  </si>
  <si>
    <t xml:space="preserve">Audax 2026; 400+ locations</t>
  </si>
  <si>
    <t xml:space="preserve">Vision Innovation Partners</t>
  </si>
  <si>
    <t xml:space="preserve">Ophthalmology practice management</t>
  </si>
  <si>
    <t xml:space="preserve">Annapolis</t>
  </si>
  <si>
    <t xml:space="preserve">vipeyes.com</t>
  </si>
  <si>
    <t xml:space="preserve">Gryphon 2019</t>
  </si>
  <si>
    <t xml:space="preserve">Wind River Environmental</t>
  </si>
  <si>
    <t xml:space="preserve">Non-hazardous liquid waste services</t>
  </si>
  <si>
    <t xml:space="preserve">wrenvironmental.com</t>
  </si>
  <si>
    <t xml:space="preserve">Michael Reitz</t>
  </si>
  <si>
    <t xml:space="preserve">Revenue est.; route-based services</t>
  </si>
  <si>
    <t xml:space="preserve">Zenith American Solutions</t>
  </si>
  <si>
    <t xml:space="preserve">Taft-Hartley benefits administration</t>
  </si>
  <si>
    <t xml:space="preserve">zenith-american.com</t>
  </si>
  <si>
    <t xml:space="preserve">Kelso 2019</t>
  </si>
  <si>
    <t xml:space="preserve">good2grow</t>
  </si>
  <si>
    <t xml:space="preserve">Kids beverage brand</t>
  </si>
  <si>
    <t xml:space="preserve">good2grow.com</t>
  </si>
  <si>
    <t xml:space="preserve">Accelerate Learning</t>
  </si>
  <si>
    <t xml:space="preserve">K-12 STEM curriculum software</t>
  </si>
  <si>
    <t xml:space="preserve">acceleratelearning.com</t>
  </si>
  <si>
    <t xml:space="preserve">Alta Pest Control</t>
  </si>
  <si>
    <t xml:space="preserve">altapestcontrol.com</t>
  </si>
  <si>
    <t xml:space="preserve">Trivest Growth fund; band est.</t>
  </si>
  <si>
    <t xml:space="preserve">https://www.trivest.com/portfolio/</t>
  </si>
  <si>
    <t xml:space="preserve">H2O Care Partners</t>
  </si>
  <si>
    <t xml:space="preserve">Water treatment services</t>
  </si>
  <si>
    <t xml:space="preserve">h2ocarepartners.com</t>
  </si>
  <si>
    <t xml:space="preserve">Inc. 5000 #402 in 2026; band est.</t>
  </si>
  <si>
    <t xml:space="preserve">Point C Health</t>
  </si>
  <si>
    <t xml:space="preserve">Health benefits TPA</t>
  </si>
  <si>
    <t xml:space="preserve">pointchealth.com</t>
  </si>
  <si>
    <t xml:space="preserve">Strongpoint Partners</t>
  </si>
  <si>
    <t xml:space="preserve">Retirement plan administration</t>
  </si>
  <si>
    <t xml:space="preserve">strongpointpartners.com</t>
  </si>
  <si>
    <t xml:space="preserve">Danny Hest</t>
  </si>
  <si>
    <t xml:space="preserve">Inc. 5000 #530 in 2026; band est.</t>
  </si>
  <si>
    <t xml:space="preserve">Together Women's Health</t>
  </si>
  <si>
    <t xml:space="preserve">OB/GYN practice management</t>
  </si>
  <si>
    <t xml:space="preserve">togetherwomenshealth.com</t>
  </si>
  <si>
    <t xml:space="preserve">Inc. 5000 #978 in 2026; band est.</t>
  </si>
  <si>
    <t xml:space="preserve">Addison Group</t>
  </si>
  <si>
    <t xml:space="preserve">addisongroup.com</t>
  </si>
  <si>
    <t xml:space="preserve">Odyssey Investment Partners</t>
  </si>
  <si>
    <t xml:space="preserve">Thomas Moran</t>
  </si>
  <si>
    <t xml:space="preserve">Atlas Technical Consultants</t>
  </si>
  <si>
    <t xml:space="preserve">oneatlas.com</t>
  </si>
  <si>
    <t xml:space="preserve">Bernhard Capital Partners</t>
  </si>
  <si>
    <t xml:space="preserve">Paul Ganter</t>
  </si>
  <si>
    <t xml:space="preserve">ENR 2026 Top 500 rank 54; taken private 2023</t>
  </si>
  <si>
    <t xml:space="preserve">Douglas Elliman</t>
  </si>
  <si>
    <t xml:space="preserve">elliman.com</t>
  </si>
  <si>
    <t xml:space="preserve">Michael Liebowitz</t>
  </si>
  <si>
    <t xml:space="preserve">NYSE DOUG; 2024 revenue about $995M</t>
  </si>
  <si>
    <t xml:space="preserve">https://www.elliman.com</t>
  </si>
  <si>
    <t xml:space="preserve">Foundation Risk Partners Corp.</t>
  </si>
  <si>
    <t xml:space="preserve">Ormond Beach</t>
  </si>
  <si>
    <t xml:space="preserve">foundationrp.com</t>
  </si>
  <si>
    <t xml:space="preserve">Partners Group</t>
  </si>
  <si>
    <t xml:space="preserve">Charlie Lydecker</t>
  </si>
  <si>
    <t xml:space="preserve">Business Insurance 2025 rank 21</t>
  </si>
  <si>
    <t xml:space="preserve">Geosyntec Consultants</t>
  </si>
  <si>
    <t xml:space="preserve">geosyntec.com</t>
  </si>
  <si>
    <t xml:space="preserve">Blackstone Energy Transition Partners</t>
  </si>
  <si>
    <t xml:space="preserve">Peter Zeeb</t>
  </si>
  <si>
    <t xml:space="preserve">ENR 2026 Top 500 rank 34</t>
  </si>
  <si>
    <t xml:space="preserve">Higginbotham</t>
  </si>
  <si>
    <t xml:space="preserve">higginbotham.com</t>
  </si>
  <si>
    <t xml:space="preserve">Rusty Reid</t>
  </si>
  <si>
    <t xml:space="preserve">Business Insurance 2025 rank 19</t>
  </si>
  <si>
    <t xml:space="preserve">High Street Insurance Partners Inc.</t>
  </si>
  <si>
    <t xml:space="preserve">Traverse City</t>
  </si>
  <si>
    <t xml:space="preserve">highstreetpartners.com</t>
  </si>
  <si>
    <t xml:space="preserve">Scott Wick</t>
  </si>
  <si>
    <t xml:space="preserve">Business Insurance 2025 rank 24</t>
  </si>
  <si>
    <t xml:space="preserve">Howard Hanna Real Estate Services</t>
  </si>
  <si>
    <t xml:space="preserve">howardhanna.com</t>
  </si>
  <si>
    <t xml:space="preserve">Hoby Hanna</t>
  </si>
  <si>
    <t xml:space="preserve">Largest family-owned US residential brokerage; band estimated</t>
  </si>
  <si>
    <t xml:space="preserve">https://www.howardhanna.com</t>
  </si>
  <si>
    <t xml:space="preserve">Kleinfelder Inc.</t>
  </si>
  <si>
    <t xml:space="preserve">kleinfelder.com</t>
  </si>
  <si>
    <t xml:space="preserve">Lindsay Goldberg</t>
  </si>
  <si>
    <t xml:space="preserve">Louis Armstrong</t>
  </si>
  <si>
    <t xml:space="preserve">ENR 2026 Top 500 rank 43</t>
  </si>
  <si>
    <t xml:space="preserve">Leavitt Group</t>
  </si>
  <si>
    <t xml:space="preserve">Cedar City</t>
  </si>
  <si>
    <t xml:space="preserve">leavitt.com</t>
  </si>
  <si>
    <t xml:space="preserve">Eric Leavitt</t>
  </si>
  <si>
    <t xml:space="preserve">Business Insurance 2025 rank 26</t>
  </si>
  <si>
    <t xml:space="preserve">Motion Recruitment Partners</t>
  </si>
  <si>
    <t xml:space="preserve">motionrecruitment.com</t>
  </si>
  <si>
    <t xml:space="preserve">Beth Gilfeather</t>
  </si>
  <si>
    <t xml:space="preserve">SIA IT staffing report; Sevenstep RPO parent</t>
  </si>
  <si>
    <t xml:space="preserve">https://www.staffingindustry.com/editorial/it-staffing-report/largest-us-it-staffing-firms-generate-27.2b-in-revenue</t>
  </si>
  <si>
    <t xml:space="preserve">Patriot Growth Insurance Services LLC</t>
  </si>
  <si>
    <t xml:space="preserve">Fort Washington</t>
  </si>
  <si>
    <t xml:space="preserve">patriotgis.com</t>
  </si>
  <si>
    <t xml:space="preserve">Summit Partners; GI Partners</t>
  </si>
  <si>
    <t xml:space="preserve">Matt Gardner</t>
  </si>
  <si>
    <t xml:space="preserve">Business Insurance 2025 rank 25</t>
  </si>
  <si>
    <t xml:space="preserve">STV</t>
  </si>
  <si>
    <t xml:space="preserve">stvinc.com</t>
  </si>
  <si>
    <t xml:space="preserve">The Pritzker Organization</t>
  </si>
  <si>
    <t xml:space="preserve">Greg Kelly</t>
  </si>
  <si>
    <t xml:space="preserve">ENR 2026 Top 500 rank 32</t>
  </si>
  <si>
    <t xml:space="preserve">System One</t>
  </si>
  <si>
    <t xml:space="preserve">systemone.com</t>
  </si>
  <si>
    <t xml:space="preserve">Oaktree Capital Management</t>
  </si>
  <si>
    <t xml:space="preserve">Troy Gregory</t>
  </si>
  <si>
    <t xml:space="preserve">The Hilb Group LLC</t>
  </si>
  <si>
    <t xml:space="preserve">hilbgroup.com</t>
  </si>
  <si>
    <t xml:space="preserve">Ricky Spiro</t>
  </si>
  <si>
    <t xml:space="preserve">Business Insurance 2025 rank 22</t>
  </si>
  <si>
    <t xml:space="preserve">Vensure Employer Solutions</t>
  </si>
  <si>
    <t xml:space="preserve">PEO &amp; payroll</t>
  </si>
  <si>
    <t xml:space="preserve">vensure.com</t>
  </si>
  <si>
    <t xml:space="preserve">Alex Campos</t>
  </si>
  <si>
    <t xml:space="preserve">Acquisitive PEO platform; band estimated (net revenue unknown)</t>
  </si>
  <si>
    <t xml:space="preserve">https://www.vensure.com</t>
  </si>
  <si>
    <t xml:space="preserve">World Insurance Associates LLC</t>
  </si>
  <si>
    <t xml:space="preserve">worldinsurance.com</t>
  </si>
  <si>
    <t xml:space="preserve">Charlesbank Capital Partners; Goldman Sachs Asset Management</t>
  </si>
  <si>
    <t xml:space="preserve">Rich Eknoian</t>
  </si>
  <si>
    <t xml:space="preserve">Business Insurance 2025 rank 23</t>
  </si>
  <si>
    <t xml:space="preserve">CHA Consulting Inc.</t>
  </si>
  <si>
    <t xml:space="preserve">Albany</t>
  </si>
  <si>
    <t xml:space="preserve">chacompanies.com</t>
  </si>
  <si>
    <t xml:space="preserve">Jim Stephenson</t>
  </si>
  <si>
    <t xml:space="preserve">ENR 2026 Top 500 rank 57</t>
  </si>
  <si>
    <t xml:space="preserve">Holmes Murphy &amp; Associates Inc.</t>
  </si>
  <si>
    <t xml:space="preserve">Waukee</t>
  </si>
  <si>
    <t xml:space="preserve">holmesmurphy.com</t>
  </si>
  <si>
    <t xml:space="preserve">Dan Keough</t>
  </si>
  <si>
    <t xml:space="preserve">Business Insurance 2025 rank 27</t>
  </si>
  <si>
    <t xml:space="preserve">Kidder Mathews</t>
  </si>
  <si>
    <t xml:space="preserve">kidder.com</t>
  </si>
  <si>
    <t xml:space="preserve">Bill Frame</t>
  </si>
  <si>
    <t xml:space="preserve">Largest independent West Coast CRE firm; band estimated</t>
  </si>
  <si>
    <t xml:space="preserve">Medix</t>
  </si>
  <si>
    <t xml:space="preserve">medixteam.com</t>
  </si>
  <si>
    <t xml:space="preserve">Andrew Limouris</t>
  </si>
  <si>
    <t xml:space="preserve">Northmarq</t>
  </si>
  <si>
    <t xml:space="preserve">northmarq.com</t>
  </si>
  <si>
    <t xml:space="preserve">Jeff Weidell</t>
  </si>
  <si>
    <t xml:space="preserve">Pohlad family; band estimated from headcount</t>
  </si>
  <si>
    <t xml:space="preserve">Relation Insurance Inc.</t>
  </si>
  <si>
    <t xml:space="preserve">relationinsurance.com</t>
  </si>
  <si>
    <t xml:space="preserve">Tim Hall</t>
  </si>
  <si>
    <t xml:space="preserve">Business Insurance 2025 rank 33</t>
  </si>
  <si>
    <t xml:space="preserve">The Planet Group</t>
  </si>
  <si>
    <t xml:space="preserve">theplanetgroup.com</t>
  </si>
  <si>
    <t xml:space="preserve">Jason Cutler</t>
  </si>
  <si>
    <t xml:space="preserve">https://www.theplanetgroup.com/blog/the-planet-group-secures-spot-on-sias-2025-largest-us-staffing-firms-list</t>
  </si>
  <si>
    <t xml:space="preserve">Transwestern</t>
  </si>
  <si>
    <t xml:space="preserve">transwestern.com</t>
  </si>
  <si>
    <t xml:space="preserve">Larry Heard</t>
  </si>
  <si>
    <t xml:space="preserve">Verdantas</t>
  </si>
  <si>
    <t xml:space="preserve">verdantas.com</t>
  </si>
  <si>
    <t xml:space="preserve">Gerry Salontai</t>
  </si>
  <si>
    <t xml:space="preserve">ENR 2026 Top 500 rank 73; PE roll-up of environmental firms</t>
  </si>
  <si>
    <t xml:space="preserve">AG1 (Athletic Greens)</t>
  </si>
  <si>
    <t xml:space="preserve">DTC nutrition supplements</t>
  </si>
  <si>
    <t xml:space="preserve">Carson City</t>
  </si>
  <si>
    <t xml:space="preserve">drinkag1.com</t>
  </si>
  <si>
    <t xml:space="preserve">Kat Cole</t>
  </si>
  <si>
    <t xml:space="preserve">Reported ~$600M revenue; Kat Cole CEO 2024</t>
  </si>
  <si>
    <t xml:space="preserve">https://drinkag1.com</t>
  </si>
  <si>
    <t xml:space="preserve">David Yurman</t>
  </si>
  <si>
    <t xml:space="preserve">luxury jewelry brand and retailer</t>
  </si>
  <si>
    <t xml:space="preserve">davidyurman.com</t>
  </si>
  <si>
    <t xml:space="preserve">Evan Yurman</t>
  </si>
  <si>
    <t xml:space="preserve">CIO; COO; VP Ecommerce; VP Retail</t>
  </si>
  <si>
    <t xml:space="preserve">Family-owned; ~50 boutiques</t>
  </si>
  <si>
    <t xml:space="preserve">https://davidyurman.com</t>
  </si>
  <si>
    <t xml:space="preserve">Gabe's (Gabriel Brothers)</t>
  </si>
  <si>
    <t xml:space="preserve">off-price regional chain</t>
  </si>
  <si>
    <t xml:space="preserve">Morgantown</t>
  </si>
  <si>
    <t xml:space="preserve">gabesstores.com</t>
  </si>
  <si>
    <t xml:space="preserve">Anthony Brough</t>
  </si>
  <si>
    <t xml:space="preserve">CIO; COO; VP Merchandising; VP Supply Chain</t>
  </si>
  <si>
    <t xml:space="preserve">Acquired Old Time Pottery; Warburg since 2016</t>
  </si>
  <si>
    <t xml:space="preserve">https://gabesstores.com</t>
  </si>
  <si>
    <t xml:space="preserve">Harry's Inc. (Mammoth Brands)</t>
  </si>
  <si>
    <t xml:space="preserve">personal care consumer products</t>
  </si>
  <si>
    <t xml:space="preserve">harrys.com</t>
  </si>
  <si>
    <t xml:space="preserve">Andy Katz-Mayfield; Jeff Raider</t>
  </si>
  <si>
    <t xml:space="preserve">Harry's; Flamingo; Lume; Mando brands</t>
  </si>
  <si>
    <t xml:space="preserve">Haverty Furniture Companies</t>
  </si>
  <si>
    <t xml:space="preserve">furniture regional chain</t>
  </si>
  <si>
    <t xml:space="preserve">havertys.com</t>
  </si>
  <si>
    <t xml:space="preserve">Steven Burdette</t>
  </si>
  <si>
    <t xml:space="preserve">CIO; COO; VP Supply Chain; VP Marketing</t>
  </si>
  <si>
    <t xml:space="preserve">~130 stores Southeast/Midwest</t>
  </si>
  <si>
    <t xml:space="preserve">https://en.wikipedia.org/wiki/Havertys</t>
  </si>
  <si>
    <t xml:space="preserve">Hot Topic Inc.</t>
  </si>
  <si>
    <t xml:space="preserve">pop culture apparel specialty retailer</t>
  </si>
  <si>
    <t xml:space="preserve">City of Industry</t>
  </si>
  <si>
    <t xml:space="preserve">hottopic.com</t>
  </si>
  <si>
    <t xml:space="preserve">Sycamore Partners</t>
  </si>
  <si>
    <t xml:space="preserve">Steve Vranes</t>
  </si>
  <si>
    <t xml:space="preserve">CIO; COO; VP Ecommerce; VP Merchandising</t>
  </si>
  <si>
    <t xml:space="preserve">Includes BoxLunch and Her Universe</t>
  </si>
  <si>
    <t xml:space="preserve">https://hottopic.com</t>
  </si>
  <si>
    <t xml:space="preserve">Lakeshore Learning Materials</t>
  </si>
  <si>
    <t xml:space="preserve">educational products retailer and manufacturer</t>
  </si>
  <si>
    <t xml:space="preserve">Carson</t>
  </si>
  <si>
    <t xml:space="preserve">lakeshorelearning.com</t>
  </si>
  <si>
    <t xml:space="preserve">Bo Kaplan</t>
  </si>
  <si>
    <t xml:space="preserve">Family-founded; LGP minority</t>
  </si>
  <si>
    <t xml:space="preserve">Misfits Market</t>
  </si>
  <si>
    <t xml:space="preserve">online grocery and imperfect produce</t>
  </si>
  <si>
    <t xml:space="preserve">Delanco</t>
  </si>
  <si>
    <t xml:space="preserve">misfitsmarket.com</t>
  </si>
  <si>
    <t xml:space="preserve">Abhi Ramesh</t>
  </si>
  <si>
    <t xml:space="preserve">CTO; COO; VP Fulfillment; VP Growth</t>
  </si>
  <si>
    <t xml:space="preserve">Acquired Imperfect Foods</t>
  </si>
  <si>
    <t xml:space="preserve">https://misfitsmarket.com</t>
  </si>
  <si>
    <t xml:space="preserve">Ocean State Job Lot</t>
  </si>
  <si>
    <t xml:space="preserve">closeout discount regional chain</t>
  </si>
  <si>
    <t xml:space="preserve">North Kingstown</t>
  </si>
  <si>
    <t xml:space="preserve">oceanstatejoblot.com</t>
  </si>
  <si>
    <t xml:space="preserve">Marc Perlman</t>
  </si>
  <si>
    <t xml:space="preserve">CIO; COO; VP Merchandising</t>
  </si>
  <si>
    <t xml:space="preserve">~150 stores Northeast</t>
  </si>
  <si>
    <t xml:space="preserve">https://oceanstatejoblot.com</t>
  </si>
  <si>
    <t xml:space="preserve">PDC Brands</t>
  </si>
  <si>
    <t xml:space="preserve">beauty and wellness consumer products</t>
  </si>
  <si>
    <t xml:space="preserve">pdcbrands.com</t>
  </si>
  <si>
    <t xml:space="preserve">CVC Capital Partners; Leonard Green &amp; Partners</t>
  </si>
  <si>
    <t xml:space="preserve">Michel Brousset</t>
  </si>
  <si>
    <t xml:space="preserve">COO; CIO; CMO; VP Ecommerce</t>
  </si>
  <si>
    <t xml:space="preserve">Cantu and Dr Teal's brands</t>
  </si>
  <si>
    <t xml:space="preserve">PMI Worldwide (Stanley 1913)</t>
  </si>
  <si>
    <t xml:space="preserve">drinkware consumer products</t>
  </si>
  <si>
    <t xml:space="preserve">stanley1913.com</t>
  </si>
  <si>
    <t xml:space="preserve">Matt Navarro</t>
  </si>
  <si>
    <t xml:space="preserve">COO; CIO; VP Ecommerce; CMO</t>
  </si>
  <si>
    <t xml:space="preserve">Stanley brand reported $750M+ 2023</t>
  </si>
  <si>
    <t xml:space="preserve">https://stanley1913.com</t>
  </si>
  <si>
    <t xml:space="preserve">Room &amp; Board</t>
  </si>
  <si>
    <t xml:space="preserve">modern furniture omnichannel retailer</t>
  </si>
  <si>
    <t xml:space="preserve">roomandboard.com</t>
  </si>
  <si>
    <t xml:space="preserve">Bruce Champeau</t>
  </si>
  <si>
    <t xml:space="preserve">CIO; COO; VP Ecommerce; VP Delivery</t>
  </si>
  <si>
    <t xml:space="preserve">Transitioned to employee ownership</t>
  </si>
  <si>
    <t xml:space="preserve">https://roomandboard.com</t>
  </si>
  <si>
    <t xml:space="preserve">The Cato Corporation</t>
  </si>
  <si>
    <t xml:space="preserve">women's value apparel regional chain</t>
  </si>
  <si>
    <t xml:space="preserve">catofashions.com</t>
  </si>
  <si>
    <t xml:space="preserve">John Cato</t>
  </si>
  <si>
    <t xml:space="preserve">~1100 small-market stores</t>
  </si>
  <si>
    <t xml:space="preserve">https://en.wikipedia.org/wiki/Cato_Corporation</t>
  </si>
  <si>
    <t xml:space="preserve">The Container Store</t>
  </si>
  <si>
    <t xml:space="preserve">storage and organization specialty retailer</t>
  </si>
  <si>
    <t xml:space="preserve">Coppell</t>
  </si>
  <si>
    <t xml:space="preserve">containerstore.com</t>
  </si>
  <si>
    <t xml:space="preserve">Satish Malhotra</t>
  </si>
  <si>
    <t xml:space="preserve">CIO; COO; VP Ecommerce; VP Custom Spaces</t>
  </si>
  <si>
    <t xml:space="preserve">Lender-owned after 2024-25 Chapter 11</t>
  </si>
  <si>
    <t xml:space="preserve">https://en.wikipedia.org/wiki/The_Container_Store</t>
  </si>
  <si>
    <t xml:space="preserve">The Vita Coco Company</t>
  </si>
  <si>
    <t xml:space="preserve">beverage consumer products</t>
  </si>
  <si>
    <t xml:space="preserve">vitacoco.com</t>
  </si>
  <si>
    <t xml:space="preserve">Martin Roper</t>
  </si>
  <si>
    <t xml:space="preserve">COO; CIO; VP Supply Chain; VP Revenue Management</t>
  </si>
  <si>
    <t xml:space="preserve">Asset-light co-manufacturing model</t>
  </si>
  <si>
    <t xml:space="preserve">https://en.wikipedia.org/wiki/Vita_Coco</t>
  </si>
  <si>
    <t xml:space="preserve">Tilly's</t>
  </si>
  <si>
    <t xml:space="preserve">youth apparel specialty retailer</t>
  </si>
  <si>
    <t xml:space="preserve">tillys.com</t>
  </si>
  <si>
    <t xml:space="preserve">Hezy Shaked</t>
  </si>
  <si>
    <t xml:space="preserve">CIO; COO; VP Ecommerce</t>
  </si>
  <si>
    <t xml:space="preserve">~240 stores; margin pressure</t>
  </si>
  <si>
    <t xml:space="preserve">https://en.wikipedia.org/wiki/Tilly%27s</t>
  </si>
  <si>
    <t xml:space="preserve">Trove Brands (Owala / BlenderBottle)</t>
  </si>
  <si>
    <t xml:space="preserve">trovebrands.com</t>
  </si>
  <si>
    <t xml:space="preserve">Kim Sorensen</t>
  </si>
  <si>
    <t xml:space="preserve">COO; CIO; VP Ecommerce; VP Sales</t>
  </si>
  <si>
    <t xml:space="preserve">Owala one of fastest-growing drinkware brands</t>
  </si>
  <si>
    <t xml:space="preserve">https://trovebrands.com</t>
  </si>
  <si>
    <t xml:space="preserve">Von Maur</t>
  </si>
  <si>
    <t xml:space="preserve">regional department store chain</t>
  </si>
  <si>
    <t xml:space="preserve">Davenport</t>
  </si>
  <si>
    <t xml:space="preserve">vonmaur.com</t>
  </si>
  <si>
    <t xml:space="preserve">Jim von Maur</t>
  </si>
  <si>
    <t xml:space="preserve">CIO; COO; VP Ecommerce; VP Stores</t>
  </si>
  <si>
    <t xml:space="preserve">Midwest; ~37 stores</t>
  </si>
  <si>
    <t xml:space="preserve">https://en.wikipedia.org/wiki/Von_Maur</t>
  </si>
  <si>
    <t xml:space="preserve">Windsor Fashions</t>
  </si>
  <si>
    <t xml:space="preserve">occasion apparel specialty retailer</t>
  </si>
  <si>
    <t xml:space="preserve">Santa Fe Springs</t>
  </si>
  <si>
    <t xml:space="preserve">windsorstore.com</t>
  </si>
  <si>
    <t xml:space="preserve">Sun Capital Partners</t>
  </si>
  <si>
    <t xml:space="preserve">~300 mall stores</t>
  </si>
  <si>
    <t xml:space="preserve">https://windsorstore.com</t>
  </si>
  <si>
    <t xml:space="preserve">Zumiez</t>
  </si>
  <si>
    <t xml:space="preserve">Lynnwood</t>
  </si>
  <si>
    <t xml:space="preserve">zumiez.com</t>
  </si>
  <si>
    <t xml:space="preserve">Rick Brooks</t>
  </si>
  <si>
    <t xml:space="preserve">Omnichannel localized fulfillment model</t>
  </si>
  <si>
    <t xml:space="preserve">https://en.wikipedia.org/wiki/Zumiez</t>
  </si>
  <si>
    <t xml:space="preserve">Altar'd State (Stand Out For Good)</t>
  </si>
  <si>
    <t xml:space="preserve">women's boutique apparel chain</t>
  </si>
  <si>
    <t xml:space="preserve">Maryville</t>
  </si>
  <si>
    <t xml:space="preserve">altardstate.com</t>
  </si>
  <si>
    <t xml:space="preserve">Aaron Walters</t>
  </si>
  <si>
    <t xml:space="preserve">Also Arula and Vow'd; founder-owned</t>
  </si>
  <si>
    <t xml:space="preserve">https://altardstate.com</t>
  </si>
  <si>
    <t xml:space="preserve">Article</t>
  </si>
  <si>
    <t xml:space="preserve">DTC furniture ecommerce</t>
  </si>
  <si>
    <t xml:space="preserve">article.com</t>
  </si>
  <si>
    <t xml:space="preserve">Aamir Baig</t>
  </si>
  <si>
    <t xml:space="preserve">CTO; COO; VP Ecommerce; VP Supply Chain</t>
  </si>
  <si>
    <t xml:space="preserve">Canada HQ; primarily US customers</t>
  </si>
  <si>
    <t xml:space="preserve">https://article.com</t>
  </si>
  <si>
    <t xml:space="preserve">BARK</t>
  </si>
  <si>
    <t xml:space="preserve">DTC pet products</t>
  </si>
  <si>
    <t xml:space="preserve">bark.co</t>
  </si>
  <si>
    <t xml:space="preserve">Matt Meeker</t>
  </si>
  <si>
    <t xml:space="preserve">BarkBox subscription</t>
  </si>
  <si>
    <t xml:space="preserve">https://en.wikipedia.org/wiki/Bark_(company)</t>
  </si>
  <si>
    <t xml:space="preserve">Blick Art Materials</t>
  </si>
  <si>
    <t xml:space="preserve">art supplies omnichannel retailer</t>
  </si>
  <si>
    <t xml:space="preserve">Highland Park</t>
  </si>
  <si>
    <t xml:space="preserve">dickblick.com</t>
  </si>
  <si>
    <t xml:space="preserve">Robert Buchsbaum</t>
  </si>
  <si>
    <t xml:space="preserve">Family owned since 1911; strong catalog/ecommerce</t>
  </si>
  <si>
    <t xml:space="preserve">https://dickblick.com</t>
  </si>
  <si>
    <t xml:space="preserve">Books-A-Million</t>
  </si>
  <si>
    <t xml:space="preserve">bookstore regional chain</t>
  </si>
  <si>
    <t xml:space="preserve">booksamillion.com</t>
  </si>
  <si>
    <t xml:space="preserve">Terry Finley</t>
  </si>
  <si>
    <t xml:space="preserve">Anderson family; ~260 stores</t>
  </si>
  <si>
    <t xml:space="preserve">https://en.wikipedia.org/wiki/Books-A-Million</t>
  </si>
  <si>
    <t xml:space="preserve">Chomps</t>
  </si>
  <si>
    <t xml:space="preserve">meat snacks consumer products</t>
  </si>
  <si>
    <t xml:space="preserve">chomps.com</t>
  </si>
  <si>
    <t xml:space="preserve">Pete Maldonado</t>
  </si>
  <si>
    <t xml:space="preserve">COO; CIO; VP Sales; VP Supply Chain</t>
  </si>
  <si>
    <t xml:space="preserve">Reported ~$500M run-rate 2025; Stride Consumer minority</t>
  </si>
  <si>
    <t xml:space="preserve">https://chomps.com</t>
  </si>
  <si>
    <t xml:space="preserve">Cirkul</t>
  </si>
  <si>
    <t xml:space="preserve">flavored hydration consumer products</t>
  </si>
  <si>
    <t xml:space="preserve">drinkcirkul.com</t>
  </si>
  <si>
    <t xml:space="preserve">Garrett Waggoner</t>
  </si>
  <si>
    <t xml:space="preserve">COO; CIO; VP Ecommerce; VP Retail Sales</t>
  </si>
  <si>
    <t xml:space="preserve">Walmart-led retail expansion; unicorn 2022</t>
  </si>
  <si>
    <t xml:space="preserve">https://drinkcirkul.com</t>
  </si>
  <si>
    <t xml:space="preserve">Crunch Fitness</t>
  </si>
  <si>
    <t xml:space="preserve">fitness franchisor and operator</t>
  </si>
  <si>
    <t xml:space="preserve">crunch.com</t>
  </si>
  <si>
    <t xml:space="preserve">Jim Rowley</t>
  </si>
  <si>
    <t xml:space="preserve">LGP acquired from TPG 2025</t>
  </si>
  <si>
    <t xml:space="preserve">EoS Fitness</t>
  </si>
  <si>
    <t xml:space="preserve">high-value low-price gym operator</t>
  </si>
  <si>
    <t xml:space="preserve">eosfitness.com</t>
  </si>
  <si>
    <t xml:space="preserve">Rich Drengberg</t>
  </si>
  <si>
    <t xml:space="preserve">CIO; COO; CMO; VP Member Experience</t>
  </si>
  <si>
    <t xml:space="preserve">180+ clubs Sunbelt</t>
  </si>
  <si>
    <t xml:space="preserve">FTD</t>
  </si>
  <si>
    <t xml:space="preserve">floral gifting ecommerce and network</t>
  </si>
  <si>
    <t xml:space="preserve">ftd.com</t>
  </si>
  <si>
    <t xml:space="preserve">Nexus Capital Management</t>
  </si>
  <si>
    <t xml:space="preserve">Tom Moeller</t>
  </si>
  <si>
    <t xml:space="preserve">CTO; COO; VP Digital; VP Florist Network</t>
  </si>
  <si>
    <t xml:space="preserve">Rebuilt post-2019 bankruptcy</t>
  </si>
  <si>
    <t xml:space="preserve">https://ftd.com</t>
  </si>
  <si>
    <t xml:space="preserve">Francesca's</t>
  </si>
  <si>
    <t xml:space="preserve">francescas.com</t>
  </si>
  <si>
    <t xml:space="preserve">TerraMar Capital</t>
  </si>
  <si>
    <t xml:space="preserve">Andrew Clarke</t>
  </si>
  <si>
    <t xml:space="preserve">Acquired out of bankruptcy 2021</t>
  </si>
  <si>
    <t xml:space="preserve">https://francescas.com</t>
  </si>
  <si>
    <t xml:space="preserve">Kendra Scott</t>
  </si>
  <si>
    <t xml:space="preserve">jewelry brand and retailer</t>
  </si>
  <si>
    <t xml:space="preserve">kendrascott.com</t>
  </si>
  <si>
    <t xml:space="preserve">Tom Nolan</t>
  </si>
  <si>
    <t xml:space="preserve">~150 stores; Berkshire Partners minority</t>
  </si>
  <si>
    <t xml:space="preserve">https://kendrascott.com</t>
  </si>
  <si>
    <t xml:space="preserve">Kodiak Cakes</t>
  </si>
  <si>
    <t xml:space="preserve">better-for-you packaged food</t>
  </si>
  <si>
    <t xml:space="preserve">kodiakcakes.com</t>
  </si>
  <si>
    <t xml:space="preserve">Joel Clark</t>
  </si>
  <si>
    <t xml:space="preserve">L Catterton majority since 2021</t>
  </si>
  <si>
    <t xml:space="preserve">Liquid Death</t>
  </si>
  <si>
    <t xml:space="preserve">liquiddeath.com</t>
  </si>
  <si>
    <t xml:space="preserve">Mike Cessario</t>
  </si>
  <si>
    <t xml:space="preserve">COO; CIO; VP Sales; CMO</t>
  </si>
  <si>
    <t xml:space="preserve">Reported $333M 2024 retail sales; $1.4B valuation</t>
  </si>
  <si>
    <t xml:space="preserve">https://liquiddeath.com</t>
  </si>
  <si>
    <t xml:space="preserve">OLIPOP</t>
  </si>
  <si>
    <t xml:space="preserve">functional soda consumer products</t>
  </si>
  <si>
    <t xml:space="preserve">drinkolipop.com</t>
  </si>
  <si>
    <t xml:space="preserve">Ben Goodwin</t>
  </si>
  <si>
    <t xml:space="preserve">Reported $400M+ sales and $1.85B valuation 2025</t>
  </si>
  <si>
    <t xml:space="preserve">https://drinkolipop.com</t>
  </si>
  <si>
    <t xml:space="preserve">Olaplex Holdings</t>
  </si>
  <si>
    <t xml:space="preserve">prestige haircare consumer products</t>
  </si>
  <si>
    <t xml:space="preserve">olaplex.com</t>
  </si>
  <si>
    <t xml:space="preserve">Amanda Baldwin</t>
  </si>
  <si>
    <t xml:space="preserve">Advent holds majority</t>
  </si>
  <si>
    <t xml:space="preserve">https://en.wikipedia.org/wiki/Olaplex</t>
  </si>
  <si>
    <t xml:space="preserve">Orvis</t>
  </si>
  <si>
    <t xml:space="preserve">fly-fishing and outdoor lifestyle retailer</t>
  </si>
  <si>
    <t xml:space="preserve">Sunderland</t>
  </si>
  <si>
    <t xml:space="preserve">VT</t>
  </si>
  <si>
    <t xml:space="preserve">orvis.com</t>
  </si>
  <si>
    <t xml:space="preserve">Simon Perkins</t>
  </si>
  <si>
    <t xml:space="preserve">Restructured retail footprint 2024-25</t>
  </si>
  <si>
    <t xml:space="preserve">https://orvis.com</t>
  </si>
  <si>
    <t xml:space="preserve">PowerStop</t>
  </si>
  <si>
    <t xml:space="preserve">aftermarket brake consumer products</t>
  </si>
  <si>
    <t xml:space="preserve">powerstop.com</t>
  </si>
  <si>
    <t xml:space="preserve">Strong Amazon and DTC channel</t>
  </si>
  <si>
    <t xml:space="preserve">Purple Innovation</t>
  </si>
  <si>
    <t xml:space="preserve">DTC mattress brand</t>
  </si>
  <si>
    <t xml:space="preserve">purple.com</t>
  </si>
  <si>
    <t xml:space="preserve">Rob DeMartini</t>
  </si>
  <si>
    <t xml:space="preserve">CIO; COO; VP Ecommerce; VP Wholesale</t>
  </si>
  <si>
    <t xml:space="preserve">Coliseum Capital major holder</t>
  </si>
  <si>
    <t xml:space="preserve">https://en.wikipedia.org/wiki/Purple_Innovation</t>
  </si>
  <si>
    <t xml:space="preserve">Quick Quack Car Wash</t>
  </si>
  <si>
    <t xml:space="preserve">dontdrivedirty.com</t>
  </si>
  <si>
    <t xml:space="preserve">Seidler Equity Partners</t>
  </si>
  <si>
    <t xml:space="preserve">Jason Johnson</t>
  </si>
  <si>
    <t xml:space="preserve">Fast-growing express wash</t>
  </si>
  <si>
    <t xml:space="preserve">https://dontdrivedirty.com</t>
  </si>
  <si>
    <t xml:space="preserve">Rare Beauty</t>
  </si>
  <si>
    <t xml:space="preserve">prestige cosmetics consumer products</t>
  </si>
  <si>
    <t xml:space="preserve">rarebeauty.com</t>
  </si>
  <si>
    <t xml:space="preserve">Scott Friedman</t>
  </si>
  <si>
    <t xml:space="preserve">Reported $400M+ sales; founder Selena Gomez</t>
  </si>
  <si>
    <t xml:space="preserve">https://rarebeauty.com</t>
  </si>
  <si>
    <t xml:space="preserve">Reformation</t>
  </si>
  <si>
    <t xml:space="preserve">sustainable fashion brand and retailer</t>
  </si>
  <si>
    <t xml:space="preserve">thereformation.com</t>
  </si>
  <si>
    <t xml:space="preserve">Hali Borenstein</t>
  </si>
  <si>
    <t xml:space="preserve">Permira majority since 2019</t>
  </si>
  <si>
    <t xml:space="preserve">https://thereformation.com</t>
  </si>
  <si>
    <t xml:space="preserve">Rent the Runway</t>
  </si>
  <si>
    <t xml:space="preserve">fashion rental subscription</t>
  </si>
  <si>
    <t xml:space="preserve">renttherunway.com</t>
  </si>
  <si>
    <t xml:space="preserve">Jennifer Hyman</t>
  </si>
  <si>
    <t xml:space="preserve">CTO; COO; VP Merchandising; VP Data</t>
  </si>
  <si>
    <t xml:space="preserve">Restructured debt 2025</t>
  </si>
  <si>
    <t xml:space="preserve">https://en.wikipedia.org/wiki/Rent_the_Runway</t>
  </si>
  <si>
    <t xml:space="preserve">Ruggable</t>
  </si>
  <si>
    <t xml:space="preserve">DTC washable rugs</t>
  </si>
  <si>
    <t xml:space="preserve">ruggable.com</t>
  </si>
  <si>
    <t xml:space="preserve">Jeneva Bell</t>
  </si>
  <si>
    <t xml:space="preserve">COO; CTO; VP Ecommerce; VP Manufacturing</t>
  </si>
  <si>
    <t xml:space="preserve">Vertically integrated manufacturing</t>
  </si>
  <si>
    <t xml:space="preserve">https://ruggable.com</t>
  </si>
  <si>
    <t xml:space="preserve">Solo Brands</t>
  </si>
  <si>
    <t xml:space="preserve">DTC outdoor lifestyle brands</t>
  </si>
  <si>
    <t xml:space="preserve">Grapevine</t>
  </si>
  <si>
    <t xml:space="preserve">solobrands.com</t>
  </si>
  <si>
    <t xml:space="preserve">John Larson</t>
  </si>
  <si>
    <t xml:space="preserve">Solo Stove and Chubbies</t>
  </si>
  <si>
    <t xml:space="preserve">https://en.wikipedia.org/wiki/Solo_Brands</t>
  </si>
  <si>
    <t xml:space="preserve">Spanx</t>
  </si>
  <si>
    <t xml:space="preserve">shapewear and apparel brand</t>
  </si>
  <si>
    <t xml:space="preserve">spanx.com</t>
  </si>
  <si>
    <t xml:space="preserve">Kim Jones</t>
  </si>
  <si>
    <t xml:space="preserve">Blackstone majority since 2021</t>
  </si>
  <si>
    <t xml:space="preserve">https://spanx.com</t>
  </si>
  <si>
    <t xml:space="preserve">The Brand House Collective (Kirkland's)</t>
  </si>
  <si>
    <t xml:space="preserve">home decor specialty retailer</t>
  </si>
  <si>
    <t xml:space="preserve">kirklands.com</t>
  </si>
  <si>
    <t xml:space="preserve">Amy Sullivan</t>
  </si>
  <si>
    <t xml:space="preserve">Operating Bed Bath &amp; Beyond Home stores under Beyond Inc. partnership</t>
  </si>
  <si>
    <t xml:space="preserve">https://en.wikipedia.org/wiki/Kirkland%27s</t>
  </si>
  <si>
    <t xml:space="preserve">The Learning Experience</t>
  </si>
  <si>
    <t xml:space="preserve">early education franchisor</t>
  </si>
  <si>
    <t xml:space="preserve">Deerfield Beach</t>
  </si>
  <si>
    <t xml:space="preserve">thelearningexperience.com</t>
  </si>
  <si>
    <t xml:space="preserve">Golden Gate Capital</t>
  </si>
  <si>
    <t xml:space="preserve">Richard Weissman</t>
  </si>
  <si>
    <t xml:space="preserve">500+ centers</t>
  </si>
  <si>
    <t xml:space="preserve">https://thelearningexperience.com</t>
  </si>
  <si>
    <t xml:space="preserve">The Shade Store</t>
  </si>
  <si>
    <t xml:space="preserve">custom window treatments omnichannel</t>
  </si>
  <si>
    <t xml:space="preserve">Port Chester</t>
  </si>
  <si>
    <t xml:space="preserve">theshadestore.com</t>
  </si>
  <si>
    <t xml:space="preserve">Adam Gibbs</t>
  </si>
  <si>
    <t xml:space="preserve">CIO; COO; VP Ecommerce; VP Manufacturing</t>
  </si>
  <si>
    <t xml:space="preserve">Family-founded; 150+ showrooms</t>
  </si>
  <si>
    <t xml:space="preserve">Tidal Wave Auto Spa</t>
  </si>
  <si>
    <t xml:space="preserve">Thomaston</t>
  </si>
  <si>
    <t xml:space="preserve">tidalwaveautospa.com</t>
  </si>
  <si>
    <t xml:space="preserve">Scott Blackstock</t>
  </si>
  <si>
    <t xml:space="preserve">280+ locations</t>
  </si>
  <si>
    <t xml:space="preserve">https://tidalwaveautospa.com</t>
  </si>
  <si>
    <t xml:space="preserve">Tile Shop Holdings</t>
  </si>
  <si>
    <t xml:space="preserve">tile specialty retailer</t>
  </si>
  <si>
    <t xml:space="preserve">tileshop.com</t>
  </si>
  <si>
    <t xml:space="preserve">Cabell Lolmaugh</t>
  </si>
  <si>
    <t xml:space="preserve">~140 stores</t>
  </si>
  <si>
    <t xml:space="preserve">https://en.wikipedia.org/wiki/Tile_Shop_Holdings</t>
  </si>
  <si>
    <t xml:space="preserve">Vineyard Vines</t>
  </si>
  <si>
    <t xml:space="preserve">preppy lifestyle apparel brand</t>
  </si>
  <si>
    <t xml:space="preserve">vineyardvines.com</t>
  </si>
  <si>
    <t xml:space="preserve">Shep Murray; Ian Murray</t>
  </si>
  <si>
    <t xml:space="preserve">Founder-led brothers</t>
  </si>
  <si>
    <t xml:space="preserve">https://vineyardvines.com</t>
  </si>
  <si>
    <t xml:space="preserve">Zips Car Wash</t>
  </si>
  <si>
    <t xml:space="preserve">zipscarwash.com</t>
  </si>
  <si>
    <t xml:space="preserve">Atlantic Street Capital</t>
  </si>
  <si>
    <t xml:space="preserve">Rebecca Latacz</t>
  </si>
  <si>
    <t xml:space="preserve">Restructured 2025; ~260 sites</t>
  </si>
  <si>
    <t xml:space="preserve">https://zipscarwash.com</t>
  </si>
  <si>
    <t xml:space="preserve">Boll &amp; Branch</t>
  </si>
  <si>
    <t xml:space="preserve">DTC luxury bedding</t>
  </si>
  <si>
    <t xml:space="preserve">Summit</t>
  </si>
  <si>
    <t xml:space="preserve">bollandbranch.com</t>
  </si>
  <si>
    <t xml:space="preserve">Scott Tannen</t>
  </si>
  <si>
    <t xml:space="preserve">Opening retail stores</t>
  </si>
  <si>
    <t xml:space="preserve">Brooklinen</t>
  </si>
  <si>
    <t xml:space="preserve">DTC home textiles</t>
  </si>
  <si>
    <t xml:space="preserve">brooklinen.com</t>
  </si>
  <si>
    <t xml:space="preserve">COO; CTO; VP Ecommerce</t>
  </si>
  <si>
    <t xml:space="preserve">Expanding wholesale and stores</t>
  </si>
  <si>
    <t xml:space="preserve">https://brooklinen.com</t>
  </si>
  <si>
    <t xml:space="preserve">Cotopaxi</t>
  </si>
  <si>
    <t xml:space="preserve">DTC outdoor gear and apparel</t>
  </si>
  <si>
    <t xml:space="preserve">cotopaxi.com</t>
  </si>
  <si>
    <t xml:space="preserve">Damien Huang</t>
  </si>
  <si>
    <t xml:space="preserve">B Corp; Bain Capital Double Impact backed</t>
  </si>
  <si>
    <t xml:space="preserve">https://cotopaxi.com</t>
  </si>
  <si>
    <t xml:space="preserve">European Wax Center</t>
  </si>
  <si>
    <t xml:space="preserve">personal care services franchisor</t>
  </si>
  <si>
    <t xml:space="preserve">waxcenter.com</t>
  </si>
  <si>
    <t xml:space="preserve">Chris Morris</t>
  </si>
  <si>
    <t xml:space="preserve">General Atlantic remains major holder</t>
  </si>
  <si>
    <t xml:space="preserve">https://en.wikipedia.org/wiki/European_Wax_Center</t>
  </si>
  <si>
    <t xml:space="preserve">Evereve</t>
  </si>
  <si>
    <t xml:space="preserve">Edina</t>
  </si>
  <si>
    <t xml:space="preserve">evereve.com</t>
  </si>
  <si>
    <t xml:space="preserve">Mike Tamte</t>
  </si>
  <si>
    <t xml:space="preserve">~100 stores; family-founded</t>
  </si>
  <si>
    <t xml:space="preserve">https://evereve.com</t>
  </si>
  <si>
    <t xml:space="preserve">Everlane</t>
  </si>
  <si>
    <t xml:space="preserve">DTC apparel</t>
  </si>
  <si>
    <t xml:space="preserve">everlane.com</t>
  </si>
  <si>
    <t xml:space="preserve">Alfred Chang</t>
  </si>
  <si>
    <t xml:space="preserve">Turnaround under new CEO</t>
  </si>
  <si>
    <t xml:space="preserve">Faherty Brand</t>
  </si>
  <si>
    <t xml:space="preserve">DTC lifestyle apparel</t>
  </si>
  <si>
    <t xml:space="preserve">fahertybrand.com</t>
  </si>
  <si>
    <t xml:space="preserve">Alex Faherty</t>
  </si>
  <si>
    <t xml:space="preserve">Family-founded; 70+ stores</t>
  </si>
  <si>
    <t xml:space="preserve">https://fahertybrand.com</t>
  </si>
  <si>
    <t xml:space="preserve">Glossier</t>
  </si>
  <si>
    <t xml:space="preserve">beauty consumer products</t>
  </si>
  <si>
    <t xml:space="preserve">glossier.com</t>
  </si>
  <si>
    <t xml:space="preserve">Kyle Leahy</t>
  </si>
  <si>
    <t xml:space="preserve">Sephora-led wholesale pivot</t>
  </si>
  <si>
    <t xml:space="preserve">https://glossier.com</t>
  </si>
  <si>
    <t xml:space="preserve">Grove Collaborative</t>
  </si>
  <si>
    <t xml:space="preserve">DTC sustainable household goods</t>
  </si>
  <si>
    <t xml:space="preserve">grove.co</t>
  </si>
  <si>
    <t xml:space="preserve">Jeff Yurcisin</t>
  </si>
  <si>
    <t xml:space="preserve">Turnaround toward profitability</t>
  </si>
  <si>
    <t xml:space="preserve">https://en.wikipedia.org/wiki/Grove_Collaborative</t>
  </si>
  <si>
    <t xml:space="preserve">Half Price Books</t>
  </si>
  <si>
    <t xml:space="preserve">used books regional chain</t>
  </si>
  <si>
    <t xml:space="preserve">hpb.com</t>
  </si>
  <si>
    <t xml:space="preserve">Kathy Doyle Thomas</t>
  </si>
  <si>
    <t xml:space="preserve">~120 stores</t>
  </si>
  <si>
    <t xml:space="preserve">https://hpb.com</t>
  </si>
  <si>
    <t xml:space="preserve">Hand &amp; Stone Massage and Facial Spa</t>
  </si>
  <si>
    <t xml:space="preserve">spa services franchisor</t>
  </si>
  <si>
    <t xml:space="preserve">Hamilton</t>
  </si>
  <si>
    <t xml:space="preserve">handandstone.com</t>
  </si>
  <si>
    <t xml:space="preserve">Todd Leff</t>
  </si>
  <si>
    <t xml:space="preserve">600+ locations</t>
  </si>
  <si>
    <t xml:space="preserve">https://handandstone.com</t>
  </si>
  <si>
    <t xml:space="preserve">JustFoodForDogs</t>
  </si>
  <si>
    <t xml:space="preserve">fresh pet food retail and DTC</t>
  </si>
  <si>
    <t xml:space="preserve">justfoodfordogs.com</t>
  </si>
  <si>
    <t xml:space="preserve">Carey Tischler</t>
  </si>
  <si>
    <t xml:space="preserve">COO; CIO; VP Ecommerce; VP Retail</t>
  </si>
  <si>
    <t xml:space="preserve">Kitchens inside Petco stores</t>
  </si>
  <si>
    <t xml:space="preserve">Kizik</t>
  </si>
  <si>
    <t xml:space="preserve">hands-free footwear DTC</t>
  </si>
  <si>
    <t xml:space="preserve">kizik.com</t>
  </si>
  <si>
    <t xml:space="preserve">Monte Deere</t>
  </si>
  <si>
    <t xml:space="preserve">Nike-competing hands-free tech; HandsFree Labs parent</t>
  </si>
  <si>
    <t xml:space="preserve">https://kizik.com</t>
  </si>
  <si>
    <t xml:space="preserve">Massage Envy</t>
  </si>
  <si>
    <t xml:space="preserve">massage and skincare franchisor</t>
  </si>
  <si>
    <t xml:space="preserve">massageenvy.com</t>
  </si>
  <si>
    <t xml:space="preserve">Beth Stiller</t>
  </si>
  <si>
    <t xml:space="preserve">~1100 franchised locations</t>
  </si>
  <si>
    <t xml:space="preserve">https://massageenvy.com</t>
  </si>
  <si>
    <t xml:space="preserve">Paige</t>
  </si>
  <si>
    <t xml:space="preserve">premium denim brand</t>
  </si>
  <si>
    <t xml:space="preserve">paige.com</t>
  </si>
  <si>
    <t xml:space="preserve">Paige Adams-Geller</t>
  </si>
  <si>
    <t xml:space="preserve">COO; CIO; VP Ecommerce; VP Wholesale</t>
  </si>
  <si>
    <t xml:space="preserve">Playa Bowls</t>
  </si>
  <si>
    <t xml:space="preserve">fast-casual franchisor</t>
  </si>
  <si>
    <t xml:space="preserve">Belmar</t>
  </si>
  <si>
    <t xml:space="preserve">playabowls.com</t>
  </si>
  <si>
    <t xml:space="preserve">Dan Harmon</t>
  </si>
  <si>
    <t xml:space="preserve">COO; CIO; VP Franchise; CMO</t>
  </si>
  <si>
    <t xml:space="preserve">Sycamore acquired 2025; 300+ units</t>
  </si>
  <si>
    <t xml:space="preserve">https://playabowls.com</t>
  </si>
  <si>
    <t xml:space="preserve">Radiance Holdings (Sola Salons)</t>
  </si>
  <si>
    <t xml:space="preserve">salon suite franchisor</t>
  </si>
  <si>
    <t xml:space="preserve">radianceholdings.com</t>
  </si>
  <si>
    <t xml:space="preserve">Christina Russell</t>
  </si>
  <si>
    <t xml:space="preserve">Sola Salons and Woodhouse Spa</t>
  </si>
  <si>
    <t xml:space="preserve">Restore Hyper Wellness</t>
  </si>
  <si>
    <t xml:space="preserve">wellness services franchisor</t>
  </si>
  <si>
    <t xml:space="preserve">restore.com</t>
  </si>
  <si>
    <t xml:space="preserve">Jim Donnelly</t>
  </si>
  <si>
    <t xml:space="preserve">200+ studios</t>
  </si>
  <si>
    <t xml:space="preserve">https://restore.com</t>
  </si>
  <si>
    <t xml:space="preserve">Rothy's</t>
  </si>
  <si>
    <t xml:space="preserve">DTC footwear</t>
  </si>
  <si>
    <t xml:space="preserve">rothys.com</t>
  </si>
  <si>
    <t xml:space="preserve">Jenny Ming</t>
  </si>
  <si>
    <t xml:space="preserve">Alpargatas holds significant stake</t>
  </si>
  <si>
    <t xml:space="preserve">https://rothys.com</t>
  </si>
  <si>
    <t xml:space="preserve">Sport Clips</t>
  </si>
  <si>
    <t xml:space="preserve">Georgetown</t>
  </si>
  <si>
    <t xml:space="preserve">sportclips.com</t>
  </si>
  <si>
    <t xml:space="preserve">Edward Logan</t>
  </si>
  <si>
    <t xml:space="preserve">1800+ locations</t>
  </si>
  <si>
    <t xml:space="preserve">https://sportclips.com</t>
  </si>
  <si>
    <t xml:space="preserve">Summer Fridays</t>
  </si>
  <si>
    <t xml:space="preserve">prestige skincare and makeup</t>
  </si>
  <si>
    <t xml:space="preserve">summerfridays.com</t>
  </si>
  <si>
    <t xml:space="preserve">Marianna Hewitt; Lauren Ireland</t>
  </si>
  <si>
    <t xml:space="preserve">COO; CMO; VP Ecommerce</t>
  </si>
  <si>
    <t xml:space="preserve">Sephora-led growth; TSG invested 2024</t>
  </si>
  <si>
    <t xml:space="preserve">Super Star Car Wash</t>
  </si>
  <si>
    <t xml:space="preserve">superstarcarwash.com</t>
  </si>
  <si>
    <t xml:space="preserve">COO; CIO; VP Operations; CMO</t>
  </si>
  <si>
    <t xml:space="preserve">Southwest express wash</t>
  </si>
  <si>
    <t xml:space="preserve">WellBiz Brands</t>
  </si>
  <si>
    <t xml:space="preserve">beauty and wellness franchisor</t>
  </si>
  <si>
    <t xml:space="preserve">wellbizbrands.com</t>
  </si>
  <si>
    <t xml:space="preserve">Jeremy Morgan</t>
  </si>
  <si>
    <t xml:space="preserve">CIO; COO; VP Franchise Ops; CMO</t>
  </si>
  <si>
    <t xml:space="preserve">Drybar; Amazing Lash; Elements Massage</t>
  </si>
  <si>
    <t xml:space="preserve">https://wellbizbrands.com</t>
  </si>
  <si>
    <t xml:space="preserve">Dogtopia</t>
  </si>
  <si>
    <t xml:space="preserve">pet daycare franchisor</t>
  </si>
  <si>
    <t xml:space="preserve">dogtopia.com</t>
  </si>
  <si>
    <t xml:space="preserve">Neil Gill</t>
  </si>
  <si>
    <t xml:space="preserve">300+ locations</t>
  </si>
  <si>
    <t xml:space="preserve">https://dogtopia.com</t>
  </si>
  <si>
    <t xml:space="preserve">Marine Layer</t>
  </si>
  <si>
    <t xml:space="preserve">DTC casual apparel</t>
  </si>
  <si>
    <t xml:space="preserve">marinelayer.com</t>
  </si>
  <si>
    <t xml:space="preserve">Michael Natenshon</t>
  </si>
  <si>
    <t xml:space="preserve">COO; VP Ecommerce; VP Retail</t>
  </si>
  <si>
    <t xml:space="preserve">~60 stores</t>
  </si>
  <si>
    <t xml:space="preserve">https://marinelayer.com</t>
  </si>
  <si>
    <t xml:space="preserve">Rhone</t>
  </si>
  <si>
    <t xml:space="preserve">DTC men's activewear</t>
  </si>
  <si>
    <t xml:space="preserve">rhone.com</t>
  </si>
  <si>
    <t xml:space="preserve">Nate Checketts</t>
  </si>
  <si>
    <t xml:space="preserve">L Catterton minority investor</t>
  </si>
  <si>
    <t xml:space="preserve">https://rhone.com</t>
  </si>
  <si>
    <t xml:space="preserve">E2open</t>
  </si>
  <si>
    <t xml:space="preserve">supply chain network platform</t>
  </si>
  <si>
    <t xml:space="preserve">e2open.com</t>
  </si>
  <si>
    <t xml:space="preserve">Acquired by WiseTech Global 2025</t>
  </si>
  <si>
    <t xml:space="preserve">EverCommerce</t>
  </si>
  <si>
    <t xml:space="preserve">service SMB vertical software</t>
  </si>
  <si>
    <t xml:space="preserve">evercommerce.com</t>
  </si>
  <si>
    <t xml:space="preserve">NASDAQ: EVCM</t>
  </si>
  <si>
    <t xml:space="preserve">https://investors.evercommerce.com</t>
  </si>
  <si>
    <t xml:space="preserve">Community Brands</t>
  </si>
  <si>
    <t xml:space="preserve">association &amp; nonprofit software</t>
  </si>
  <si>
    <t xml:space="preserve">St. Petersburg</t>
  </si>
  <si>
    <t xml:space="preserve">communitybrands.com</t>
  </si>
  <si>
    <t xml:space="preserve">HealthStream</t>
  </si>
  <si>
    <t xml:space="preserve">healthcare workforce software</t>
  </si>
  <si>
    <t xml:space="preserve">healthstream.com</t>
  </si>
  <si>
    <t xml:space="preserve">Robert Frist</t>
  </si>
  <si>
    <t xml:space="preserve">NASDAQ: HSTM</t>
  </si>
  <si>
    <t xml:space="preserve">https://ir.healthstream.com</t>
  </si>
  <si>
    <t xml:space="preserve">Quorum Software</t>
  </si>
  <si>
    <t xml:space="preserve">energy industry software</t>
  </si>
  <si>
    <t xml:space="preserve">quorumsoftware.com</t>
  </si>
  <si>
    <t xml:space="preserve">Francisco Partners; Thoma Bravo</t>
  </si>
  <si>
    <t xml:space="preserve">Vertical SaaS for oil &amp; gas</t>
  </si>
  <si>
    <t xml:space="preserve">AdvancedMD</t>
  </si>
  <si>
    <t xml:space="preserve">practice management &amp; EHR</t>
  </si>
  <si>
    <t xml:space="preserve">advancedmd.com</t>
  </si>
  <si>
    <t xml:space="preserve">Amanda Sharp</t>
  </si>
  <si>
    <t xml:space="preserve">Acquired from Global Payments 2024</t>
  </si>
  <si>
    <t xml:space="preserve">Alegeus</t>
  </si>
  <si>
    <t xml:space="preserve">benefits &amp; healthcare payments</t>
  </si>
  <si>
    <t xml:space="preserve">alegeus.com</t>
  </si>
  <si>
    <t xml:space="preserve">Mark Waterhouse</t>
  </si>
  <si>
    <t xml:space="preserve">Consumer-directed healthcare fintech</t>
  </si>
  <si>
    <t xml:space="preserve">Asure Software</t>
  </si>
  <si>
    <t xml:space="preserve">asuresoftware.com</t>
  </si>
  <si>
    <t xml:space="preserve">Pat Goepel</t>
  </si>
  <si>
    <t xml:space="preserve">NASDAQ: ASUR</t>
  </si>
  <si>
    <t xml:space="preserve">https://investor.asuresoftware.com</t>
  </si>
  <si>
    <t xml:space="preserve">Daxko</t>
  </si>
  <si>
    <t xml:space="preserve">member-based organization software</t>
  </si>
  <si>
    <t xml:space="preserve">daxko.com</t>
  </si>
  <si>
    <t xml:space="preserve">Genstar Capital; GI Partners</t>
  </si>
  <si>
    <t xml:space="preserve">Ron Lamb</t>
  </si>
  <si>
    <t xml:space="preserve">https://www.daxko.com</t>
  </si>
  <si>
    <t xml:space="preserve">Fleetio</t>
  </si>
  <si>
    <t xml:space="preserve">fleet management software</t>
  </si>
  <si>
    <t xml:space="preserve">fleetio.com</t>
  </si>
  <si>
    <t xml:space="preserve">Jon Meachin</t>
  </si>
  <si>
    <t xml:space="preserve">$1.5B valuation; acquired Auto Integrate</t>
  </si>
  <si>
    <t xml:space="preserve">Office Ally</t>
  </si>
  <si>
    <t xml:space="preserve">clearinghouse &amp; practice management</t>
  </si>
  <si>
    <t xml:space="preserve">officeally.com</t>
  </si>
  <si>
    <t xml:space="preserve">Tecsys</t>
  </si>
  <si>
    <t xml:space="preserve">supply chain &amp; healthcare WMS</t>
  </si>
  <si>
    <t xml:space="preserve">Montreal</t>
  </si>
  <si>
    <t xml:space="preserve">tecsys.com</t>
  </si>
  <si>
    <t xml:space="preserve">Peter Brereton</t>
  </si>
  <si>
    <t xml:space="preserve">TSX: TCS</t>
  </si>
  <si>
    <t xml:space="preserve">https://www.tecsys.com/investors</t>
  </si>
  <si>
    <t xml:space="preserve">Togetherwork</t>
  </si>
  <si>
    <t xml:space="preserve">group &amp; association software</t>
  </si>
  <si>
    <t xml:space="preserve">togetherwork.com</t>
  </si>
  <si>
    <t xml:space="preserve">Park Square Capital; GI Partners</t>
  </si>
  <si>
    <t xml:space="preserve">Neil Platt</t>
  </si>
  <si>
    <t xml:space="preserve">https://www.togetherwork.com</t>
  </si>
  <si>
    <t xml:space="preserve">A. Duie Pyle</t>
  </si>
  <si>
    <t xml:space="preserve">LTL carrier / warehousing</t>
  </si>
  <si>
    <t xml:space="preserve">aduiepyle.com</t>
  </si>
  <si>
    <t xml:space="preserve">Peter Latta</t>
  </si>
  <si>
    <t xml:space="preserve">TT 2026 For-Hire No. 51; Northeast regional LTL</t>
  </si>
  <si>
    <t xml:space="preserve">https://www.ttnews.com/for-hire/rankings/2026</t>
  </si>
  <si>
    <t xml:space="preserve">Atlas World Group</t>
  </si>
  <si>
    <t xml:space="preserve">household goods / logistics</t>
  </si>
  <si>
    <t xml:space="preserve">atlasworldgroup.com</t>
  </si>
  <si>
    <t xml:space="preserve">Jack Griffin</t>
  </si>
  <si>
    <t xml:space="preserve">TT 2026 For-Hire No. 47; agent-owned van line</t>
  </si>
  <si>
    <t xml:space="preserve">CJ Logistics America</t>
  </si>
  <si>
    <t xml:space="preserve">3PL (contract warehousing)</t>
  </si>
  <si>
    <t xml:space="preserve">Des Plaines</t>
  </si>
  <si>
    <t xml:space="preserve">cjlogisticsamerica.com</t>
  </si>
  <si>
    <t xml:space="preserve">TT 2026 Logistics No. 57; No. 10 dry warehousing; parent CJ Logistics (Korea)</t>
  </si>
  <si>
    <t xml:space="preserve">Crane Worldwide Logistics</t>
  </si>
  <si>
    <t xml:space="preserve">freight forwarder</t>
  </si>
  <si>
    <t xml:space="preserve">craneww.com</t>
  </si>
  <si>
    <t xml:space="preserve">John Magee</t>
  </si>
  <si>
    <t xml:space="preserve">Evans Transportation Services</t>
  </si>
  <si>
    <t xml:space="preserve">evanstrans.com</t>
  </si>
  <si>
    <t xml:space="preserve">TT 2026 Logistics No. 92; Inc. 5000 2026 ($250-500M band)</t>
  </si>
  <si>
    <t xml:space="preserve">Heartland Express</t>
  </si>
  <si>
    <t xml:space="preserve">trucking carrier (truckload)</t>
  </si>
  <si>
    <t xml:space="preserve">North Liberty</t>
  </si>
  <si>
    <t xml:space="preserve">heartlandexpress.com</t>
  </si>
  <si>
    <t xml:space="preserve">Mike Gerdin</t>
  </si>
  <si>
    <t xml:space="preserve">TT 2026 For-Hire No. 53; integrating CFI and Smith Transport</t>
  </si>
  <si>
    <t xml:space="preserve">Hirschbach Motor Lines</t>
  </si>
  <si>
    <t xml:space="preserve">refrigerated trucking carrier</t>
  </si>
  <si>
    <t xml:space="preserve">hirschbach.com</t>
  </si>
  <si>
    <t xml:space="preserve">Richard Stocking</t>
  </si>
  <si>
    <t xml:space="preserve">TT 2026 For-Hire No. 58; acquired John Christner Trucking 2022</t>
  </si>
  <si>
    <t xml:space="preserve">IMC Logistics</t>
  </si>
  <si>
    <t xml:space="preserve">intermodal / drayage</t>
  </si>
  <si>
    <t xml:space="preserve">Collierville</t>
  </si>
  <si>
    <t xml:space="preserve">imcc.com</t>
  </si>
  <si>
    <t xml:space="preserve">TT 2026 For-Hire No. 50; largest US marine drayage provider</t>
  </si>
  <si>
    <t xml:space="preserve">Integrity Express Logistics</t>
  </si>
  <si>
    <t xml:space="preserve">freight brokerage</t>
  </si>
  <si>
    <t xml:space="preserve">ielfreight.com</t>
  </si>
  <si>
    <t xml:space="preserve">TT 2026 Logistics No. 61</t>
  </si>
  <si>
    <t xml:space="preserve">KLLM Transport Services</t>
  </si>
  <si>
    <t xml:space="preserve">Richland</t>
  </si>
  <si>
    <t xml:space="preserve">kllm.com</t>
  </si>
  <si>
    <t xml:space="preserve">Jim Richards</t>
  </si>
  <si>
    <t xml:space="preserve">TT 2026 For-Hire No. 45; owned by Duff Capital Investors</t>
  </si>
  <si>
    <t xml:space="preserve">Logistic Dynamics (LDi)</t>
  </si>
  <si>
    <t xml:space="preserve">freight brokerage (agent model)</t>
  </si>
  <si>
    <t xml:space="preserve">Amherst</t>
  </si>
  <si>
    <t xml:space="preserve">logisticdynamics.com</t>
  </si>
  <si>
    <t xml:space="preserve">COO; CTO; VP Operations; VP Agent Development</t>
  </si>
  <si>
    <t xml:space="preserve">TT 2026 Logistics No. 91</t>
  </si>
  <si>
    <t xml:space="preserve">Logistics Plus</t>
  </si>
  <si>
    <t xml:space="preserve">3PL / freight forwarder</t>
  </si>
  <si>
    <t xml:space="preserve">logisticsplus.com</t>
  </si>
  <si>
    <t xml:space="preserve">Jim Berlin</t>
  </si>
  <si>
    <t xml:space="preserve">TT 2026 Logistics No. 78; Inc. 5000 nine times</t>
  </si>
  <si>
    <t xml:space="preserve">https://www.logisticsplus.com/logistics-plus-moves-up-the-ranks-among-the-transport-topics-2026-top-100-north-american-logistics-companies/</t>
  </si>
  <si>
    <t xml:space="preserve">Marten Transport</t>
  </si>
  <si>
    <t xml:space="preserve">refrigerated trucking / intermodal / brokerage</t>
  </si>
  <si>
    <t xml:space="preserve">Mondovi</t>
  </si>
  <si>
    <t xml:space="preserve">marten.com</t>
  </si>
  <si>
    <t xml:space="preserve">Tim Kohl</t>
  </si>
  <si>
    <t xml:space="preserve">TT 2026 For-Hire No. 48 and Logistics No. 99</t>
  </si>
  <si>
    <t xml:space="preserve">MegaCorp Logistics</t>
  </si>
  <si>
    <t xml:space="preserve">megacorplogistics.com</t>
  </si>
  <si>
    <t xml:space="preserve">Ryan Legg</t>
  </si>
  <si>
    <t xml:space="preserve">TT 2026 Logistics No. 59</t>
  </si>
  <si>
    <t xml:space="preserve">Mesilla Valley Transportation</t>
  </si>
  <si>
    <t xml:space="preserve">El Paso</t>
  </si>
  <si>
    <t xml:space="preserve">m-v-t.com</t>
  </si>
  <si>
    <t xml:space="preserve">Royal Jones</t>
  </si>
  <si>
    <t xml:space="preserve">TT 2026 For-Hire No. 61; cross-border Mexico focus</t>
  </si>
  <si>
    <t xml:space="preserve">Neovia Logistics Services</t>
  </si>
  <si>
    <t xml:space="preserve">3PL (aftermarket parts / contract logistics)</t>
  </si>
  <si>
    <t xml:space="preserve">neovialogistics.com</t>
  </si>
  <si>
    <t xml:space="preserve">Goldman Sachs Asset Management; Rhone Group</t>
  </si>
  <si>
    <t xml:space="preserve">TT 2026 Logistics No. 85; former Caterpillar Logistics</t>
  </si>
  <si>
    <t xml:space="preserve">Odyssey Logistics</t>
  </si>
  <si>
    <t xml:space="preserve">3PL (chemical / managed transportation / forwarding)</t>
  </si>
  <si>
    <t xml:space="preserve">odysseylogistics.com</t>
  </si>
  <si>
    <t xml:space="preserve">The Jordan Company</t>
  </si>
  <si>
    <t xml:space="preserve">TT 2026 Logistics No. 60</t>
  </si>
  <si>
    <t xml:space="preserve">PAMT Corp.</t>
  </si>
  <si>
    <t xml:space="preserve">Tontitown</t>
  </si>
  <si>
    <t xml:space="preserve">pamtransport.com</t>
  </si>
  <si>
    <t xml:space="preserve">Joe Vitiritto</t>
  </si>
  <si>
    <t xml:space="preserve">TT 2026 For-Hire No. 65; formerly P.A.M. Transportation</t>
  </si>
  <si>
    <t xml:space="preserve">Quality Carriers</t>
  </si>
  <si>
    <t xml:space="preserve">bulk tank trucking carrier</t>
  </si>
  <si>
    <t xml:space="preserve">qualitycarriers.com</t>
  </si>
  <si>
    <t xml:space="preserve">TT 2026 For-Hire No. 52; owned by CSX since 2021</t>
  </si>
  <si>
    <t xml:space="preserve">Quantix SCS</t>
  </si>
  <si>
    <t xml:space="preserve">chemical logistics 3PL</t>
  </si>
  <si>
    <t xml:space="preserve">The Woodlands</t>
  </si>
  <si>
    <t xml:space="preserve">quantixscs.com</t>
  </si>
  <si>
    <t xml:space="preserve">Chris Ball</t>
  </si>
  <si>
    <t xml:space="preserve">TT 2026 For-Hire No. 49; bulk chemical transport and packaging</t>
  </si>
  <si>
    <t xml:space="preserve">RJW Logistics Group</t>
  </si>
  <si>
    <t xml:space="preserve">3PL (retail consolidation warehousing)</t>
  </si>
  <si>
    <t xml:space="preserve">Woodridge</t>
  </si>
  <si>
    <t xml:space="preserve">rjwgroup.com</t>
  </si>
  <si>
    <t xml:space="preserve">Mason Wells</t>
  </si>
  <si>
    <t xml:space="preserve">Kevin Williamson</t>
  </si>
  <si>
    <t xml:space="preserve">TT 2026 Logistics No. 77</t>
  </si>
  <si>
    <t xml:space="preserve">Radiant Logistics</t>
  </si>
  <si>
    <t xml:space="preserve">freight forwarder / 3PL</t>
  </si>
  <si>
    <t xml:space="preserve">Renton</t>
  </si>
  <si>
    <t xml:space="preserve">radiantdelivers.com</t>
  </si>
  <si>
    <t xml:space="preserve">Bohn Crain</t>
  </si>
  <si>
    <t xml:space="preserve">TT 2026 Logistics No. 67; active acquirer of agent stations</t>
  </si>
  <si>
    <t xml:space="preserve">RoadOne IntermodaLogistics</t>
  </si>
  <si>
    <t xml:space="preserve">Randolph</t>
  </si>
  <si>
    <t xml:space="preserve">roadone.com</t>
  </si>
  <si>
    <t xml:space="preserve">Ken Kellaway</t>
  </si>
  <si>
    <t xml:space="preserve">TT 2026 For-Hire No. 59; acquisitive drayage roll-up</t>
  </si>
  <si>
    <t xml:space="preserve">Saddle Creek Logistics Services</t>
  </si>
  <si>
    <t xml:space="preserve">3PL (omnichannel warehousing / fulfillment)</t>
  </si>
  <si>
    <t xml:space="preserve">Lakeland</t>
  </si>
  <si>
    <t xml:space="preserve">sclogistics.com</t>
  </si>
  <si>
    <t xml:space="preserve">Mark Cabrera</t>
  </si>
  <si>
    <t xml:space="preserve">TT 2026 Logistics No. 63; No. 9 dry warehousing</t>
  </si>
  <si>
    <t xml:space="preserve">Spot Inc.</t>
  </si>
  <si>
    <t xml:space="preserve">spotinc.com</t>
  </si>
  <si>
    <t xml:space="preserve">Andrew Elsener</t>
  </si>
  <si>
    <t xml:space="preserve">TT 2026 Logistics No. 61; A&amp;A Top 100 3PL</t>
  </si>
  <si>
    <t xml:space="preserve">https://spotinc.com/news/spot-again-lands-on-armstrong-associates-top-100-3pls-list/</t>
  </si>
  <si>
    <t xml:space="preserve">Steam Logistics</t>
  </si>
  <si>
    <t xml:space="preserve">freight brokerage / forwarding</t>
  </si>
  <si>
    <t xml:space="preserve">steamlogistics.com</t>
  </si>
  <si>
    <t xml:space="preserve">Jason Provonsha</t>
  </si>
  <si>
    <t xml:space="preserve">TT 2026 Logistics No. 87</t>
  </si>
  <si>
    <t xml:space="preserve">Stevens Transport</t>
  </si>
  <si>
    <t xml:space="preserve">stevenstransport.com</t>
  </si>
  <si>
    <t xml:space="preserve">Todd Aaron</t>
  </si>
  <si>
    <t xml:space="preserve">TT 2026 For-Hire No. 56</t>
  </si>
  <si>
    <t xml:space="preserve">TMC Transportation</t>
  </si>
  <si>
    <t xml:space="preserve">flatbed trucking carrier</t>
  </si>
  <si>
    <t xml:space="preserve">tmctrans.com</t>
  </si>
  <si>
    <t xml:space="preserve">TT 2026 For-Hire No. 60; ESOP-owned</t>
  </si>
  <si>
    <t xml:space="preserve">UniGroup</t>
  </si>
  <si>
    <t xml:space="preserve">Fenton</t>
  </si>
  <si>
    <t xml:space="preserve">unigroup.com</t>
  </si>
  <si>
    <t xml:space="preserve">Marc Rogers</t>
  </si>
  <si>
    <t xml:space="preserve">TT 2026 For-Hire No. 46; agent-owned cooperative (United Van Lines and Mayflower)</t>
  </si>
  <si>
    <t xml:space="preserve">Venture Logistics</t>
  </si>
  <si>
    <t xml:space="preserve">trucking carrier / brokerage</t>
  </si>
  <si>
    <t xml:space="preserve">venturelogistics.com</t>
  </si>
  <si>
    <t xml:space="preserve">TT 2026 Logistics No. 93</t>
  </si>
  <si>
    <t xml:space="preserve">Western Express</t>
  </si>
  <si>
    <t xml:space="preserve">trucking carrier (truckload/flatbed)</t>
  </si>
  <si>
    <t xml:space="preserve">westernexp.com</t>
  </si>
  <si>
    <t xml:space="preserve">Wayne Wise</t>
  </si>
  <si>
    <t xml:space="preserve">TT 2026 For-Hire No. 54</t>
  </si>
  <si>
    <t xml:space="preserve">Bay and Bay Transportation</t>
  </si>
  <si>
    <t xml:space="preserve">Eagan</t>
  </si>
  <si>
    <t xml:space="preserve">bayandbay.com</t>
  </si>
  <si>
    <t xml:space="preserve">Sam Anderson</t>
  </si>
  <si>
    <t xml:space="preserve">TT 2026 For-Hire No. 73; on A&amp;A 2026 top 3PL list</t>
  </si>
  <si>
    <t xml:space="preserve">Beemac Logistics</t>
  </si>
  <si>
    <t xml:space="preserve">flatbed carrier / brokerage</t>
  </si>
  <si>
    <t xml:space="preserve">Ambridge</t>
  </si>
  <si>
    <t xml:space="preserve">beemac.com</t>
  </si>
  <si>
    <t xml:space="preserve">TT 2026 For-Hire No. 68 and Logistics No. 97; Inc. 5000 2026</t>
  </si>
  <si>
    <t xml:space="preserve">Circle Logistics</t>
  </si>
  <si>
    <t xml:space="preserve">circledelivers.com</t>
  </si>
  <si>
    <t xml:space="preserve">TT 2026 Logistics No. 94</t>
  </si>
  <si>
    <t xml:space="preserve">Daylight Transport</t>
  </si>
  <si>
    <t xml:space="preserve">expedited LTL carrier</t>
  </si>
  <si>
    <t xml:space="preserve">dylt.com</t>
  </si>
  <si>
    <t xml:space="preserve">TT 2026 For-Hire No. 75</t>
  </si>
  <si>
    <t xml:space="preserve">Maverick Transportation</t>
  </si>
  <si>
    <t xml:space="preserve">North Little Rock</t>
  </si>
  <si>
    <t xml:space="preserve">maverickusa.com</t>
  </si>
  <si>
    <t xml:space="preserve">John Culp</t>
  </si>
  <si>
    <t xml:space="preserve">TT 2026 For-Hire No. 69</t>
  </si>
  <si>
    <t xml:space="preserve">Melton Truck Lines</t>
  </si>
  <si>
    <t xml:space="preserve">meltontruck.com</t>
  </si>
  <si>
    <t xml:space="preserve">Bob Peterson</t>
  </si>
  <si>
    <t xml:space="preserve">TT 2026 For-Hire No. 74</t>
  </si>
  <si>
    <t xml:space="preserve">ODW Logistics</t>
  </si>
  <si>
    <t xml:space="preserve">3PL (warehousing / transportation)</t>
  </si>
  <si>
    <t xml:space="preserve">odwlogistics.com</t>
  </si>
  <si>
    <t xml:space="preserve">John Ness</t>
  </si>
  <si>
    <t xml:space="preserve">TT 2026 Logistics No. 100</t>
  </si>
  <si>
    <t xml:space="preserve">Oak Harbor Freight Lines</t>
  </si>
  <si>
    <t xml:space="preserve">LTL carrier</t>
  </si>
  <si>
    <t xml:space="preserve">oakh.com</t>
  </si>
  <si>
    <t xml:space="preserve">TT 2026 For-Hire No. 76; Pacific Northwest regional LTL</t>
  </si>
  <si>
    <t xml:space="preserve">PGT Trucking</t>
  </si>
  <si>
    <t xml:space="preserve">Monaca</t>
  </si>
  <si>
    <t xml:space="preserve">pgttrucking.com</t>
  </si>
  <si>
    <t xml:space="preserve">Gregg Troian</t>
  </si>
  <si>
    <t xml:space="preserve">TT 2026 For-Hire No. 67 (PGT Holdings)</t>
  </si>
  <si>
    <t xml:space="preserve">RPM Freight Systems</t>
  </si>
  <si>
    <t xml:space="preserve">freight brokerage (vehicle and freight)</t>
  </si>
  <si>
    <t xml:space="preserve">Royal Oak</t>
  </si>
  <si>
    <t xml:space="preserve">loadrpm.com</t>
  </si>
  <si>
    <t xml:space="preserve">Barry Spilman</t>
  </si>
  <si>
    <t xml:space="preserve">TT 2026 Logistics No. 94; Inc. 5000 2026 ($250-500M band)</t>
  </si>
  <si>
    <t xml:space="preserve">Roadrunner Freight</t>
  </si>
  <si>
    <t xml:space="preserve">roadrunnerfreight.com</t>
  </si>
  <si>
    <t xml:space="preserve">Elliott Investment Management</t>
  </si>
  <si>
    <t xml:space="preserve">Chris Jamroz</t>
  </si>
  <si>
    <t xml:space="preserve">TT 2026 For-Hire No. 72; taken private 2021</t>
  </si>
  <si>
    <t xml:space="preserve">Roehl Transport</t>
  </si>
  <si>
    <t xml:space="preserve">Marshfield</t>
  </si>
  <si>
    <t xml:space="preserve">roehl.net</t>
  </si>
  <si>
    <t xml:space="preserve">Rick Roehl</t>
  </si>
  <si>
    <t xml:space="preserve">TT 2026 For-Hire No. 70</t>
  </si>
  <si>
    <t xml:space="preserve">TCI Transportation</t>
  </si>
  <si>
    <t xml:space="preserve">trucking carrier / dedicated / leasing</t>
  </si>
  <si>
    <t xml:space="preserve">Fontana</t>
  </si>
  <si>
    <t xml:space="preserve">tcitransportation.com</t>
  </si>
  <si>
    <t xml:space="preserve">TT 2026 For-Hire No. 77</t>
  </si>
  <si>
    <t xml:space="preserve">Ward Transport &amp; Logistics</t>
  </si>
  <si>
    <t xml:space="preserve">Altoona</t>
  </si>
  <si>
    <t xml:space="preserve">wardtlc.com</t>
  </si>
  <si>
    <t xml:space="preserve">Bill Ward</t>
  </si>
  <si>
    <t xml:space="preserve">TT 2026 For-Hire No. 83</t>
  </si>
  <si>
    <t xml:space="preserve">Dupre Logistics</t>
  </si>
  <si>
    <t xml:space="preserve">dedicated / bulk tank carrier</t>
  </si>
  <si>
    <t xml:space="preserve">duprelogistics.com</t>
  </si>
  <si>
    <t xml:space="preserve">Tom Voelkel</t>
  </si>
  <si>
    <t xml:space="preserve">TT 2026 For-Hire No. 85</t>
  </si>
  <si>
    <t xml:space="preserve">https://www.duprelogistics.com/news/dupre-logistics-rises-to-no-85-on-the-2026-transport-topics-top-100-for-hire-carriers-list/</t>
  </si>
  <si>
    <t xml:space="preserve">Groendyke Transport</t>
  </si>
  <si>
    <t xml:space="preserve">bulk tank carrier</t>
  </si>
  <si>
    <t xml:space="preserve">Enid</t>
  </si>
  <si>
    <t xml:space="preserve">groendyke.com</t>
  </si>
  <si>
    <t xml:space="preserve">Greg Hodgen</t>
  </si>
  <si>
    <t xml:space="preserve">TT 2026 For-Hire No. 88</t>
  </si>
  <si>
    <t xml:space="preserve">Gulf Winds International</t>
  </si>
  <si>
    <t xml:space="preserve">drayage / transloading / warehousing</t>
  </si>
  <si>
    <t xml:space="preserve">gwii.com</t>
  </si>
  <si>
    <t xml:space="preserve">TT 2026 For-Hire No. 91; Gulf Coast port logistics</t>
  </si>
  <si>
    <t xml:space="preserve">Leonard's Express</t>
  </si>
  <si>
    <t xml:space="preserve">refrigerated trucking / brokerage</t>
  </si>
  <si>
    <t xml:space="preserve">Farmington</t>
  </si>
  <si>
    <t xml:space="preserve">leonardsexpress.com</t>
  </si>
  <si>
    <t xml:space="preserve">TT 2026 For-Hire No. 84</t>
  </si>
  <si>
    <t xml:space="preserve">Paper Transport</t>
  </si>
  <si>
    <t xml:space="preserve">trucking carrier (truckload/dedicated)</t>
  </si>
  <si>
    <t xml:space="preserve">De Pere</t>
  </si>
  <si>
    <t xml:space="preserve">papertransport.com</t>
  </si>
  <si>
    <t xml:space="preserve">Ben Schill</t>
  </si>
  <si>
    <t xml:space="preserve">TT 2026 For-Hire No. 89</t>
  </si>
  <si>
    <t xml:space="preserve">Spee-Dee Delivery Service</t>
  </si>
  <si>
    <t xml:space="preserve">regional parcel / last-mile</t>
  </si>
  <si>
    <t xml:space="preserve">speedeedelivery.com</t>
  </si>
  <si>
    <t xml:space="preserve">TT 2026 For-Hire No. 95; Upper Midwest regional parcel carrier</t>
  </si>
  <si>
    <t xml:space="preserve">BDO USA</t>
  </si>
  <si>
    <t xml:space="preserve">national CPA firm</t>
  </si>
  <si>
    <t xml:space="preserve">bdo.com</t>
  </si>
  <si>
    <t xml:space="preserve">1-5B</t>
  </si>
  <si>
    <t xml:space="preserve">Wayne Berson</t>
  </si>
  <si>
    <t xml:space="preserve">ESOP structure; AI-enabled audit tooling</t>
  </si>
  <si>
    <t xml:space="preserve">IPA 500 #8; converted to ESOP 2023</t>
  </si>
  <si>
    <t xml:space="preserve">Baker Tilly</t>
  </si>
  <si>
    <t xml:space="preserve">bakertilly.com</t>
  </si>
  <si>
    <t xml:space="preserve">Hellman &amp; Friedman; Valeas Capital Partners</t>
  </si>
  <si>
    <t xml:space="preserve">Jeff Ferro</t>
  </si>
  <si>
    <t xml:space="preserve">Post Moss Adams merger integration; AI/data practice build-out</t>
  </si>
  <si>
    <t xml:space="preserve">2025 revenue per AT; merged with Moss Adams 2025 and BPB Dec 2025</t>
  </si>
  <si>
    <t xml:space="preserve">CBIZ</t>
  </si>
  <si>
    <t xml:space="preserve">public accounting &amp; advisory (acquired)</t>
  </si>
  <si>
    <t xml:space="preserve">cbiz.com</t>
  </si>
  <si>
    <t xml:space="preserve">Jerry Grisko</t>
  </si>
  <si>
    <t xml:space="preserve">Marcum integration; being folded into Grant Thornton Advisors</t>
  </si>
  <si>
    <t xml:space="preserve">Acquisition by GT Advisors announced Jul 2026</t>
  </si>
  <si>
    <t xml:space="preserve">https://ir.cbiz.com/news-releases/news-release-details/grant-thornton-advisors-acquire-cbiz-5-billion-transaction</t>
  </si>
  <si>
    <t xml:space="preserve">CLA (CliftonLarsonAllen)</t>
  </si>
  <si>
    <t xml:space="preserve">claconnect.com</t>
  </si>
  <si>
    <t xml:space="preserve">Jen Leary</t>
  </si>
  <si>
    <t xml:space="preserve">CLA Intuition AI platform</t>
  </si>
  <si>
    <t xml:space="preserve">IPA 500 #11</t>
  </si>
  <si>
    <t xml:space="preserve">CohnReznick</t>
  </si>
  <si>
    <t xml:space="preserve">cohnreznick.com</t>
  </si>
  <si>
    <t xml:space="preserve">Dave Kessler</t>
  </si>
  <si>
    <t xml:space="preserve">Apax deal 2025; digital advisory practice</t>
  </si>
  <si>
    <t xml:space="preserve">IPA 500 #14</t>
  </si>
  <si>
    <t xml:space="preserve">Crowe LLP</t>
  </si>
  <si>
    <t xml:space="preserve">crowe.com</t>
  </si>
  <si>
    <t xml:space="preserve">Mark Baer</t>
  </si>
  <si>
    <t xml:space="preserve">KKR investment in Crowe Advisory closed Aug 2026; long history of tech products (Crowe Applications)</t>
  </si>
  <si>
    <t xml:space="preserve">IPA 500 #12</t>
  </si>
  <si>
    <t xml:space="preserve">https://insidepublicaccounting.com/2026/08/10/crowe-closes-strategic-investment-from-kkr/</t>
  </si>
  <si>
    <t xml:space="preserve">EisnerAmper</t>
  </si>
  <si>
    <t xml:space="preserve">eisneramper.com</t>
  </si>
  <si>
    <t xml:space="preserve">TowerBrook Capital Partners</t>
  </si>
  <si>
    <t xml:space="preserve">Charly Weinstein</t>
  </si>
  <si>
    <t xml:space="preserve">First PE-backed top firm (2021); EisnerAmper Digital</t>
  </si>
  <si>
    <t xml:space="preserve">IPA 500 #15</t>
  </si>
  <si>
    <t xml:space="preserve">Forvis Mazars LLP</t>
  </si>
  <si>
    <t xml:space="preserve">Springfield</t>
  </si>
  <si>
    <t xml:space="preserve">forvismazars.us</t>
  </si>
  <si>
    <t xml:space="preserve">Tom Watson</t>
  </si>
  <si>
    <t xml:space="preserve">Forvis Mazars AI Lab; Microsoft Copilot rollout</t>
  </si>
  <si>
    <t xml:space="preserve">IPA 500 #10; formed 2022 from BKD+DHG</t>
  </si>
  <si>
    <t xml:space="preserve">Grant Thornton Advisors</t>
  </si>
  <si>
    <t xml:space="preserve">grantthornton.com</t>
  </si>
  <si>
    <t xml:space="preserve">Jim Peko</t>
  </si>
  <si>
    <t xml:space="preserve">Acquired CBIZ for $5B (Jul 2026) and Auxis (BPO/AI) 2025</t>
  </si>
  <si>
    <t xml:space="preserve">Pre-CBIZ revenue; combined firm ~$5B+</t>
  </si>
  <si>
    <t xml:space="preserve">https://www.grantthornton.com/insights/press-releases/2026/july/grant-thornton-acquires-cbiz</t>
  </si>
  <si>
    <t xml:space="preserve">RSM US LLP</t>
  </si>
  <si>
    <t xml:space="preserve">rsmus.com</t>
  </si>
  <si>
    <t xml:space="preserve">Brian Becker</t>
  </si>
  <si>
    <t xml:space="preserve">$1B AI investment plan announced 2025</t>
  </si>
  <si>
    <t xml:space="preserve">IPA 500 #5; partner-owned</t>
  </si>
  <si>
    <t xml:space="preserve">Ryan LLC</t>
  </si>
  <si>
    <t xml:space="preserve">ryan.com</t>
  </si>
  <si>
    <t xml:space="preserve">Ares Management; Onex; Neuberger Berman</t>
  </si>
  <si>
    <t xml:space="preserve">Brint Ryan</t>
  </si>
  <si>
    <t xml:space="preserve">$1.2B minority investment Jan 2026 at $7B valuation; tax.com software</t>
  </si>
  <si>
    <t xml:space="preserve">Revenue band estimate; largest independent tax services firm</t>
  </si>
  <si>
    <t xml:space="preserve">ACI Worldwide</t>
  </si>
  <si>
    <t xml:space="preserve">payments software</t>
  </si>
  <si>
    <t xml:space="preserve">Elkhorn</t>
  </si>
  <si>
    <t xml:space="preserve">aciworldwide.com</t>
  </si>
  <si>
    <t xml:space="preserve">Thomas Warsop</t>
  </si>
  <si>
    <t xml:space="preserve">ACI Kinetic platform; AI fraud scoring</t>
  </si>
  <si>
    <t xml:space="preserve">Real-time payments for banks billers merchants</t>
  </si>
  <si>
    <t xml:space="preserve">https://investor.aciworldwide.com</t>
  </si>
  <si>
    <t xml:space="preserve">Arvest Bank</t>
  </si>
  <si>
    <t xml:space="preserve">arvest.com</t>
  </si>
  <si>
    <t xml:space="preserve">Kevin Sabin</t>
  </si>
  <si>
    <t xml:space="preserve">Multi-year core banking modernization on Thought Machine; digital transformation program</t>
  </si>
  <si>
    <t xml:space="preserve">~$28B assets; Walton family-owned; AR OK MO KS</t>
  </si>
  <si>
    <t xml:space="preserve">https://www.arvest.com/about-arvest</t>
  </si>
  <si>
    <t xml:space="preserve">Associated Banc-Corp</t>
  </si>
  <si>
    <t xml:space="preserve">associatedbank.com</t>
  </si>
  <si>
    <t xml:space="preserve">Andrew J. Harmening</t>
  </si>
  <si>
    <t xml:space="preserve">Multi-year digital transformation and data platform investments under Harmening</t>
  </si>
  <si>
    <t xml:space="preserve">~$43B assets; WI IL MN</t>
  </si>
  <si>
    <t xml:space="preserve">https://investor.associatedbank.com</t>
  </si>
  <si>
    <t xml:space="preserve">Atlanticus Holdings</t>
  </si>
  <si>
    <t xml:space="preserve">credit card and consumer finance</t>
  </si>
  <si>
    <t xml:space="preserve">atlanticus.com</t>
  </si>
  <si>
    <t xml:space="preserve">Jeffrey A. Howard</t>
  </si>
  <si>
    <t xml:space="preserve">CIO; COO; Chief Analytics Officer; Chief Technology Officer</t>
  </si>
  <si>
    <t xml:space="preserve">Analytics-driven second-look credit platform for retail and healthcare partners</t>
  </si>
  <si>
    <t xml:space="preserve">Fortiva and Aspen brands; bank-partner model</t>
  </si>
  <si>
    <t xml:space="preserve">https://ir.atlanticus.com</t>
  </si>
  <si>
    <t xml:space="preserve">Axos Financial</t>
  </si>
  <si>
    <t xml:space="preserve">digital bank</t>
  </si>
  <si>
    <t xml:space="preserve">Las Vegas</t>
  </si>
  <si>
    <t xml:space="preserve">axosfinancial.com</t>
  </si>
  <si>
    <t xml:space="preserve">Gregory Garrabrants</t>
  </si>
  <si>
    <t xml:space="preserve">Universal Digital Bank platform; AI/ML in underwriting and servicing per investor materials</t>
  </si>
  <si>
    <t xml:space="preserve">~$24B assets; branchless; securities and clearing arms</t>
  </si>
  <si>
    <t xml:space="preserve">https://investors.axosfinancial.com</t>
  </si>
  <si>
    <t xml:space="preserve">BECU (Boeing Employees Credit Union)</t>
  </si>
  <si>
    <t xml:space="preserve">Tukwila</t>
  </si>
  <si>
    <t xml:space="preserve">becu.org</t>
  </si>
  <si>
    <t xml:space="preserve">Beverly Anderson</t>
  </si>
  <si>
    <t xml:space="preserve">CIO; COO; Chief Digital Officer; Chief Data &amp; Analytics Officer</t>
  </si>
  <si>
    <t xml:space="preserve">Active data science and cloud modernization hiring</t>
  </si>
  <si>
    <t xml:space="preserve">$29B assets; largest CU in Washington</t>
  </si>
  <si>
    <t xml:space="preserve">Bread Financial</t>
  </si>
  <si>
    <t xml:space="preserve">private label credit card issuer</t>
  </si>
  <si>
    <t xml:space="preserve">breadfinancial.com</t>
  </si>
  <si>
    <t xml:space="preserve">Ralph J. Andretta</t>
  </si>
  <si>
    <t xml:space="preserve">Publicly discussed generative AI in customer care and fraud</t>
  </si>
  <si>
    <t xml:space="preserve">Formerly Alliance Data; co-brand and BNPL</t>
  </si>
  <si>
    <t xml:space="preserve">https://investor.breadfinancial.com</t>
  </si>
  <si>
    <t xml:space="preserve">CNO Financial Group</t>
  </si>
  <si>
    <t xml:space="preserve">life and health insurance carrier</t>
  </si>
  <si>
    <t xml:space="preserve">cnoinc.com</t>
  </si>
  <si>
    <t xml:space="preserve">Gary C. Bhojwani</t>
  </si>
  <si>
    <t xml:space="preserve">Publicly discussed AI in claims and agent enablement</t>
  </si>
  <si>
    <t xml:space="preserve">Middle-income market; Bankers Life Colonial Penn Washington National</t>
  </si>
  <si>
    <t xml:space="preserve">https://ir.cnoinc.com</t>
  </si>
  <si>
    <t xml:space="preserve">Commerce Bancshares</t>
  </si>
  <si>
    <t xml:space="preserve">commercebank.com</t>
  </si>
  <si>
    <t xml:space="preserve">John W. Kemper</t>
  </si>
  <si>
    <t xml:space="preserve">CIO; COO; Chief Digital Officer; Head of Payments</t>
  </si>
  <si>
    <t xml:space="preserve">Publicly discussed AI use in fraud detection and payments</t>
  </si>
  <si>
    <t xml:space="preserve">~$32B assets; large commercial card/payments business</t>
  </si>
  <si>
    <t xml:space="preserve">https://investor.commercebank.com</t>
  </si>
  <si>
    <t xml:space="preserve">Deluxe Corp</t>
  </si>
  <si>
    <t xml:space="preserve">payments and data</t>
  </si>
  <si>
    <t xml:space="preserve">deluxe.com</t>
  </si>
  <si>
    <t xml:space="preserve">Barry C. McCarthy</t>
  </si>
  <si>
    <t xml:space="preserve">North Star transformation program; payments and data analytics pivot</t>
  </si>
  <si>
    <t xml:space="preserve">Legacy check printer turned payments company</t>
  </si>
  <si>
    <t xml:space="preserve">https://investors.deluxe.com</t>
  </si>
  <si>
    <t xml:space="preserve">Edelman Financial Engines</t>
  </si>
  <si>
    <t xml:space="preserve">edelmanfinancialengines.com</t>
  </si>
  <si>
    <t xml:space="preserve">Hellman &amp; Friedman; Warburg Pincus</t>
  </si>
  <si>
    <t xml:space="preserve">Jay Shah</t>
  </si>
  <si>
    <t xml:space="preserve">Pioneer of algorithmic managed accounts; workplace advice engine</t>
  </si>
  <si>
    <t xml:space="preserve">~$290B AUM; largest independent RIA by AUM</t>
  </si>
  <si>
    <t xml:space="preserve">https://www.edelmanfinancialengines.com/about-us</t>
  </si>
  <si>
    <t xml:space="preserve">Encore Capital Group</t>
  </si>
  <si>
    <t xml:space="preserve">debt purchaser and collector</t>
  </si>
  <si>
    <t xml:space="preserve">encorecapital.com</t>
  </si>
  <si>
    <t xml:space="preserve">Ashish Masih</t>
  </si>
  <si>
    <t xml:space="preserve">Analytics and digital collections investment (Midland Credit Management)</t>
  </si>
  <si>
    <t xml:space="preserve">Midland Credit Management and Cabot (UK)</t>
  </si>
  <si>
    <t xml:space="preserve">https://www.encorecapital.com/investors</t>
  </si>
  <si>
    <t xml:space="preserve">Enova International</t>
  </si>
  <si>
    <t xml:space="preserve">online consumer and SMB lender</t>
  </si>
  <si>
    <t xml:space="preserve">enova.com</t>
  </si>
  <si>
    <t xml:space="preserve">David Fisher</t>
  </si>
  <si>
    <t xml:space="preserve">ML-driven Colossus underwriting platform; AI central to strategy</t>
  </si>
  <si>
    <t xml:space="preserve">Brands NetCredit CashNetUSA OnDeck Headway</t>
  </si>
  <si>
    <t xml:space="preserve">https://umbrex.com/resources/company-profiles/enova-international/</t>
  </si>
  <si>
    <t xml:space="preserve">F.N.B. Corp</t>
  </si>
  <si>
    <t xml:space="preserve">fnb-online.com</t>
  </si>
  <si>
    <t xml:space="preserve">Vincent J. Delie Jr.</t>
  </si>
  <si>
    <t xml:space="preserve">eStore digital platform and data-driven Clicks-to-Bricks strategy</t>
  </si>
  <si>
    <t xml:space="preserve">~$48B assets; upper end of scope</t>
  </si>
  <si>
    <t xml:space="preserve">https://www.fnb-online.com/about-us/investor-information-and-relations</t>
  </si>
  <si>
    <t xml:space="preserve">Fulton Financial</t>
  </si>
  <si>
    <t xml:space="preserve">fultonbank.com</t>
  </si>
  <si>
    <t xml:space="preserve">Curtis J. Myers</t>
  </si>
  <si>
    <t xml:space="preserve">FultonFirst transformation program 2024-2025</t>
  </si>
  <si>
    <t xml:space="preserve">~$32B assets; acquired Republic First 2024</t>
  </si>
  <si>
    <t xml:space="preserve">https://investor.fult.com</t>
  </si>
  <si>
    <t xml:space="preserve">Green Dot Corp</t>
  </si>
  <si>
    <t xml:space="preserve">BaaS and prepaid card bank</t>
  </si>
  <si>
    <t xml:space="preserve">greendot.com</t>
  </si>
  <si>
    <t xml:space="preserve">William I. Jacobs</t>
  </si>
  <si>
    <t xml:space="preserve">CIO; COO; Chief Technology Officer; Head of Embedded Finance</t>
  </si>
  <si>
    <t xml:space="preserve">Arc embedded finance platform; Walmart Apple Uber partnerships</t>
  </si>
  <si>
    <t xml:space="preserve">Exploring strategic alternatives 2025</t>
  </si>
  <si>
    <t xml:space="preserve">https://ir.greendot.com</t>
  </si>
  <si>
    <t xml:space="preserve">Kemper Corp</t>
  </si>
  <si>
    <t xml:space="preserve">specialty auto insurance carrier</t>
  </si>
  <si>
    <t xml:space="preserve">kemper.com</t>
  </si>
  <si>
    <t xml:space="preserve">Joseph P. Lacher Jr.</t>
  </si>
  <si>
    <t xml:space="preserve">CIO; COO; Chief Claims Officer; Chief Data &amp; Analytics Officer</t>
  </si>
  <si>
    <t xml:space="preserve">Kemper Auto specialty model relies on analytics; claims automation</t>
  </si>
  <si>
    <t xml:space="preserve">Specialty nonstandard auto and life</t>
  </si>
  <si>
    <t xml:space="preserve">https://investors.kemper.com</t>
  </si>
  <si>
    <t xml:space="preserve">Kinsale Capital Group</t>
  </si>
  <si>
    <t xml:space="preserve">kinsalecapitalgroup.com</t>
  </si>
  <si>
    <t xml:space="preserve">Michael P. Kehoe</t>
  </si>
  <si>
    <t xml:space="preserve">CIO; COO; Chief Actuary; Head of Underwriting Technology</t>
  </si>
  <si>
    <t xml:space="preserve">Proprietary technology and data analytics central to E&amp;S underwriting model</t>
  </si>
  <si>
    <t xml:space="preserve">E&amp;S-only carrier; industry-leading combined ratio</t>
  </si>
  <si>
    <t xml:space="preserve">https://ir.kinsalecapitalgroup.com</t>
  </si>
  <si>
    <t xml:space="preserve">LendingClub</t>
  </si>
  <si>
    <t xml:space="preserve">digital marketplace bank</t>
  </si>
  <si>
    <t xml:space="preserve">lendingclub.com</t>
  </si>
  <si>
    <t xml:space="preserve">Scott Sanborn</t>
  </si>
  <si>
    <t xml:space="preserve">Acquired Tally and Cushion tech; AI-driven DebtIQ product</t>
  </si>
  <si>
    <t xml:space="preserve">Bank charter since 2021 via Radius acquisition</t>
  </si>
  <si>
    <t xml:space="preserve">https://ir.lendingclub.com</t>
  </si>
  <si>
    <t xml:space="preserve">Mountain America Credit Union</t>
  </si>
  <si>
    <t xml:space="preserve">Sandy</t>
  </si>
  <si>
    <t xml:space="preserve">macu.com</t>
  </si>
  <si>
    <t xml:space="preserve">Sterling Nielsen</t>
  </si>
  <si>
    <t xml:space="preserve">Tech-forward CU with in-house innovation and data analytics team</t>
  </si>
  <si>
    <t xml:space="preserve">$21B assets; fast-growing multi-state CU</t>
  </si>
  <si>
    <t xml:space="preserve">OneMain Financial</t>
  </si>
  <si>
    <t xml:space="preserve">onemainfinancial.com</t>
  </si>
  <si>
    <t xml:space="preserve">Douglas H. Shulman</t>
  </si>
  <si>
    <t xml:space="preserve">CIO; COO; Chief Data &amp; Analytics Officer; Chief Digital Officer</t>
  </si>
  <si>
    <t xml:space="preserve">Machine learning credit models and digital lending expansion per investor materials</t>
  </si>
  <si>
    <t xml:space="preserve">Largest nonprime installment lender; acquired Foursight auto 2024</t>
  </si>
  <si>
    <t xml:space="preserve">https://www.marketscreener.com/quote/stock/ONEMAIN-HOLDINGS-INC-25209977/news/OneMain-Financial-Lending-to-the-Non-Prime-Economy-50442352/</t>
  </si>
  <si>
    <t xml:space="preserve">PRA Group</t>
  </si>
  <si>
    <t xml:space="preserve">Norfolk</t>
  </si>
  <si>
    <t xml:space="preserve">pragroup.com</t>
  </si>
  <si>
    <t xml:space="preserve">Martin Sjolund</t>
  </si>
  <si>
    <t xml:space="preserve">Cash efficiency program leaning on digital collections and ML</t>
  </si>
  <si>
    <t xml:space="preserve">Americas and Europe nonperforming loans</t>
  </si>
  <si>
    <t xml:space="preserve">https://ir.pragroup.com</t>
  </si>
  <si>
    <t xml:space="preserve">Pennymac Financial Services</t>
  </si>
  <si>
    <t xml:space="preserve">independent mortgage lender and servicer</t>
  </si>
  <si>
    <t xml:space="preserve">Westlake Village</t>
  </si>
  <si>
    <t xml:space="preserve">pennymac.com</t>
  </si>
  <si>
    <t xml:space="preserve">David Spector</t>
  </si>
  <si>
    <t xml:space="preserve">CIO; COO; Chief Technology Officer; Head of Servicing Operations</t>
  </si>
  <si>
    <t xml:space="preserve">Publicly touts AI-powered servicing platform and proprietary technology stack</t>
  </si>
  <si>
    <t xml:space="preserve">#1 Scotsman Guide 2026 with $146B volume; largest correspondent aggregator</t>
  </si>
  <si>
    <t xml:space="preserve">Rate (formerly Guaranteed Rate)</t>
  </si>
  <si>
    <t xml:space="preserve">rate.com</t>
  </si>
  <si>
    <t xml:space="preserve">Victor Ciardelli</t>
  </si>
  <si>
    <t xml:space="preserve">Rate Intelligence AI tools and digital mortgage platform</t>
  </si>
  <si>
    <t xml:space="preserve">#5 Scotsman Guide 2026</t>
  </si>
  <si>
    <t xml:space="preserve">Remitly Global</t>
  </si>
  <si>
    <t xml:space="preserve">digital remittances</t>
  </si>
  <si>
    <t xml:space="preserve">remitly.com</t>
  </si>
  <si>
    <t xml:space="preserve">Matt Oppenheimer</t>
  </si>
  <si>
    <t xml:space="preserve">AI in risk and customer support; Remitly Business launch 2025</t>
  </si>
  <si>
    <t xml:space="preserve">Consumer cross-border payments</t>
  </si>
  <si>
    <t xml:space="preserve">https://ir.remitly.com</t>
  </si>
  <si>
    <t xml:space="preserve">Root Inc</t>
  </si>
  <si>
    <t xml:space="preserve">insurtech auto carrier</t>
  </si>
  <si>
    <t xml:space="preserve">joinroot.com</t>
  </si>
  <si>
    <t xml:space="preserve">Alex Timm</t>
  </si>
  <si>
    <t xml:space="preserve">Telematics and ML pricing native; embedded insurance partnerships</t>
  </si>
  <si>
    <t xml:space="preserve">Reached profitability 2024</t>
  </si>
  <si>
    <t xml:space="preserve">https://ir.joinroot.com</t>
  </si>
  <si>
    <t xml:space="preserve">Selective Insurance Group</t>
  </si>
  <si>
    <t xml:space="preserve">Branchville</t>
  </si>
  <si>
    <t xml:space="preserve">selective.com</t>
  </si>
  <si>
    <t xml:space="preserve">John J. Marchioni</t>
  </si>
  <si>
    <t xml:space="preserve">Long-running predictive analytics program in underwriting and claims</t>
  </si>
  <si>
    <t xml:space="preserve">Super-regional commercial lines carrier</t>
  </si>
  <si>
    <t xml:space="preserve">https://www.selective.com/about-selective/investors</t>
  </si>
  <si>
    <t xml:space="preserve">Skyward Specialty Insurance Group</t>
  </si>
  <si>
    <t xml:space="preserve">skywardinsurance.com</t>
  </si>
  <si>
    <t xml:space="preserve">Andrew Robinson</t>
  </si>
  <si>
    <t xml:space="preserve">CIO; COO; Chief Underwriting Officer; Chief Data Officer</t>
  </si>
  <si>
    <t xml:space="preserve">Rule Our Niches strategy backed by data and AI tools in underwriting</t>
  </si>
  <si>
    <t xml:space="preserve">IPO 2023; niche commercial specialty</t>
  </si>
  <si>
    <t xml:space="preserve">Texas Capital Bancshares</t>
  </si>
  <si>
    <t xml:space="preserve">texascapitalbank.com</t>
  </si>
  <si>
    <t xml:space="preserve">Rob C. Holmes</t>
  </si>
  <si>
    <t xml:space="preserve">Investor day roadmap includes technology and data platform build-out</t>
  </si>
  <si>
    <t xml:space="preserve">~$32B assets; rebuilt as full-service financial firm with investment bank</t>
  </si>
  <si>
    <t xml:space="preserve">https://investors.texascapitalbank.com</t>
  </si>
  <si>
    <t xml:space="preserve">UWM Holdings</t>
  </si>
  <si>
    <t xml:space="preserve">wholesale mortgage lender</t>
  </si>
  <si>
    <t xml:space="preserve">Pontiac</t>
  </si>
  <si>
    <t xml:space="preserve">uwm.com</t>
  </si>
  <si>
    <t xml:space="preserve">Mat Ishbia</t>
  </si>
  <si>
    <t xml:space="preserve">CIO; COO; Chief Technology Officer; Head of Underwriting</t>
  </si>
  <si>
    <t xml:space="preserve">ChatUWM and Mia AI assistant; aggressive AI investment publicly announced</t>
  </si>
  <si>
    <t xml:space="preserve">#1 wholesale lender; Ishbia controlled</t>
  </si>
  <si>
    <t xml:space="preserve">https://investors.uwm.com</t>
  </si>
  <si>
    <t xml:space="preserve">Universal Insurance Holdings</t>
  </si>
  <si>
    <t xml:space="preserve">homeowners insurance carrier</t>
  </si>
  <si>
    <t xml:space="preserve">universalinsuranceholdings.com</t>
  </si>
  <si>
    <t xml:space="preserve">Stephen J. Donaghy</t>
  </si>
  <si>
    <t xml:space="preserve">CIO; COO; Chief Claims Officer; Chief Technology Officer</t>
  </si>
  <si>
    <t xml:space="preserve">Clovered digital agency and proprietary claims platform</t>
  </si>
  <si>
    <t xml:space="preserve">Largest Florida homeowners writer</t>
  </si>
  <si>
    <t xml:space="preserve">https://investors.universalinsuranceholdings.com</t>
  </si>
  <si>
    <t xml:space="preserve">WEX Inc</t>
  </si>
  <si>
    <t xml:space="preserve">fleet and corporate payments</t>
  </si>
  <si>
    <t xml:space="preserve">wexinc.com</t>
  </si>
  <si>
    <t xml:space="preserve">Melissa D. Smith</t>
  </si>
  <si>
    <t xml:space="preserve">AI-driven fraud detection and fleet analytics in investor materials</t>
  </si>
  <si>
    <t xml:space="preserve">Mobility benefits and corporate payments</t>
  </si>
  <si>
    <t xml:space="preserve">https://www.wexinc.com/investors</t>
  </si>
  <si>
    <t xml:space="preserve">loanDepot</t>
  </si>
  <si>
    <t xml:space="preserve">loandepot.com</t>
  </si>
  <si>
    <t xml:space="preserve">Anthony Hsieh</t>
  </si>
  <si>
    <t xml:space="preserve">melloNow AI underwriting engine; Vision 2025 transformation</t>
  </si>
  <si>
    <t xml:space="preserve">Founder Hsieh returned as CEO 2025</t>
  </si>
  <si>
    <t xml:space="preserve">https://investors.loandepot.com</t>
  </si>
  <si>
    <t xml:space="preserve">AlixPartners</t>
  </si>
  <si>
    <t xml:space="preserve">turnaround &amp; performance improvement</t>
  </si>
  <si>
    <t xml:space="preserve">alixpartners.com</t>
  </si>
  <si>
    <t xml:space="preserve">CDPQ; PSP Investments; Investcorp</t>
  </si>
  <si>
    <t xml:space="preserve">Simon Freakley</t>
  </si>
  <si>
    <t xml:space="preserve">CIO; Chief Digital Officer; Partner Digital</t>
  </si>
  <si>
    <t xml:space="preserve">AlixPartners Digital and AI practice</t>
  </si>
  <si>
    <t xml:space="preserve">Institutional investors with employee ownership</t>
  </si>
  <si>
    <t xml:space="preserve">https://www.alixpartners.com/</t>
  </si>
  <si>
    <t xml:space="preserve">Alvarez &amp; Marsal</t>
  </si>
  <si>
    <t xml:space="preserve">alvarezandmarsal.com</t>
  </si>
  <si>
    <t xml:space="preserve">Tony Alvarez II; Bryan Marsal</t>
  </si>
  <si>
    <t xml:space="preserve">Managing Director Technology; Chief Digital Officer; COO</t>
  </si>
  <si>
    <t xml:space="preserve">A&amp;M AI and digital practice; GenAI in restructuring analytics</t>
  </si>
  <si>
    <t xml:space="preserve">Founder-owned partnership</t>
  </si>
  <si>
    <t xml:space="preserve">https://en.wikipedia.org/wiki/Alvarez_and_Marsal</t>
  </si>
  <si>
    <t xml:space="preserve">Avanade</t>
  </si>
  <si>
    <t xml:space="preserve">Microsoft technology consulting</t>
  </si>
  <si>
    <t xml:space="preserve">avanade.com</t>
  </si>
  <si>
    <t xml:space="preserve">Rodrigo Caserta</t>
  </si>
  <si>
    <t xml:space="preserve">CTO; CIO; Global AI Lead</t>
  </si>
  <si>
    <t xml:space="preserve">Microsoft Copilot and AI leader</t>
  </si>
  <si>
    <t xml:space="preserve">Accenture/Microsoft joint venture</t>
  </si>
  <si>
    <t xml:space="preserve">https://www.avanade.com/</t>
  </si>
  <si>
    <t xml:space="preserve">Guidehouse</t>
  </si>
  <si>
    <t xml:space="preserve">public sector &amp; commercial consulting</t>
  </si>
  <si>
    <t xml:space="preserve">guidehouse.com</t>
  </si>
  <si>
    <t xml:space="preserve">Scott McIntyre</t>
  </si>
  <si>
    <t xml:space="preserve">CIO; Chief Digital Officer; Partner AI &amp; Data</t>
  </si>
  <si>
    <t xml:space="preserve">AI Center of Excellence; federal AI deployments</t>
  </si>
  <si>
    <t xml:space="preserve">Bain Capital acquired Dec 2023 for ~$5.3B</t>
  </si>
  <si>
    <t xml:space="preserve">https://en.wikipedia.org/wiki/Guidehouse</t>
  </si>
  <si>
    <t xml:space="preserve">Huron Consulting Group</t>
  </si>
  <si>
    <t xml:space="preserve">healthcare &amp; education consulting</t>
  </si>
  <si>
    <t xml:space="preserve">huronconsultinggroup.com</t>
  </si>
  <si>
    <t xml:space="preserve">Mark Hussey</t>
  </si>
  <si>
    <t xml:space="preserve">CIO; Chief Digital Officer; Managing Director Digital</t>
  </si>
  <si>
    <t xml:space="preserve">Huron AI offerings and digital segment growth</t>
  </si>
  <si>
    <t xml:space="preserve">NASDAQ: HURN; 2024 revenue ~$1.5B</t>
  </si>
  <si>
    <t xml:space="preserve">ICF International</t>
  </si>
  <si>
    <t xml:space="preserve">government &amp; commercial consulting</t>
  </si>
  <si>
    <t xml:space="preserve">icf.com</t>
  </si>
  <si>
    <t xml:space="preserve">John Wasson</t>
  </si>
  <si>
    <t xml:space="preserve">CIO; Chief Digital Officer; SVP Technology</t>
  </si>
  <si>
    <t xml:space="preserve">AI and digital modernization for federal agencies</t>
  </si>
  <si>
    <t xml:space="preserve">NASDAQ: ICFI; 2024 revenue ~$2.0B</t>
  </si>
  <si>
    <t xml:space="preserve">https://www.icf.com/</t>
  </si>
  <si>
    <t xml:space="preserve">Kearney</t>
  </si>
  <si>
    <t xml:space="preserve">strategy &amp; operations consulting</t>
  </si>
  <si>
    <t xml:space="preserve">kearney.com</t>
  </si>
  <si>
    <t xml:space="preserve">Alex Liu</t>
  </si>
  <si>
    <t xml:space="preserve">Managing Partner; Chief Digital Officer; Partner Digital &amp; Analytics</t>
  </si>
  <si>
    <t xml:space="preserve">Kearney digital and AI advisory; Cervello analytics unit</t>
  </si>
  <si>
    <t xml:space="preserve">Partnership; revenue &gt;$2B 2025 per Wikipedia</t>
  </si>
  <si>
    <t xml:space="preserve">https://en.wikipedia.org/wiki/Kearney_(consulting_firm)</t>
  </si>
  <si>
    <t xml:space="preserve">Korn Ferry</t>
  </si>
  <si>
    <t xml:space="preserve">organizational &amp; leadership consulting</t>
  </si>
  <si>
    <t xml:space="preserve">kornferry.com</t>
  </si>
  <si>
    <t xml:space="preserve">Gary Burnison</t>
  </si>
  <si>
    <t xml:space="preserve">CIO; Chief Digital Officer; President Consulting</t>
  </si>
  <si>
    <t xml:space="preserve">Korn Ferry Intelligence Cloud AI</t>
  </si>
  <si>
    <t xml:space="preserve">NYSE: KFY; FY2025 revenue ~$2.7B</t>
  </si>
  <si>
    <t xml:space="preserve">https://www.kornferry.com/</t>
  </si>
  <si>
    <t xml:space="preserve">Milliman</t>
  </si>
  <si>
    <t xml:space="preserve">actuarial &amp; risk consulting</t>
  </si>
  <si>
    <t xml:space="preserve">milliman.com</t>
  </si>
  <si>
    <t xml:space="preserve">Dermot Corry</t>
  </si>
  <si>
    <t xml:space="preserve">CIO; Chief Digital Officer; Principal Data Science</t>
  </si>
  <si>
    <t xml:space="preserve">Milliman AI and cloud actuarial platforms</t>
  </si>
  <si>
    <t xml:space="preserve">Principal-owned</t>
  </si>
  <si>
    <t xml:space="preserve">https://www.milliman.com/</t>
  </si>
  <si>
    <t xml:space="preserve">Oliver Wyman</t>
  </si>
  <si>
    <t xml:space="preserve">strategy &amp; management consulting</t>
  </si>
  <si>
    <t xml:space="preserve">oliverwyman.com</t>
  </si>
  <si>
    <t xml:space="preserve">Nick Studer</t>
  </si>
  <si>
    <t xml:space="preserve">Oliver Wyman Quotient digital unit</t>
  </si>
  <si>
    <t xml:space="preserve">Marsh McLennan subsidiary; 2024 revenue ~$3.4B</t>
  </si>
  <si>
    <t xml:space="preserve">Protiviti</t>
  </si>
  <si>
    <t xml:space="preserve">risk &amp; technology consulting</t>
  </si>
  <si>
    <t xml:space="preserve">protiviti.com</t>
  </si>
  <si>
    <t xml:space="preserve">Joseph Tarantino</t>
  </si>
  <si>
    <t xml:space="preserve">CIO; Managing Director Technology Consulting; Global AI Lead</t>
  </si>
  <si>
    <t xml:space="preserve">Protiviti AI Governance and GenAI practice</t>
  </si>
  <si>
    <t xml:space="preserve">Robert Half subsidiary</t>
  </si>
  <si>
    <t xml:space="preserve">https://www.protiviti.com/</t>
  </si>
  <si>
    <t xml:space="preserve">Publicis Sapient</t>
  </si>
  <si>
    <t xml:space="preserve">digital business transformation</t>
  </si>
  <si>
    <t xml:space="preserve">publicissapient.com</t>
  </si>
  <si>
    <t xml:space="preserve">Nigel Vaz</t>
  </si>
  <si>
    <t xml:space="preserve">CTO; Chief Digital Officer; Global AI Lead</t>
  </si>
  <si>
    <t xml:space="preserve">Bodhi GenAI platform</t>
  </si>
  <si>
    <t xml:space="preserve">Publicis Groupe subsidiary</t>
  </si>
  <si>
    <t xml:space="preserve">Synechron</t>
  </si>
  <si>
    <t xml:space="preserve">financial services technology consulting</t>
  </si>
  <si>
    <t xml:space="preserve">synechron.com</t>
  </si>
  <si>
    <t xml:space="preserve">Faisal Husain</t>
  </si>
  <si>
    <t xml:space="preserve">CEO; CTO; Head of AI</t>
  </si>
  <si>
    <t xml:space="preserve">Synechron Nexus AI accelerators</t>
  </si>
  <si>
    <t xml:space="preserve">https://www.synechron.com/</t>
  </si>
  <si>
    <t xml:space="preserve">Thoughtworks</t>
  </si>
  <si>
    <t xml:space="preserve">thoughtworks.com</t>
  </si>
  <si>
    <t xml:space="preserve">Mike Sutcliff</t>
  </si>
  <si>
    <t xml:space="preserve">CTO; CIO; Chief AI Officer</t>
  </si>
  <si>
    <t xml:space="preserve">AI-first strategy; Haiven platform</t>
  </si>
  <si>
    <t xml:space="preserve">Apax take-private 2024; 2023 revenue $1.13B</t>
  </si>
  <si>
    <t xml:space="preserve">https://www.thoughtworks.com/</t>
  </si>
  <si>
    <t xml:space="preserve">ZS Associates</t>
  </si>
  <si>
    <t xml:space="preserve">healthcare strategy &amp; analytics consulting</t>
  </si>
  <si>
    <t xml:space="preserve">Evanston</t>
  </si>
  <si>
    <t xml:space="preserve">zs.com</t>
  </si>
  <si>
    <t xml:space="preserve">Pratap Khedkar</t>
  </si>
  <si>
    <t xml:space="preserve">CIO; CTO; Chief AI Officer</t>
  </si>
  <si>
    <t xml:space="preserve">ZAIDYN AI platform; large GenAI practice</t>
  </si>
  <si>
    <t xml:space="preserve">https://www.zs.com/</t>
  </si>
  <si>
    <t xml:space="preserve">Applied Industrial Technologies</t>
  </si>
  <si>
    <t xml:space="preserve">bearings/power transmission/automation</t>
  </si>
  <si>
    <t xml:space="preserve">applied.com</t>
  </si>
  <si>
    <t xml:space="preserve">Neil Schrimsher</t>
  </si>
  <si>
    <t xml:space="preserve">CIO; VP Operations; VP Automation</t>
  </si>
  <si>
    <t xml:space="preserve">Automation segment build-out and digital investments</t>
  </si>
  <si>
    <t xml:space="preserve">Rank 8 ID Big 50</t>
  </si>
  <si>
    <t xml:space="preserve">BlueLinx Holdings</t>
  </si>
  <si>
    <t xml:space="preserve">lumber/building products two-step</t>
  </si>
  <si>
    <t xml:space="preserve">bluelinxco.com</t>
  </si>
  <si>
    <t xml:space="preserve">Shyam Reddy</t>
  </si>
  <si>
    <t xml:space="preserve">CIO; COO; VP Supply Chain</t>
  </si>
  <si>
    <t xml:space="preserve">Digital transformation program cited in filings</t>
  </si>
  <si>
    <t xml:space="preserve">MDM 2026 building materials list</t>
  </si>
  <si>
    <t xml:space="preserve">Border States</t>
  </si>
  <si>
    <t xml:space="preserve">electrical/utility/industrial</t>
  </si>
  <si>
    <t xml:space="preserve">borderstates.com</t>
  </si>
  <si>
    <t xml:space="preserve">Digital platform and infrastructure investments cited by EW</t>
  </si>
  <si>
    <t xml:space="preserve">ESOP; industrial slice $938M per ID50</t>
  </si>
  <si>
    <t xml:space="preserve">DNOW</t>
  </si>
  <si>
    <t xml:space="preserve">energy/industrial PVF</t>
  </si>
  <si>
    <t xml:space="preserve">dnow.com</t>
  </si>
  <si>
    <t xml:space="preserve">CIO; COO; VP Digital</t>
  </si>
  <si>
    <t xml:space="preserve">DigitalNOW platform investments</t>
  </si>
  <si>
    <t xml:space="preserve">Rank 13 ID Big 50</t>
  </si>
  <si>
    <t xml:space="preserve">Digi-Key Electronics</t>
  </si>
  <si>
    <t xml:space="preserve">electronic components e-commerce</t>
  </si>
  <si>
    <t xml:space="preserve">Thief River Falls</t>
  </si>
  <si>
    <t xml:space="preserve">digikey.com</t>
  </si>
  <si>
    <t xml:space="preserve">Dave Doherty</t>
  </si>
  <si>
    <t xml:space="preserve">AI-assisted product search and content</t>
  </si>
  <si>
    <t xml:space="preserve">FleetPride</t>
  </si>
  <si>
    <t xml:space="preserve">fleetpride.com</t>
  </si>
  <si>
    <t xml:space="preserve">American Securities</t>
  </si>
  <si>
    <t xml:space="preserve">E-commerce and inventory analytics build-out</t>
  </si>
  <si>
    <t xml:space="preserve">Global Industrial Company</t>
  </si>
  <si>
    <t xml:space="preserve">MRO/industrial e-commerce</t>
  </si>
  <si>
    <t xml:space="preserve">Port Washington</t>
  </si>
  <si>
    <t xml:space="preserve">globalindustrial.com</t>
  </si>
  <si>
    <t xml:space="preserve">Anesa Chaibi</t>
  </si>
  <si>
    <t xml:space="preserve">CIO; VP E-commerce; VP Operations</t>
  </si>
  <si>
    <t xml:space="preserve">AI-driven site search and personalization</t>
  </si>
  <si>
    <t xml:space="preserve">Rank 18 ID Big 50</t>
  </si>
  <si>
    <t xml:space="preserve">M. Holland Company</t>
  </si>
  <si>
    <t xml:space="preserve">plastics distribution</t>
  </si>
  <si>
    <t xml:space="preserve">Northbrook</t>
  </si>
  <si>
    <t xml:space="preserve">mholland.com</t>
  </si>
  <si>
    <t xml:space="preserve">Digital ordering platform investments</t>
  </si>
  <si>
    <t xml:space="preserve">Revenue estimate; acquired by Ravago 2023 - verify</t>
  </si>
  <si>
    <t xml:space="preserve">MSC Industrial Supply</t>
  </si>
  <si>
    <t xml:space="preserve">mscdirect.com</t>
  </si>
  <si>
    <t xml:space="preserve">Erik Gershwind</t>
  </si>
  <si>
    <t xml:space="preserve">AI-enabled web search and vending/VMI analytics</t>
  </si>
  <si>
    <t xml:space="preserve">Rank 9 ID Big 50</t>
  </si>
  <si>
    <t xml:space="preserve">The Hillman Group</t>
  </si>
  <si>
    <t xml:space="preserve">hardware/fasteners to retail</t>
  </si>
  <si>
    <t xml:space="preserve">hillmangroup.com</t>
  </si>
  <si>
    <t xml:space="preserve">Jon Michael Adinolfi</t>
  </si>
  <si>
    <t xml:space="preserve">In-store smart retail tech and RFID</t>
  </si>
  <si>
    <t xml:space="preserve">MDM 2026 MRO list</t>
  </si>
  <si>
    <t xml:space="preserve">Aimbridge Hospitality</t>
  </si>
  <si>
    <t xml:space="preserve">aimbridgehospitality.com</t>
  </si>
  <si>
    <t xml:space="preserve">Craig S. Smith</t>
  </si>
  <si>
    <t xml:space="preserve">Launched LIFT AI-powered staffing platform 2026</t>
  </si>
  <si>
    <t xml:space="preserve">Largest third-party manager; lender-owned after 2025 recapitalization; band is estimate</t>
  </si>
  <si>
    <t xml:space="preserve">https://www.hoteldive.com/news/aimbridge-launches-lift-hotel-staffing-platform/829410/</t>
  </si>
  <si>
    <t xml:space="preserve">Bojangles</t>
  </si>
  <si>
    <t xml:space="preserve">bojangles.com</t>
  </si>
  <si>
    <t xml:space="preserve">Durational Capital Management; The Jordan Company</t>
  </si>
  <si>
    <t xml:space="preserve">Jose Armario</t>
  </si>
  <si>
    <t xml:space="preserve">Piloted AI voice drive-thru ordering (Bo-Linda)</t>
  </si>
  <si>
    <t xml:space="preserve">~800 units; take-private 2019; band reflects systemwide sales estimate</t>
  </si>
  <si>
    <t xml:space="preserve">https://www.bojangles.com</t>
  </si>
  <si>
    <t xml:space="preserve">CKE Restaurants</t>
  </si>
  <si>
    <t xml:space="preserve">ckr.com</t>
  </si>
  <si>
    <t xml:space="preserve">Max Wetzel</t>
  </si>
  <si>
    <t xml:space="preserve">Deployed AI voice drive-thru with Presto</t>
  </si>
  <si>
    <t xml:space="preserve">Carl's Jr. and Hardee's; band reflects systemwide sales estimate</t>
  </si>
  <si>
    <t xml:space="preserve">https://www.ckr.com</t>
  </si>
  <si>
    <t xml:space="preserve">Denny's</t>
  </si>
  <si>
    <t xml:space="preserve">Spartanburg</t>
  </si>
  <si>
    <t xml:space="preserve">dennys.com</t>
  </si>
  <si>
    <t xml:space="preserve">TriArtisan Capital Advisors</t>
  </si>
  <si>
    <t xml:space="preserve">Kelli Valade</t>
  </si>
  <si>
    <t xml:space="preserve">Piloting AI voice ordering and digital kitchen tech</t>
  </si>
  <si>
    <t xml:space="preserve">$620M take-private 2025 with Yadav Enterprises; systemwide sales ~$2.8B; company revenue ~$450M</t>
  </si>
  <si>
    <t xml:space="preserve">Flynn Group</t>
  </si>
  <si>
    <t xml:space="preserve">multi-brand restaurant franchisee</t>
  </si>
  <si>
    <t xml:space="preserve">flynnrg.com</t>
  </si>
  <si>
    <t xml:space="preserve">Ontario Teachers' Pension Plan</t>
  </si>
  <si>
    <t xml:space="preserve">Greg Flynn</t>
  </si>
  <si>
    <t xml:space="preserve">COO; CIO; Chief Data Officer</t>
  </si>
  <si>
    <t xml:space="preserve">Built in-house data and analytics organization across brands</t>
  </si>
  <si>
    <t xml:space="preserve">Largest US franchisee (~$4.5B); Applebee's Taco Bell Panera Wendy's Pizza Hut Planet Fitness; band is estimate</t>
  </si>
  <si>
    <t xml:space="preserve">https://www.flynnrg.com</t>
  </si>
  <si>
    <t xml:space="preserve">Golden State Foods</t>
  </si>
  <si>
    <t xml:space="preserve">foodservice manufacturer &amp; distributor</t>
  </si>
  <si>
    <t xml:space="preserve">goldenstatefoods.com</t>
  </si>
  <si>
    <t xml:space="preserve">Mark Wetterau</t>
  </si>
  <si>
    <t xml:space="preserve">Publicized IoT and blockchain traceability pilots with IBM</t>
  </si>
  <si>
    <t xml:space="preserve">Major McDonald's supplier; management and Wetterau family owned; band is estimate</t>
  </si>
  <si>
    <t xml:space="preserve">https://www.goldenstatefoods.com</t>
  </si>
  <si>
    <t xml:space="preserve">AHEAD</t>
  </si>
  <si>
    <t xml:space="preserve">ahead.com</t>
  </si>
  <si>
    <t xml:space="preserve">Berkshire Partners; Centerbridge Partners</t>
  </si>
  <si>
    <t xml:space="preserve">Daniel Adamany</t>
  </si>
  <si>
    <t xml:space="preserve">AI-ready infrastructure and platform engineering focus</t>
  </si>
  <si>
    <t xml:space="preserve">Climbed 2025 SP500 rankings</t>
  </si>
  <si>
    <t xml:space="preserve">https://www.ahead.com/news/ahead-climbs-crns-2025-solution-provider-500-list/</t>
  </si>
  <si>
    <t xml:space="preserve">ASGN</t>
  </si>
  <si>
    <t xml:space="preserve">Glen Allen</t>
  </si>
  <si>
    <t xml:space="preserve">asgn.com</t>
  </si>
  <si>
    <t xml:space="preserve">Ted Hanson</t>
  </si>
  <si>
    <t xml:space="preserve">CIO; COO; VP Consulting; CTO</t>
  </si>
  <si>
    <t xml:space="preserve">Shifting mix to IT consulting and AI/data solutions</t>
  </si>
  <si>
    <t xml:space="preserve">NYSE: ASGN; parent of Apex Systems</t>
  </si>
  <si>
    <t xml:space="preserve">https://investors.asgn.com</t>
  </si>
  <si>
    <t xml:space="preserve">C1 (ConvergeOne)</t>
  </si>
  <si>
    <t xml:space="preserve">onec1.com</t>
  </si>
  <si>
    <t xml:space="preserve">Jeffrey Russell</t>
  </si>
  <si>
    <t xml:space="preserve">CIO; CTO; VP Managed Services; VP Customer Experience</t>
  </si>
  <si>
    <t xml:space="preserve">AI-driven Elly platform and CX automation</t>
  </si>
  <si>
    <t xml:space="preserve">Emerged from 2024 restructuring</t>
  </si>
  <si>
    <t xml:space="preserve">https://www.onec1.com</t>
  </si>
  <si>
    <t xml:space="preserve">Connection (PC Connection)</t>
  </si>
  <si>
    <t xml:space="preserve">Merrimack</t>
  </si>
  <si>
    <t xml:space="preserve">connection.com</t>
  </si>
  <si>
    <t xml:space="preserve">Timothy McGrath</t>
  </si>
  <si>
    <t xml:space="preserve">CIO; CTO; VP Technology Solutions; VP Operations</t>
  </si>
  <si>
    <t xml:space="preserve">Helix Center for Applied AI and Robotics</t>
  </si>
  <si>
    <t xml:space="preserve">NASDAQ: CNXN</t>
  </si>
  <si>
    <t xml:space="preserve">https://ir.connection.com</t>
  </si>
  <si>
    <t xml:space="preserve">Converge Technology Solutions</t>
  </si>
  <si>
    <t xml:space="preserve">convergetp.com</t>
  </si>
  <si>
    <t xml:space="preserve">Greg Berard</t>
  </si>
  <si>
    <t xml:space="preserve">CIO; CTO; VP Cloud; VP Managed Services</t>
  </si>
  <si>
    <t xml:space="preserve">Taken private by H.I.G. 2025; heavy US footprint</t>
  </si>
  <si>
    <t xml:space="preserve">Canadian HQ with majority US operations</t>
  </si>
  <si>
    <t xml:space="preserve">https://convergetp.com</t>
  </si>
  <si>
    <t xml:space="preserve">Dexian</t>
  </si>
  <si>
    <t xml:space="preserve">IT staffing / solutions</t>
  </si>
  <si>
    <t xml:space="preserve">dexian.com</t>
  </si>
  <si>
    <t xml:space="preserve">Maruf Ahmed</t>
  </si>
  <si>
    <t xml:space="preserve">Dexian Consulting AI/data and digital engineering</t>
  </si>
  <si>
    <t xml:space="preserve">DISYS and Signature Consultants merger</t>
  </si>
  <si>
    <t xml:space="preserve">https://www.dexian.com</t>
  </si>
  <si>
    <t xml:space="preserve">EPAM Systems</t>
  </si>
  <si>
    <t xml:space="preserve">Newtown</t>
  </si>
  <si>
    <t xml:space="preserve">epam.com</t>
  </si>
  <si>
    <t xml:space="preserve">Balazs Fejes</t>
  </si>
  <si>
    <t xml:space="preserve">EPAM AI/RUN and DIAL platforms; GenAI-native engineering</t>
  </si>
  <si>
    <t xml:space="preserve">NYSE: EPAM</t>
  </si>
  <si>
    <t xml:space="preserve">https://investors.epam.com</t>
  </si>
  <si>
    <t xml:space="preserve">Evergreen Services Group</t>
  </si>
  <si>
    <t xml:space="preserve">MSP holding company</t>
  </si>
  <si>
    <t xml:space="preserve">evergreensg.com</t>
  </si>
  <si>
    <t xml:space="preserve">Jeff Totten</t>
  </si>
  <si>
    <t xml:space="preserve">CEO; President of platform companies; CFO; VP M&amp;A</t>
  </si>
  <si>
    <t xml:space="preserve">Portfolio-wide AI/automation playbooks across 100+ acquired MSPs</t>
  </si>
  <si>
    <t xml:space="preserve">Parent of Lyra Technology Group and 10+ MSP platforms; 100+ acquisitions</t>
  </si>
  <si>
    <t xml:space="preserve">Kforce</t>
  </si>
  <si>
    <t xml:space="preserve">kforce.com</t>
  </si>
  <si>
    <t xml:space="preserve">Joseph Liberatore</t>
  </si>
  <si>
    <t xml:space="preserve">Investing in AI-enabled recruiting and managed teams</t>
  </si>
  <si>
    <t xml:space="preserve">NASDAQ: KFRC</t>
  </si>
  <si>
    <t xml:space="preserve">https://investor.kforce.com</t>
  </si>
  <si>
    <t xml:space="preserve">NWN</t>
  </si>
  <si>
    <t xml:space="preserve">Exton</t>
  </si>
  <si>
    <t xml:space="preserve">nwn.ai</t>
  </si>
  <si>
    <t xml:space="preserve">New State Capital Partners</t>
  </si>
  <si>
    <t xml:space="preserve">Jim Sullivan</t>
  </si>
  <si>
    <t xml:space="preserve">CIO; CTO; VP Managed Services; VP Collaboration</t>
  </si>
  <si>
    <t xml:space="preserve">Rebranded to nwn.ai; Experience Management Platform with AI</t>
  </si>
  <si>
    <t xml:space="preserve">Formerly NWN Carousel</t>
  </si>
  <si>
    <t xml:space="preserve">https://www.nwn.ai</t>
  </si>
  <si>
    <t xml:space="preserve">Optiv</t>
  </si>
  <si>
    <t xml:space="preserve">Cybersecurity services / MSSP</t>
  </si>
  <si>
    <t xml:space="preserve">optiv.com</t>
  </si>
  <si>
    <t xml:space="preserve">Kevin Lynch</t>
  </si>
  <si>
    <t xml:space="preserve">AI security advisory and Optiv Market System</t>
  </si>
  <si>
    <t xml:space="preserve">Largest pure-play US security solutions integrator</t>
  </si>
  <si>
    <t xml:space="preserve">https://www.optiv.com</t>
  </si>
  <si>
    <t xml:space="preserve">Rackspace Technology</t>
  </si>
  <si>
    <t xml:space="preserve">Multicloud managed services</t>
  </si>
  <si>
    <t xml:space="preserve">rackspace.com</t>
  </si>
  <si>
    <t xml:space="preserve">Amar Maletira</t>
  </si>
  <si>
    <t xml:space="preserve">CEO; COO; CTO; SVP Service Delivery</t>
  </si>
  <si>
    <t xml:space="preserve">FAIR (Foundry for AI by Rackspace) practice; heavy GenAI go-to-market</t>
  </si>
  <si>
    <t xml:space="preserve">NASDAQ: RXT; Apollo remains major holder</t>
  </si>
  <si>
    <t xml:space="preserve">https://ir.rackspace.com</t>
  </si>
  <si>
    <t xml:space="preserve">Sirius Federal (CDW-G)</t>
  </si>
  <si>
    <t xml:space="preserve">cdwg.com</t>
  </si>
  <si>
    <t xml:space="preserve">CDW Government AI and cloud programs</t>
  </si>
  <si>
    <t xml:space="preserve">CDW subsidiary; formerly Force 3 and Sirius Federal</t>
  </si>
  <si>
    <t xml:space="preserve">https://www.cdwg.com</t>
  </si>
  <si>
    <t xml:space="preserve">Slalom</t>
  </si>
  <si>
    <t xml:space="preserve">slalom.com</t>
  </si>
  <si>
    <t xml:space="preserve">Brad Jackson</t>
  </si>
  <si>
    <t xml:space="preserve">CIO; Chief Digital Officer; COO; VP Data and AI</t>
  </si>
  <si>
    <t xml:space="preserve">Large AI practice; AWS/Google/Microsoft GenAI partner</t>
  </si>
  <si>
    <t xml:space="preserve">Employee-heavy consultancy; private</t>
  </si>
  <si>
    <t xml:space="preserve">https://www.slalom.com</t>
  </si>
  <si>
    <t xml:space="preserve">Trace3</t>
  </si>
  <si>
    <t xml:space="preserve">trace3.com</t>
  </si>
  <si>
    <t xml:space="preserve">Apollo Global Management</t>
  </si>
  <si>
    <t xml:space="preserve">Rich Fennessy</t>
  </si>
  <si>
    <t xml:space="preserve">CIO; CTO; VP Data and AI; VP Cloud</t>
  </si>
  <si>
    <t xml:space="preserve">Apollo acquisition 2025 framed around AI adoption; strong AI practice</t>
  </si>
  <si>
    <t xml:space="preserve">Previously American Securities</t>
  </si>
  <si>
    <t xml:space="preserve">https://www.apollo.com/insights-news/pressreleases/2025/08/apollo-funds-reach-agreement-with-american-securities-to-acquire-trace3-a-leading-technology-solutions-provider-driving-adoption-of-next-generation-technology-and-ai-3131306</t>
  </si>
  <si>
    <t xml:space="preserve">Unisys</t>
  </si>
  <si>
    <t xml:space="preserve">IT outsourcing / digital workplace</t>
  </si>
  <si>
    <t xml:space="preserve">unisys.com</t>
  </si>
  <si>
    <t xml:space="preserve">Michael Thomson</t>
  </si>
  <si>
    <t xml:space="preserve">CIO; COO; SVP Digital Workplace; CTO</t>
  </si>
  <si>
    <t xml:space="preserve">Unisys Logistics Optimization and AI-driven service desk</t>
  </si>
  <si>
    <t xml:space="preserve">NYSE: UIS</t>
  </si>
  <si>
    <t xml:space="preserve">https://www.unisys.com/investor-relations/</t>
  </si>
  <si>
    <t xml:space="preserve">Zayo Group</t>
  </si>
  <si>
    <t xml:space="preserve">Network / managed services</t>
  </si>
  <si>
    <t xml:space="preserve">zayo.com</t>
  </si>
  <si>
    <t xml:space="preserve">EQT; DigitalBridge</t>
  </si>
  <si>
    <t xml:space="preserve">Steve Smith</t>
  </si>
  <si>
    <t xml:space="preserve">CIO; CTO; VP Managed Services; COO</t>
  </si>
  <si>
    <t xml:space="preserve">#1 on 2026 MSP 501; AI-driven network demand</t>
  </si>
  <si>
    <t xml:space="preserve">Fiber and managed network services</t>
  </si>
  <si>
    <t xml:space="preserve">https://www.morningstar.com/news/business-wire/20260707537104/zayo-ranked-1-on-the-2026-channel-futures-msp-501-recognized-as-the-worlds-leading-managed-service-provider</t>
  </si>
  <si>
    <t xml:space="preserve">Zones</t>
  </si>
  <si>
    <t xml:space="preserve">zones.com</t>
  </si>
  <si>
    <t xml:space="preserve">Firoz Lalji</t>
  </si>
  <si>
    <t xml:space="preserve">CIO; CTO; VP Infrastructure; VP Managed Services</t>
  </si>
  <si>
    <t xml:space="preserve">Zones AI Center of Excellence</t>
  </si>
  <si>
    <t xml:space="preserve">Minority-owned global solution provider</t>
  </si>
  <si>
    <t xml:space="preserve">https://www.zones.com</t>
  </si>
  <si>
    <t xml:space="preserve">ePlus</t>
  </si>
  <si>
    <t xml:space="preserve">eplus.com</t>
  </si>
  <si>
    <t xml:space="preserve">Mark Marron</t>
  </si>
  <si>
    <t xml:space="preserve">AI Ignite program and AI-ready data center solutions</t>
  </si>
  <si>
    <t xml:space="preserve">NASDAQ: PLUS</t>
  </si>
  <si>
    <t xml:space="preserve">https://www.eplus.com/investors</t>
  </si>
  <si>
    <t xml:space="preserve">Consilio</t>
  </si>
  <si>
    <t xml:space="preserve">eDiscovery and legal managed services</t>
  </si>
  <si>
    <t xml:space="preserve">consilio.com</t>
  </si>
  <si>
    <t xml:space="preserve">Andy Macdonald</t>
  </si>
  <si>
    <t xml:space="preserve">COO; CIO; Chief Innovation Officer; Chief Product Officer</t>
  </si>
  <si>
    <t xml:space="preserve">Aurora and Complete AI platforms; heavy genAI review investment</t>
  </si>
  <si>
    <t xml:space="preserve">Stone Point acquired 2021 from GI Partners; Owler band $1-5B</t>
  </si>
  <si>
    <t xml:space="preserve">https://www.owler.com/company/consilio</t>
  </si>
  <si>
    <t xml:space="preserve">Epiq</t>
  </si>
  <si>
    <t xml:space="preserve">eDiscovery / class action / legal BPO</t>
  </si>
  <si>
    <t xml:space="preserve">epiqglobal.com</t>
  </si>
  <si>
    <t xml:space="preserve">David Dobson</t>
  </si>
  <si>
    <t xml:space="preserve">Epiq AI Discovery Assistant and Epiq Service Cloud</t>
  </si>
  <si>
    <t xml:space="preserve">OMERS/Harvest Partners; Owler band $1-5B</t>
  </si>
  <si>
    <t xml:space="preserve">https://www.omersprivateequity.com/portfolios/epiq/</t>
  </si>
  <si>
    <t xml:space="preserve">Lewis Brisbois Bisgaard &amp; Smith</t>
  </si>
  <si>
    <t xml:space="preserve">lewisbrisbois.com</t>
  </si>
  <si>
    <t xml:space="preserve">Gregory Katz</t>
  </si>
  <si>
    <t xml:space="preserve">Volume defense practice; workflow automation opportunity</t>
  </si>
  <si>
    <t xml:space="preserve">Largest US defense firm by headcount</t>
  </si>
  <si>
    <t xml:space="preserve">https://en.wikipedia.org/wiki/Lewis_Brisbois_Bisgaard_&amp;_Smith</t>
  </si>
  <si>
    <t xml:space="preserve">Morgan &amp; Morgan</t>
  </si>
  <si>
    <t xml:space="preserve">plaintiff personal injury law firm</t>
  </si>
  <si>
    <t xml:space="preserve">forthepeople.com</t>
  </si>
  <si>
    <t xml:space="preserve">John Morgan</t>
  </si>
  <si>
    <t xml:space="preserve">Heavy in-house tech build; exploring $1B+ minority stake sale (JPMorgan hired June 2026)</t>
  </si>
  <si>
    <t xml:space="preserve">Largest US PI firm; ~$2.4B annual revenue</t>
  </si>
  <si>
    <t xml:space="preserve">Nelson Mullins Riley &amp; Scarborough</t>
  </si>
  <si>
    <t xml:space="preserve">nelsonmullins.com</t>
  </si>
  <si>
    <t xml:space="preserve">Jim Lehman</t>
  </si>
  <si>
    <t xml:space="preserve">Encompass eDiscovery/tech subsidiary; top-5 PEP growth</t>
  </si>
  <si>
    <t xml:space="preserve">Am Law 100 #60 in 2025</t>
  </si>
  <si>
    <t xml:space="preserve">https://www.nelsonmullins.com/insights/news/press_releases/nelson-mullins-gains-five-spots-ranked-no-60-on-2025-am-law-100</t>
  </si>
  <si>
    <t xml:space="preserve">Polsinelli</t>
  </si>
  <si>
    <t xml:space="preserve">polsinelli.com</t>
  </si>
  <si>
    <t xml:space="preserve">Chase Simmons</t>
  </si>
  <si>
    <t xml:space="preserve">Rapid growth; technology/innovation investment</t>
  </si>
  <si>
    <t xml:space="preserve">FY2025 revenue $1.21B (+25.5%)</t>
  </si>
  <si>
    <t xml:space="preserve">AZZ Inc</t>
  </si>
  <si>
    <t xml:space="preserve">metal coatings &amp; galvanizing</t>
  </si>
  <si>
    <t xml:space="preserve">azz.com</t>
  </si>
  <si>
    <t xml:space="preserve">Tom Ferguson</t>
  </si>
  <si>
    <t xml:space="preserve">Digital Galvanizing System (DGS) plant analytics</t>
  </si>
  <si>
    <t xml:space="preserve">NYSE: AZZ</t>
  </si>
  <si>
    <t xml:space="preserve">https://en.wikipedia.org/wiki/AZZ_Inc.</t>
  </si>
  <si>
    <t xml:space="preserve">Amsted Industries</t>
  </si>
  <si>
    <t xml:space="preserve">rail &amp; industrial components</t>
  </si>
  <si>
    <t xml:space="preserve">amsted.com</t>
  </si>
  <si>
    <t xml:space="preserve">Amsted Digital Solutions rail telematics unit</t>
  </si>
  <si>
    <t xml:space="preserve">One of largest US ESOP manufacturers</t>
  </si>
  <si>
    <t xml:space="preserve">https://en.wikipedia.org/wiki/Amsted_Industries</t>
  </si>
  <si>
    <t xml:space="preserve">Carhartt</t>
  </si>
  <si>
    <t xml:space="preserve">workwear apparel manufacturer</t>
  </si>
  <si>
    <t xml:space="preserve">Dearborn</t>
  </si>
  <si>
    <t xml:space="preserve">carhartt.com</t>
  </si>
  <si>
    <t xml:space="preserve">Linda Hubbard</t>
  </si>
  <si>
    <t xml:space="preserve">COO; CIO; VP Supply Chain; VP Manufacturing</t>
  </si>
  <si>
    <t xml:space="preserve">Digital transformation and supply chain analytics roles posted</t>
  </si>
  <si>
    <t xml:space="preserve">Owns US sewing and distribution plants</t>
  </si>
  <si>
    <t xml:space="preserve">Chamberlain Group</t>
  </si>
  <si>
    <t xml:space="preserve">garage door openers &amp; access control</t>
  </si>
  <si>
    <t xml:space="preserve">chamberlaingroup.com</t>
  </si>
  <si>
    <t xml:space="preserve">myQ connected devices platform and software hiring</t>
  </si>
  <si>
    <t xml:space="preserve">Blackstone acquired majority stake 2021</t>
  </si>
  <si>
    <t xml:space="preserve">https://www.chamberlaingroup.com/</t>
  </si>
  <si>
    <t xml:space="preserve">Crown Equipment</t>
  </si>
  <si>
    <t xml:space="preserve">forklifts &amp; material handling</t>
  </si>
  <si>
    <t xml:space="preserve">New Bremen</t>
  </si>
  <si>
    <t xml:space="preserve">crown.com</t>
  </si>
  <si>
    <t xml:space="preserve">Jim Dicke III</t>
  </si>
  <si>
    <t xml:space="preserve">Automation and fleet analytics (InfoLink) offerings</t>
  </si>
  <si>
    <t xml:space="preserve">Fourth-largest lift truck maker globally</t>
  </si>
  <si>
    <t xml:space="preserve">https://en.wikipedia.org/wiki/Crown_Equipment_Corporation</t>
  </si>
  <si>
    <t xml:space="preserve">Duravant</t>
  </si>
  <si>
    <t xml:space="preserve">food processing &amp; packaging equipment</t>
  </si>
  <si>
    <t xml:space="preserve">duravant.com</t>
  </si>
  <si>
    <t xml:space="preserve">Mike Kachmer</t>
  </si>
  <si>
    <t xml:space="preserve">Vision and AI-based food processing (Foodmate/Key Technology)</t>
  </si>
  <si>
    <t xml:space="preserve">Carlyle co-investor; revenue band estimate</t>
  </si>
  <si>
    <t xml:space="preserve">https://www.duravant.com/</t>
  </si>
  <si>
    <t xml:space="preserve">Kennametal</t>
  </si>
  <si>
    <t xml:space="preserve">tooling &amp; wear-resistant materials</t>
  </si>
  <si>
    <t xml:space="preserve">kennametal.com</t>
  </si>
  <si>
    <t xml:space="preserve">Sanjay Chowbey</t>
  </si>
  <si>
    <t xml:space="preserve">Digital manufacturing and analytics in modernization program</t>
  </si>
  <si>
    <t xml:space="preserve">NYSE: KMT</t>
  </si>
  <si>
    <t xml:space="preserve">https://en.wikipedia.org/wiki/Kennametal</t>
  </si>
  <si>
    <t xml:space="preserve">Kontoor Brands</t>
  </si>
  <si>
    <t xml:space="preserve">denim apparel (Wrangler/Lee)</t>
  </si>
  <si>
    <t xml:space="preserve">kontoorbrands.com</t>
  </si>
  <si>
    <t xml:space="preserve">Scott Baxter</t>
  </si>
  <si>
    <t xml:space="preserve">COO; CIO; VP Supply Chain; VP Digital</t>
  </si>
  <si>
    <t xml:space="preserve">Project Jeanius ERP and digital transformation</t>
  </si>
  <si>
    <t xml:space="preserve">NYSE: KTB; owns manufacturing plants in Mexico and Nicaragua</t>
  </si>
  <si>
    <t xml:space="preserve">https://en.wikipedia.org/wiki/Kontoor_Brands</t>
  </si>
  <si>
    <t xml:space="preserve">Panduit</t>
  </si>
  <si>
    <t xml:space="preserve">network &amp; electrical infrastructure</t>
  </si>
  <si>
    <t xml:space="preserve">panduit.com</t>
  </si>
  <si>
    <t xml:space="preserve">Dennis Renaud</t>
  </si>
  <si>
    <t xml:space="preserve">COO; CIO; VP Operations; VP Data Center</t>
  </si>
  <si>
    <t xml:space="preserve">Data center and AI infrastructure demand driving product roadmap</t>
  </si>
  <si>
    <t xml:space="preserve">https://en.wikipedia.org/wiki/Panduit</t>
  </si>
  <si>
    <t xml:space="preserve">Powell Industries</t>
  </si>
  <si>
    <t xml:space="preserve">electrical switchgear &amp; power systems</t>
  </si>
  <si>
    <t xml:space="preserve">powellind.com</t>
  </si>
  <si>
    <t xml:space="preserve">Brett Cope</t>
  </si>
  <si>
    <t xml:space="preserve">Data center and electrification demand</t>
  </si>
  <si>
    <t xml:space="preserve">NASDAQ: POWL</t>
  </si>
  <si>
    <t xml:space="preserve">https://en.wikipedia.org/wiki/Powell_Industries</t>
  </si>
  <si>
    <t xml:space="preserve">ProMach</t>
  </si>
  <si>
    <t xml:space="preserve">packaging machinery</t>
  </si>
  <si>
    <t xml:space="preserve">Covington</t>
  </si>
  <si>
    <t xml:space="preserve">promachbuilt.com</t>
  </si>
  <si>
    <t xml:space="preserve">Mark Anderson</t>
  </si>
  <si>
    <t xml:space="preserve">ProMach digital and OEE software offerings</t>
  </si>
  <si>
    <t xml:space="preserve">Serial acquirer of packaging OEMs</t>
  </si>
  <si>
    <t xml:space="preserve">https://www.promachbuilt.com/</t>
  </si>
  <si>
    <t xml:space="preserve">S&amp;C Electric</t>
  </si>
  <si>
    <t xml:space="preserve">electric power switching &amp; protection</t>
  </si>
  <si>
    <t xml:space="preserve">sandc.com</t>
  </si>
  <si>
    <t xml:space="preserve">Anders Sjoelin</t>
  </si>
  <si>
    <t xml:space="preserve">Grid intelligence and self-healing grid software</t>
  </si>
  <si>
    <t xml:space="preserve">ESOP; revenue band estimate</t>
  </si>
  <si>
    <t xml:space="preserve">https://en.wikipedia.org/wiki/S%26C_Electric_Company</t>
  </si>
  <si>
    <t xml:space="preserve">Swagelok</t>
  </si>
  <si>
    <t xml:space="preserve">fluid system components</t>
  </si>
  <si>
    <t xml:space="preserve">swagelok.com</t>
  </si>
  <si>
    <t xml:space="preserve">Tom Lozick</t>
  </si>
  <si>
    <t xml:space="preserve">Digital customer platforms and connected manufacturing initiatives</t>
  </si>
  <si>
    <t xml:space="preserve">Crain's Cleveland largest private companies list</t>
  </si>
  <si>
    <t xml:space="preserve">https://en.wikipedia.org/wiki/Swagelok</t>
  </si>
  <si>
    <t xml:space="preserve">Trinity Industries</t>
  </si>
  <si>
    <t xml:space="preserve">freight railcars</t>
  </si>
  <si>
    <t xml:space="preserve">trin.net</t>
  </si>
  <si>
    <t xml:space="preserve">Jean Savage</t>
  </si>
  <si>
    <t xml:space="preserve">Trinsight rail analytics platform</t>
  </si>
  <si>
    <t xml:space="preserve">NYSE: TRN</t>
  </si>
  <si>
    <t xml:space="preserve">Utz Brands</t>
  </si>
  <si>
    <t xml:space="preserve">utzsnacks.com</t>
  </si>
  <si>
    <t xml:space="preserve">Howard Friedman</t>
  </si>
  <si>
    <t xml:space="preserve">Supply chain transformation and network optimization program</t>
  </si>
  <si>
    <t xml:space="preserve">NYSE: UTZ</t>
  </si>
  <si>
    <t xml:space="preserve">https://en.wikipedia.org/wiki/Utz_Brands</t>
  </si>
  <si>
    <t xml:space="preserve">Acosta Group</t>
  </si>
  <si>
    <t xml:space="preserve">retail marketing and sales agency</t>
  </si>
  <si>
    <t xml:space="preserve">acosta.group</t>
  </si>
  <si>
    <t xml:space="preserve">Brian Wynne</t>
  </si>
  <si>
    <t xml:space="preserve">CEO; CIO; COO; Chief Digital Officer</t>
  </si>
  <si>
    <t xml:space="preserve">Acquired Crossmark 2024; data and retail media</t>
  </si>
  <si>
    <t xml:space="preserve">Lender-owned since 2020 restructuring; revenue band estimate</t>
  </si>
  <si>
    <t xml:space="preserve">https://www.acosta.group/acosta-group-completes-acquisition-of-crossmark-and-product-connections/</t>
  </si>
  <si>
    <t xml:space="preserve">Advantage Solutions</t>
  </si>
  <si>
    <t xml:space="preserve">retail sales and marketing services</t>
  </si>
  <si>
    <t xml:space="preserve">advantagesolutions.net</t>
  </si>
  <si>
    <t xml:space="preserve">Dave Peacock</t>
  </si>
  <si>
    <t xml:space="preserve">Ad Age largest agencies 2025; data and AI transformation program</t>
  </si>
  <si>
    <t xml:space="preserve">NASDAQ: ADV</t>
  </si>
  <si>
    <t xml:space="preserve">https://www.globenewswire.com/news-release/2025/07/02/3109436/0/en/Ad-Age-lists-Advantage-Solutions-among-2025-Largest-Agencies.html</t>
  </si>
  <si>
    <t xml:space="preserve">Burson</t>
  </si>
  <si>
    <t xml:space="preserve">bursonglobal.com</t>
  </si>
  <si>
    <t xml:space="preserve">Corey duBrowa</t>
  </si>
  <si>
    <t xml:space="preserve">Burson Decipher AI platform</t>
  </si>
  <si>
    <t xml:space="preserve">WPP; formed 2024 from BCW and Hill &amp; Knowlton; revenue band estimate</t>
  </si>
  <si>
    <t xml:space="preserve">https://www.bursonglobal.com/</t>
  </si>
  <si>
    <t xml:space="preserve">Freeman</t>
  </si>
  <si>
    <t xml:space="preserve">experiential and events agency</t>
  </si>
  <si>
    <t xml:space="preserve">freeman.com</t>
  </si>
  <si>
    <t xml:space="preserve">Janet Dell</t>
  </si>
  <si>
    <t xml:space="preserve">Freeman data and AI event tools</t>
  </si>
  <si>
    <t xml:space="preserve">Largest US experiential company; acquired Sparks 2023</t>
  </si>
  <si>
    <t xml:space="preserve">Quad</t>
  </si>
  <si>
    <t xml:space="preserve">marketing experience and print</t>
  </si>
  <si>
    <t xml:space="preserve">Sussex</t>
  </si>
  <si>
    <t xml:space="preserve">quad.com</t>
  </si>
  <si>
    <t xml:space="preserve">Joel Quadracci</t>
  </si>
  <si>
    <t xml:space="preserve">AI-powered creative and data stack (Quad Data Solutions)</t>
  </si>
  <si>
    <t xml:space="preserve">NYSE: QUAD; repositioning as marketing experience company</t>
  </si>
  <si>
    <t xml:space="preserve">https://en.wikipedia.org/wiki/Quad_(company)</t>
  </si>
  <si>
    <t xml:space="preserve">RR Donnelley</t>
  </si>
  <si>
    <t xml:space="preserve">marketing and print services</t>
  </si>
  <si>
    <t xml:space="preserve">rrd.com</t>
  </si>
  <si>
    <t xml:space="preserve">Chatham Asset Management</t>
  </si>
  <si>
    <t xml:space="preserve">Tom Quinlan</t>
  </si>
  <si>
    <t xml:space="preserve">CEO; CIO; COO; CFO</t>
  </si>
  <si>
    <t xml:space="preserve">Acquired Valassis marketing business 2024</t>
  </si>
  <si>
    <t xml:space="preserve">Taken private 2022; revenue band estimate</t>
  </si>
  <si>
    <t xml:space="preserve">https://www.rrd.com/</t>
  </si>
  <si>
    <t xml:space="preserve">Stagwell</t>
  </si>
  <si>
    <t xml:space="preserve">marketing holding company</t>
  </si>
  <si>
    <t xml:space="preserve">stagwellglobal.com</t>
  </si>
  <si>
    <t xml:space="preserve">Mark Penn</t>
  </si>
  <si>
    <t xml:space="preserve">Stagwell Marketing Cloud; AI-first mandate</t>
  </si>
  <si>
    <t xml:space="preserve">NASDAQ: STGW; parent of 72andSunny Anomaly Assembly GALE etc.</t>
  </si>
  <si>
    <t xml:space="preserve">American Oncology Network</t>
  </si>
  <si>
    <t xml:space="preserve">Oncology practice network</t>
  </si>
  <si>
    <t xml:space="preserve">Fort Myers</t>
  </si>
  <si>
    <t xml:space="preserve">aoncology.com</t>
  </si>
  <si>
    <t xml:space="preserve">Todd Schonherz</t>
  </si>
  <si>
    <t xml:space="preserve">Precision medicine and data platform initiatives</t>
  </si>
  <si>
    <t xml:space="preserve">Crash Champions</t>
  </si>
  <si>
    <t xml:space="preserve">Collision repair</t>
  </si>
  <si>
    <t xml:space="preserve">Westmont</t>
  </si>
  <si>
    <t xml:space="preserve">crashchampions.com</t>
  </si>
  <si>
    <t xml:space="preserve">Matt Ebert</t>
  </si>
  <si>
    <t xml:space="preserve">AI estimating and photo triage adoption</t>
  </si>
  <si>
    <t xml:space="preserve">Revenue est.; 600+ locations</t>
  </si>
  <si>
    <t xml:space="preserve">GuidePoint Security</t>
  </si>
  <si>
    <t xml:space="preserve">Cybersecurity services/VAR</t>
  </si>
  <si>
    <t xml:space="preserve">guidepointsecurity.com</t>
  </si>
  <si>
    <t xml:space="preserve">Michael Volk</t>
  </si>
  <si>
    <t xml:space="preserve">COO; CTO; VP Professional Services</t>
  </si>
  <si>
    <t xml:space="preserve">Launched AI security practice and AI governance services</t>
  </si>
  <si>
    <t xml:space="preserve">Gross revenue est.; Audax invested 2023</t>
  </si>
  <si>
    <t xml:space="preserve">Insight Global</t>
  </si>
  <si>
    <t xml:space="preserve">Staffing &amp; consulting</t>
  </si>
  <si>
    <t xml:space="preserve">insightglobal.com</t>
  </si>
  <si>
    <t xml:space="preserve">Bert Bean</t>
  </si>
  <si>
    <t xml:space="preserve">COO; CIO; Chief Transformation Officer</t>
  </si>
  <si>
    <t xml:space="preserve">Evergreen consulting arm; AI talent practice</t>
  </si>
  <si>
    <t xml:space="preserve">Revenue est.; Harvest 2019</t>
  </si>
  <si>
    <t xml:space="preserve">Integrity Marketing Group</t>
  </si>
  <si>
    <t xml:space="preserve">Insurance distribution/technology</t>
  </si>
  <si>
    <t xml:space="preserve">integritymarketing.com</t>
  </si>
  <si>
    <t xml:space="preserve">Bryan W. Adams</t>
  </si>
  <si>
    <t xml:space="preserve">Insurtech platform (Ask Integrity AI) launched for agents</t>
  </si>
  <si>
    <t xml:space="preserve">Revenue est.; HGGC/Silver Lake</t>
  </si>
  <si>
    <t xml:space="preserve">Leaf Home</t>
  </si>
  <si>
    <t xml:space="preserve">DTC home improvement</t>
  </si>
  <si>
    <t xml:space="preserve">Hudson</t>
  </si>
  <si>
    <t xml:space="preserve">leafhome.com</t>
  </si>
  <si>
    <t xml:space="preserve">Jon Bostock</t>
  </si>
  <si>
    <t xml:space="preserve">Described as tech-enabled DTC; large lead-gen and contact center ops</t>
  </si>
  <si>
    <t xml:space="preserve">Merged with Erie Home Sept 2025; revenue est.</t>
  </si>
  <si>
    <t xml:space="preserve">https://gridironcapital.com/company/leaf-home/</t>
  </si>
  <si>
    <t xml:space="preserve">AMN Healthcare</t>
  </si>
  <si>
    <t xml:space="preserve">amnhealthcare.com</t>
  </si>
  <si>
    <t xml:space="preserve">Cary Grace</t>
  </si>
  <si>
    <t xml:space="preserve">AMN Passport app and AI workforce tech</t>
  </si>
  <si>
    <t xml:space="preserve">NYSE AMN; 2024 revenue about $2.98B</t>
  </si>
  <si>
    <t xml:space="preserve">https://www.amnhealthcare.com</t>
  </si>
  <si>
    <t xml:space="preserve">Acrisure LLC</t>
  </si>
  <si>
    <t xml:space="preserve">acrisure.com</t>
  </si>
  <si>
    <t xml:space="preserve">Greg Williams</t>
  </si>
  <si>
    <t xml:space="preserve">Positions itself as AI-driven fintech; acquired AI firms</t>
  </si>
  <si>
    <t xml:space="preserve">Business Insurance 2025 rank 8; founder and institutional investors</t>
  </si>
  <si>
    <t xml:space="preserve">Alight Inc.</t>
  </si>
  <si>
    <t xml:space="preserve">alight.com</t>
  </si>
  <si>
    <t xml:space="preserve">Dave Guilmette</t>
  </si>
  <si>
    <t xml:space="preserve">Alight Worklife platform with AI assistant</t>
  </si>
  <si>
    <t xml:space="preserve">NYSE ALIT; 2024 revenue about $2.33B</t>
  </si>
  <si>
    <t xml:space="preserve">https://www.alight.com</t>
  </si>
  <si>
    <t xml:space="preserve">Alorica</t>
  </si>
  <si>
    <t xml:space="preserve">alorica.com</t>
  </si>
  <si>
    <t xml:space="preserve">Max Schwendner</t>
  </si>
  <si>
    <t xml:space="preserve">Alorica IQ AI and analytics unit</t>
  </si>
  <si>
    <t xml:space="preserve">Private; revenue reported over $2B</t>
  </si>
  <si>
    <t xml:space="preserve">https://www.alorica.com</t>
  </si>
  <si>
    <t xml:space="preserve">Black &amp; Veatch</t>
  </si>
  <si>
    <t xml:space="preserve">bv.com</t>
  </si>
  <si>
    <t xml:space="preserve">Mario Azar</t>
  </si>
  <si>
    <t xml:space="preserve">Digital and AI advisory practice for utilities</t>
  </si>
  <si>
    <t xml:space="preserve">ENR 2026 Top 500 rank 14</t>
  </si>
  <si>
    <t xml:space="preserve">CDM Smith</t>
  </si>
  <si>
    <t xml:space="preserve">cdmsmith.com</t>
  </si>
  <si>
    <t xml:space="preserve">Tim Wall</t>
  </si>
  <si>
    <t xml:space="preserve">Digital solutions group; AI for water infrastructure</t>
  </si>
  <si>
    <t xml:space="preserve">ENR 2026 Top 500 rank 23</t>
  </si>
  <si>
    <t xml:space="preserve">CHG Healthcare Services</t>
  </si>
  <si>
    <t xml:space="preserve">Midvale</t>
  </si>
  <si>
    <t xml:space="preserve">chghealthcare.com</t>
  </si>
  <si>
    <t xml:space="preserve">Leonard Green &amp; Partners; Ares</t>
  </si>
  <si>
    <t xml:space="preserve">Scott Beck</t>
  </si>
  <si>
    <t xml:space="preserve">Locums marketplace technology investments</t>
  </si>
  <si>
    <t xml:space="preserve">SIA 2026 rank 8</t>
  </si>
  <si>
    <t xml:space="preserve">https://www.staffingindustry.com/news/global-daily-news/allegis-aya-and-insight-global-top-sia-list-of-largest-staffing-firms</t>
  </si>
  <si>
    <t xml:space="preserve">Conduent</t>
  </si>
  <si>
    <t xml:space="preserve">BPO &amp; business process services</t>
  </si>
  <si>
    <t xml:space="preserve">conduent.com</t>
  </si>
  <si>
    <t xml:space="preserve">Cliff Skelton</t>
  </si>
  <si>
    <t xml:space="preserve">Generative AI pilots in claims and customer service</t>
  </si>
  <si>
    <t xml:space="preserve">NASDAQ CNDT; 2024 revenue about $3.36B</t>
  </si>
  <si>
    <t xml:space="preserve">https://www.conduent.com</t>
  </si>
  <si>
    <t xml:space="preserve">Cross Country Healthcare</t>
  </si>
  <si>
    <t xml:space="preserve">crosscountry.com</t>
  </si>
  <si>
    <t xml:space="preserve">John Martins</t>
  </si>
  <si>
    <t xml:space="preserve">Intellify VMS platform; AI in recruiting</t>
  </si>
  <si>
    <t xml:space="preserve">NASDAQ CCRN; 2024 revenue about $1.34B</t>
  </si>
  <si>
    <t xml:space="preserve">https://www.crosscountry.com</t>
  </si>
  <si>
    <t xml:space="preserve">Employbridge</t>
  </si>
  <si>
    <t xml:space="preserve">employbridge.com</t>
  </si>
  <si>
    <t xml:space="preserve">Billy Milam</t>
  </si>
  <si>
    <t xml:space="preserve">Bluecrew digital staffing platform</t>
  </si>
  <si>
    <t xml:space="preserve">Largest US industrial staffing firm</t>
  </si>
  <si>
    <t xml:space="preserve">https://www.staffingindustry.com/editorial/industrial-staffing-report/largest-industrial-staffing-firms-made-315-million-more-in-2025</t>
  </si>
  <si>
    <t xml:space="preserve">ExlService Holdings</t>
  </si>
  <si>
    <t xml:space="preserve">exlservice.com</t>
  </si>
  <si>
    <t xml:space="preserve">Rohit Kapoor</t>
  </si>
  <si>
    <t xml:space="preserve">EXL AI platform and data-led operations</t>
  </si>
  <si>
    <t xml:space="preserve">NASDAQ EXLS; 2024 revenue about $1.84B</t>
  </si>
  <si>
    <t xml:space="preserve">https://www.exlservice.com</t>
  </si>
  <si>
    <t xml:space="preserve">GFT</t>
  </si>
  <si>
    <t xml:space="preserve">Mechanicsburg</t>
  </si>
  <si>
    <t xml:space="preserve">gftengineering.com</t>
  </si>
  <si>
    <t xml:space="preserve">Bob Scaer</t>
  </si>
  <si>
    <t xml:space="preserve">COO; CIO; VP Technology</t>
  </si>
  <si>
    <t xml:space="preserve">Post-merger integration of Gannett Fleming and TranSystems</t>
  </si>
  <si>
    <t xml:space="preserve">ENR 2026 Top 500 rank 18; formerly Gannett Fleming TranSystems</t>
  </si>
  <si>
    <t xml:space="preserve">Genpact</t>
  </si>
  <si>
    <t xml:space="preserve">genpact.com</t>
  </si>
  <si>
    <t xml:space="preserve">BK Kalra</t>
  </si>
  <si>
    <t xml:space="preserve">AI-first strategy and agentic AI solutions</t>
  </si>
  <si>
    <t xml:space="preserve">NYSE G; 2024 revenue about $4.77B</t>
  </si>
  <si>
    <t xml:space="preserve">https://www.genpact.com</t>
  </si>
  <si>
    <t xml:space="preserve">HDR</t>
  </si>
  <si>
    <t xml:space="preserve">hdrinc.com</t>
  </si>
  <si>
    <t xml:space="preserve">Eric Keen</t>
  </si>
  <si>
    <t xml:space="preserve">HDR data science group; AI-enabled design tools</t>
  </si>
  <si>
    <t xml:space="preserve">ENR 2026 Top 500 rank 6</t>
  </si>
  <si>
    <t xml:space="preserve">Highspring (formerly Vaco)</t>
  </si>
  <si>
    <t xml:space="preserve">highspring.com</t>
  </si>
  <si>
    <t xml:space="preserve">Brian Waller</t>
  </si>
  <si>
    <t xml:space="preserve">Rebranded 2025 with consulting and managed services push</t>
  </si>
  <si>
    <t xml:space="preserve">Hub International Ltd.</t>
  </si>
  <si>
    <t xml:space="preserve">hubinternational.com</t>
  </si>
  <si>
    <t xml:space="preserve">Hellman &amp; Friedman; Altas Partners; Leonard Green</t>
  </si>
  <si>
    <t xml:space="preserve">Marc Cohen</t>
  </si>
  <si>
    <t xml:space="preserve">Hub Digital and AI-driven client platforms</t>
  </si>
  <si>
    <t xml:space="preserve">Business Insurance 2025 rank 7</t>
  </si>
  <si>
    <t xml:space="preserve">Kelly Services</t>
  </si>
  <si>
    <t xml:space="preserve">kellyservices.com</t>
  </si>
  <si>
    <t xml:space="preserve">Peter Quigley</t>
  </si>
  <si>
    <t xml:space="preserve">Kelly Arc AI-agent staffing platform launched 2025</t>
  </si>
  <si>
    <t xml:space="preserve">NASDAQ KELYA; SIA 2026 rank 6</t>
  </si>
  <si>
    <t xml:space="preserve">Kimley-Horn</t>
  </si>
  <si>
    <t xml:space="preserve">kimley-horn.com</t>
  </si>
  <si>
    <t xml:space="preserve">Steve Lefton</t>
  </si>
  <si>
    <t xml:space="preserve">COO; CIO; Chief Digital Officer; VP Operations</t>
  </si>
  <si>
    <t xml:space="preserve">AI/GIS automation roles posted; digital delivery push</t>
  </si>
  <si>
    <t xml:space="preserve">ENR 2026 Top 500 rank 8</t>
  </si>
  <si>
    <t xml:space="preserve">Kroll</t>
  </si>
  <si>
    <t xml:space="preserve">kroll.com</t>
  </si>
  <si>
    <t xml:space="preserve">Stone Point Capital; Further Global</t>
  </si>
  <si>
    <t xml:space="preserve">Jacob Silverman</t>
  </si>
  <si>
    <t xml:space="preserve">Kroll AI valuation and risk tools</t>
  </si>
  <si>
    <t xml:space="preserve">Formerly Duff &amp; Phelps; valuation advisory core; band estimated</t>
  </si>
  <si>
    <t xml:space="preserve">https://www.kroll.com</t>
  </si>
  <si>
    <t xml:space="preserve">ServiceLink</t>
  </si>
  <si>
    <t xml:space="preserve">svclnk.com</t>
  </si>
  <si>
    <t xml:space="preserve">Dave Steinmetz</t>
  </si>
  <si>
    <t xml:space="preserve">EXOS technology platform for valuations and title</t>
  </si>
  <si>
    <t xml:space="preserve">Fidelity National Financial subsidiary; band estimated</t>
  </si>
  <si>
    <t xml:space="preserve">https://www.svclnk.com</t>
  </si>
  <si>
    <t xml:space="preserve">Sutherland Global Services</t>
  </si>
  <si>
    <t xml:space="preserve">sutherlandglobal.com</t>
  </si>
  <si>
    <t xml:space="preserve">Dilip Vellodi</t>
  </si>
  <si>
    <t xml:space="preserve">AI-first process transformation positioning</t>
  </si>
  <si>
    <t xml:space="preserve">Private; revenue band estimated</t>
  </si>
  <si>
    <t xml:space="preserve">https://www.sutherlandglobal.com</t>
  </si>
  <si>
    <t xml:space="preserve">TRC Cos.</t>
  </si>
  <si>
    <t xml:space="preserve">Windsor</t>
  </si>
  <si>
    <t xml:space="preserve">trccompanies.com</t>
  </si>
  <si>
    <t xml:space="preserve">Christopher Vincze</t>
  </si>
  <si>
    <t xml:space="preserve">COO; CIO; President Digital Solutions</t>
  </si>
  <si>
    <t xml:space="preserve">Digital grid and AI-enabled utility solutions unit</t>
  </si>
  <si>
    <t xml:space="preserve">ENR 2026 Top 500 rank 17</t>
  </si>
  <si>
    <t xml:space="preserve">TTEC Holdings</t>
  </si>
  <si>
    <t xml:space="preserve">ttec.com</t>
  </si>
  <si>
    <t xml:space="preserve">Ken Tuchman</t>
  </si>
  <si>
    <t xml:space="preserve">TTEC Digital AI and CX automation practice</t>
  </si>
  <si>
    <t xml:space="preserve">NASDAQ TTEC; 2024 revenue about $2.2B</t>
  </si>
  <si>
    <t xml:space="preserve">https://www.ttec.com</t>
  </si>
  <si>
    <t xml:space="preserve">Terracon Consultants Inc.</t>
  </si>
  <si>
    <t xml:space="preserve">Olathe</t>
  </si>
  <si>
    <t xml:space="preserve">terracon.com</t>
  </si>
  <si>
    <t xml:space="preserve">Gayle Packer</t>
  </si>
  <si>
    <t xml:space="preserve">Field data automation and digital delivery initiatives</t>
  </si>
  <si>
    <t xml:space="preserve">ENR 2026 Top 500 rank 19; geotechnical and environmental</t>
  </si>
  <si>
    <t xml:space="preserve">The Baldwin Group</t>
  </si>
  <si>
    <t xml:space="preserve">baldwin.com</t>
  </si>
  <si>
    <t xml:space="preserve">Trevor Baldwin</t>
  </si>
  <si>
    <t xml:space="preserve">Publicly discussed AI and automation for operating leverage</t>
  </si>
  <si>
    <t xml:space="preserve">NASDAQ BWIN; Business Insurance 2025 rank 15</t>
  </si>
  <si>
    <t xml:space="preserve">TrueBlue</t>
  </si>
  <si>
    <t xml:space="preserve">Tacoma</t>
  </si>
  <si>
    <t xml:space="preserve">trueblue.com</t>
  </si>
  <si>
    <t xml:space="preserve">Taryn Owen</t>
  </si>
  <si>
    <t xml:space="preserve">JobStack digital staffing app; AI-driven PeopleScout</t>
  </si>
  <si>
    <t xml:space="preserve">NYSE TBI; 2024 revenue about $1.57B</t>
  </si>
  <si>
    <t xml:space="preserve">https://www.trueblue.com</t>
  </si>
  <si>
    <t xml:space="preserve">USI Insurance Services LLC</t>
  </si>
  <si>
    <t xml:space="preserve">Valhalla</t>
  </si>
  <si>
    <t xml:space="preserve">usi.com</t>
  </si>
  <si>
    <t xml:space="preserve">KKR; CDPQ</t>
  </si>
  <si>
    <t xml:space="preserve">Michael Sicard</t>
  </si>
  <si>
    <t xml:space="preserve">USI ONE Advantage proprietary analytics platform</t>
  </si>
  <si>
    <t xml:space="preserve">Business Insurance 2025 rank 11</t>
  </si>
  <si>
    <t xml:space="preserve">1-800-Flowers.com</t>
  </si>
  <si>
    <t xml:space="preserve">gifting ecommerce</t>
  </si>
  <si>
    <t xml:space="preserve">1800flowers.com</t>
  </si>
  <si>
    <t xml:space="preserve">Adolfo Villagomez</t>
  </si>
  <si>
    <t xml:space="preserve">CIO; COO; VP Digital; VP Customer Experience</t>
  </si>
  <si>
    <t xml:space="preserve">Launched Celebrations Pulse AI gifting tools</t>
  </si>
  <si>
    <t xml:space="preserve">Harry &amp; David and PersonalizationMall brands</t>
  </si>
  <si>
    <t xml:space="preserve">https://en.wikipedia.org/wiki/1-800-Flowers</t>
  </si>
  <si>
    <t xml:space="preserve">Alo Yoga</t>
  </si>
  <si>
    <t xml:space="preserve">premium activewear brand and retailer</t>
  </si>
  <si>
    <t xml:space="preserve">aloyoga.com</t>
  </si>
  <si>
    <t xml:space="preserve">Danny Harris; Marco DeGeorge</t>
  </si>
  <si>
    <t xml:space="preserve">Aggressive global store rollout</t>
  </si>
  <si>
    <t xml:space="preserve">Co-CEOs; reported ~$1B+ sales</t>
  </si>
  <si>
    <t xml:space="preserve">https://aloyoga.com</t>
  </si>
  <si>
    <t xml:space="preserve">Arhaus</t>
  </si>
  <si>
    <t xml:space="preserve">premium furniture omnichannel retailer</t>
  </si>
  <si>
    <t xml:space="preserve">Boston Heights</t>
  </si>
  <si>
    <t xml:space="preserve">arhaus.com</t>
  </si>
  <si>
    <t xml:space="preserve">John Reed</t>
  </si>
  <si>
    <t xml:space="preserve">New ERP and showroom expansion</t>
  </si>
  <si>
    <t xml:space="preserve">Freeman Spogli still holds stake</t>
  </si>
  <si>
    <t xml:space="preserve">https://en.wikipedia.org/wiki/Arhaus</t>
  </si>
  <si>
    <t xml:space="preserve">Authentic Brands Group</t>
  </si>
  <si>
    <t xml:space="preserve">brand licensing platform</t>
  </si>
  <si>
    <t xml:space="preserve">authentic.com</t>
  </si>
  <si>
    <t xml:space="preserve">Leonard Green &amp; Partners; CVC; HPS</t>
  </si>
  <si>
    <t xml:space="preserve">Jamie Salter</t>
  </si>
  <si>
    <t xml:space="preserve">CIO; COO; VP Digital; VP Licensing</t>
  </si>
  <si>
    <t xml:space="preserve">Digital commerce platform for licensed brands</t>
  </si>
  <si>
    <t xml:space="preserve">Owns Reebok; Forever 21; Brooks Brothers brands</t>
  </si>
  <si>
    <t xml:space="preserve">Beyond Inc.</t>
  </si>
  <si>
    <t xml:space="preserve">online home retailer</t>
  </si>
  <si>
    <t xml:space="preserve">beyond.com</t>
  </si>
  <si>
    <t xml:space="preserve">Marcus Lemonis</t>
  </si>
  <si>
    <t xml:space="preserve">CTO; COO; VP Ecommerce; VP Marketing</t>
  </si>
  <si>
    <t xml:space="preserve">Rebuilding Bed Bath &amp; Beyond online with affinity brands</t>
  </si>
  <si>
    <t xml:space="preserve">Formerly Overstock</t>
  </si>
  <si>
    <t xml:space="preserve">https://en.wikipedia.org/wiki/Beyond,_Inc.</t>
  </si>
  <si>
    <t xml:space="preserve">Boot Barn Holdings</t>
  </si>
  <si>
    <t xml:space="preserve">western/workwear specialty retailer</t>
  </si>
  <si>
    <t xml:space="preserve">bootbarn.com</t>
  </si>
  <si>
    <t xml:space="preserve">John Hazen</t>
  </si>
  <si>
    <t xml:space="preserve">CIO; COO; SVP Stores; VP Digital</t>
  </si>
  <si>
    <t xml:space="preserve">Personalization and demand forecasting investments cited on earnings calls</t>
  </si>
  <si>
    <t xml:space="preserve">400+ stores; fast unit growth</t>
  </si>
  <si>
    <t xml:space="preserve">https://en.wikipedia.org/wiki/Boot_Barn</t>
  </si>
  <si>
    <t xml:space="preserve">Crumbl</t>
  </si>
  <si>
    <t xml:space="preserve">dessert franchisor</t>
  </si>
  <si>
    <t xml:space="preserve">crumblcookies.com</t>
  </si>
  <si>
    <t xml:space="preserve">TSG Consumer Partners (minority)</t>
  </si>
  <si>
    <t xml:space="preserve">Jason McGowan</t>
  </si>
  <si>
    <t xml:space="preserve">CTO; COO; VP Franchise; CMO</t>
  </si>
  <si>
    <t xml:space="preserve">App-first ordering and data-driven weekly menu rotation</t>
  </si>
  <si>
    <t xml:space="preserve">1000+ franchised stores; systemwide sales basis</t>
  </si>
  <si>
    <t xml:space="preserve">Hims &amp; Hers Health</t>
  </si>
  <si>
    <t xml:space="preserve">DTC health and wellness</t>
  </si>
  <si>
    <t xml:space="preserve">hims.com</t>
  </si>
  <si>
    <t xml:space="preserve">Andrew Dudum</t>
  </si>
  <si>
    <t xml:space="preserve">Fastest-growing DC360 Top 1000 retailer; AI-driven personalization (MedMatch)</t>
  </si>
  <si>
    <t xml:space="preserve">Larger name; heavy AI adoption</t>
  </si>
  <si>
    <t xml:space="preserve">https://www.digitalcommerce360.com/2025/06/26/ecommerce-trends-north-america-fastest-growing-online-retailer-2024/</t>
  </si>
  <si>
    <t xml:space="preserve">KnitWell Group</t>
  </si>
  <si>
    <t xml:space="preserve">women's apparel multi-brand retailer</t>
  </si>
  <si>
    <t xml:space="preserve">knitwellgroup.com</t>
  </si>
  <si>
    <t xml:space="preserve">Lizanne Kindler</t>
  </si>
  <si>
    <t xml:space="preserve">Consolidating shared services across brands</t>
  </si>
  <si>
    <t xml:space="preserve">Ann Taylor; LOFT; Lane Bryant; Talbots</t>
  </si>
  <si>
    <t xml:space="preserve">https://knitwellgroup.com</t>
  </si>
  <si>
    <t xml:space="preserve">Lands' End</t>
  </si>
  <si>
    <t xml:space="preserve">apparel DTC and licensing</t>
  </si>
  <si>
    <t xml:space="preserve">Dodgeville</t>
  </si>
  <si>
    <t xml:space="preserve">landsend.com</t>
  </si>
  <si>
    <t xml:space="preserve">Andrew McLean</t>
  </si>
  <si>
    <t xml:space="preserve">CIO; COO; SVP Digital; VP Customer Experience</t>
  </si>
  <si>
    <t xml:space="preserve">Uses AI-driven personalization and licensing asset-light pivot</t>
  </si>
  <si>
    <t xml:space="preserve">Explored strategic alternatives 2025</t>
  </si>
  <si>
    <t xml:space="preserve">https://en.wikipedia.org/wiki/Lands%27_End</t>
  </si>
  <si>
    <t xml:space="preserve">Leslie's</t>
  </si>
  <si>
    <t xml:space="preserve">pool supplies specialty retailer</t>
  </si>
  <si>
    <t xml:space="preserve">lesliespool.com</t>
  </si>
  <si>
    <t xml:space="preserve">Jason McDonell</t>
  </si>
  <si>
    <t xml:space="preserve">CIO; COO; VP Ecommerce; VP Pro Sales</t>
  </si>
  <si>
    <t xml:space="preserve">Inventory optimization and pro customer platform</t>
  </si>
  <si>
    <t xml:space="preserve">~1000 stores</t>
  </si>
  <si>
    <t xml:space="preserve">https://en.wikipedia.org/wiki/Leslie%27s_(retailer)</t>
  </si>
  <si>
    <t xml:space="preserve">National Vision Holdings</t>
  </si>
  <si>
    <t xml:space="preserve">optical retail chain</t>
  </si>
  <si>
    <t xml:space="preserve">Duluth</t>
  </si>
  <si>
    <t xml:space="preserve">nationalvision.com</t>
  </si>
  <si>
    <t xml:space="preserve">Alex Wilkes</t>
  </si>
  <si>
    <t xml:space="preserve">CIO; COO; VP Digital; VP Managed Care</t>
  </si>
  <si>
    <t xml:space="preserve">Remote exam technology and store optimization</t>
  </si>
  <si>
    <t xml:space="preserve">America's Best and Eyeglass World</t>
  </si>
  <si>
    <t xml:space="preserve">https://en.wikipedia.org/wiki/National_Vision</t>
  </si>
  <si>
    <t xml:space="preserve">Ollie's Bargain Outlet</t>
  </si>
  <si>
    <t xml:space="preserve">closeout discount chain</t>
  </si>
  <si>
    <t xml:space="preserve">Harrisburg</t>
  </si>
  <si>
    <t xml:space="preserve">ollies.com</t>
  </si>
  <si>
    <t xml:space="preserve">Eric van der Valk</t>
  </si>
  <si>
    <t xml:space="preserve">CIO; COO; SVP Supply Chain</t>
  </si>
  <si>
    <t xml:space="preserve">New DC and store growth from Big Lots leases</t>
  </si>
  <si>
    <t xml:space="preserve">Larger name for the list</t>
  </si>
  <si>
    <t xml:space="preserve">https://en.wikipedia.org/wiki/Ollie%27s_Bargain_Outlet</t>
  </si>
  <si>
    <t xml:space="preserve">Planet Fitness</t>
  </si>
  <si>
    <t xml:space="preserve">Hampton</t>
  </si>
  <si>
    <t xml:space="preserve">planetfitness.com</t>
  </si>
  <si>
    <t xml:space="preserve">Colleen Keating</t>
  </si>
  <si>
    <t xml:space="preserve">CIO; COO; CMO; VP Franchise Ops</t>
  </si>
  <si>
    <t xml:space="preserve">Member app and marketing data investments</t>
  </si>
  <si>
    <t xml:space="preserve">TSG was prior sponsor</t>
  </si>
  <si>
    <t xml:space="preserve">https://en.wikipedia.org/wiki/Planet_Fitness</t>
  </si>
  <si>
    <t xml:space="preserve">Quince</t>
  </si>
  <si>
    <t xml:space="preserve">DTC value-luxury ecommerce</t>
  </si>
  <si>
    <t xml:space="preserve">quince.com</t>
  </si>
  <si>
    <t xml:space="preserve">Sid Gupta</t>
  </si>
  <si>
    <t xml:space="preserve">Factory-direct data-driven model; heavy tech hiring</t>
  </si>
  <si>
    <t xml:space="preserve">Reported multi-billion valuation 2025</t>
  </si>
  <si>
    <t xml:space="preserve">https://quince.com</t>
  </si>
  <si>
    <t xml:space="preserve">REI Co-op</t>
  </si>
  <si>
    <t xml:space="preserve">outdoor specialty retailer</t>
  </si>
  <si>
    <t xml:space="preserve">Issaquah</t>
  </si>
  <si>
    <t xml:space="preserve">rei.com</t>
  </si>
  <si>
    <t xml:space="preserve">Mary Beth Laughton</t>
  </si>
  <si>
    <t xml:space="preserve">Cost restructuring and digital investment</t>
  </si>
  <si>
    <t xml:space="preserve">Consumer cooperative; larger name</t>
  </si>
  <si>
    <t xml:space="preserve">https://en.wikipedia.org/wiki/Recreational_Equipment,_Inc.</t>
  </si>
  <si>
    <t xml:space="preserve">Revolve Group</t>
  </si>
  <si>
    <t xml:space="preserve">online fashion retailer</t>
  </si>
  <si>
    <t xml:space="preserve">Cerritos</t>
  </si>
  <si>
    <t xml:space="preserve">revolve.com</t>
  </si>
  <si>
    <t xml:space="preserve">Michael Mente; Mike Karanikolas</t>
  </si>
  <si>
    <t xml:space="preserve">CTO; COO; VP Data Science; VP Merchandising</t>
  </si>
  <si>
    <t xml:space="preserve">Publicly touts AI search and styling and AI-driven merchandising</t>
  </si>
  <si>
    <t xml:space="preserve">Co-CEOs; TSG was early backer</t>
  </si>
  <si>
    <t xml:space="preserve">https://en.wikipedia.org/wiki/Revolve_(company)</t>
  </si>
  <si>
    <t xml:space="preserve">Savers Value Village</t>
  </si>
  <si>
    <t xml:space="preserve">thrift retail chain</t>
  </si>
  <si>
    <t xml:space="preserve">savers.com</t>
  </si>
  <si>
    <t xml:space="preserve">Mark Walsh</t>
  </si>
  <si>
    <t xml:space="preserve">CIO; COO; VP Supply Chain; VP Store Operations</t>
  </si>
  <si>
    <t xml:space="preserve">Automated processing and pricing systems</t>
  </si>
  <si>
    <t xml:space="preserve">Ares holds majority</t>
  </si>
  <si>
    <t xml:space="preserve">https://en.wikipedia.org/wiki/Savers_(company)</t>
  </si>
  <si>
    <t xml:space="preserve">Shoe Carnival</t>
  </si>
  <si>
    <t xml:space="preserve">family footwear regional chain</t>
  </si>
  <si>
    <t xml:space="preserve">shoecarnival.com</t>
  </si>
  <si>
    <t xml:space="preserve">Mark Worden</t>
  </si>
  <si>
    <t xml:space="preserve">Rogan's rebanner and CRM/loyalty data program</t>
  </si>
  <si>
    <t xml:space="preserve">Also owns Shoe Station</t>
  </si>
  <si>
    <t xml:space="preserve">https://en.wikipedia.org/wiki/Shoe_Carnival</t>
  </si>
  <si>
    <t xml:space="preserve">Shutterfly</t>
  </si>
  <si>
    <t xml:space="preserve">personalized photo products ecommerce</t>
  </si>
  <si>
    <t xml:space="preserve">shutterfly.com</t>
  </si>
  <si>
    <t xml:space="preserve">Sally Pofcher</t>
  </si>
  <si>
    <t xml:space="preserve">AI photo curation features</t>
  </si>
  <si>
    <t xml:space="preserve">Also Snapfish and Lifetouch</t>
  </si>
  <si>
    <t xml:space="preserve">https://shutterfly.com</t>
  </si>
  <si>
    <t xml:space="preserve">Sleep Number</t>
  </si>
  <si>
    <t xml:space="preserve">DTC smart bedding</t>
  </si>
  <si>
    <t xml:space="preserve">sleepnumber.com</t>
  </si>
  <si>
    <t xml:space="preserve">Linda Findley</t>
  </si>
  <si>
    <t xml:space="preserve">CIO; COO; VP Digital; CMO</t>
  </si>
  <si>
    <t xml:space="preserve">Smart bed data and sleep AI features</t>
  </si>
  <si>
    <t xml:space="preserve">Vertically integrated retail</t>
  </si>
  <si>
    <t xml:space="preserve">https://en.wikipedia.org/wiki/Sleep_Number</t>
  </si>
  <si>
    <t xml:space="preserve">Sportsman's Warehouse</t>
  </si>
  <si>
    <t xml:space="preserve">outdoor sporting goods regional chain</t>
  </si>
  <si>
    <t xml:space="preserve">West Jordan</t>
  </si>
  <si>
    <t xml:space="preserve">sportsmans.com</t>
  </si>
  <si>
    <t xml:space="preserve">Paul Stone</t>
  </si>
  <si>
    <t xml:space="preserve">Inventory and omnichannel systems overhaul</t>
  </si>
  <si>
    <t xml:space="preserve">~145 stores</t>
  </si>
  <si>
    <t xml:space="preserve">https://en.wikipedia.org/wiki/Sportsman%27s_Warehouse</t>
  </si>
  <si>
    <t xml:space="preserve">Stitch Fix</t>
  </si>
  <si>
    <t xml:space="preserve">personalized apparel ecommerce</t>
  </si>
  <si>
    <t xml:space="preserve">stitchfix.com</t>
  </si>
  <si>
    <t xml:space="preserve">Matt Baer</t>
  </si>
  <si>
    <t xml:space="preserve">CTO; COO; VP Data Science; VP Styling</t>
  </si>
  <si>
    <t xml:space="preserve">Algorithms and generative AI core to styling model</t>
  </si>
  <si>
    <t xml:space="preserve">AI-native business model</t>
  </si>
  <si>
    <t xml:space="preserve">https://en.wikipedia.org/wiki/Stitch_Fix</t>
  </si>
  <si>
    <t xml:space="preserve">Torrid Holdings</t>
  </si>
  <si>
    <t xml:space="preserve">plus-size apparel omnichannel</t>
  </si>
  <si>
    <t xml:space="preserve">torrid.com</t>
  </si>
  <si>
    <t xml:space="preserve">Ashley Wheeler</t>
  </si>
  <si>
    <t xml:space="preserve">Store fleet rationalization and digital shift</t>
  </si>
  <si>
    <t xml:space="preserve">Sycamore holds majority stake</t>
  </si>
  <si>
    <t xml:space="preserve">https://en.wikipedia.org/wiki/Torrid_(clothing_retailer)</t>
  </si>
  <si>
    <t xml:space="preserve">Vuori</t>
  </si>
  <si>
    <t xml:space="preserve">DTC performance apparel</t>
  </si>
  <si>
    <t xml:space="preserve">Carlsbad</t>
  </si>
  <si>
    <t xml:space="preserve">vuoriclothing.com</t>
  </si>
  <si>
    <t xml:space="preserve">General Atlantic; Stripes</t>
  </si>
  <si>
    <t xml:space="preserve">Joe Kudla</t>
  </si>
  <si>
    <t xml:space="preserve">Top-10 fastest-growing DC360 consumer brand 2024</t>
  </si>
  <si>
    <t xml:space="preserve">$5.5B valuation round 2024</t>
  </si>
  <si>
    <t xml:space="preserve">YETI Holdings</t>
  </si>
  <si>
    <t xml:space="preserve">premium drinkware and coolers</t>
  </si>
  <si>
    <t xml:space="preserve">yeti.com</t>
  </si>
  <si>
    <t xml:space="preserve">Matt Reintjes</t>
  </si>
  <si>
    <t xml:space="preserve">Supply chain diversification and DTC personalization</t>
  </si>
  <si>
    <t xml:space="preserve">Larger consumer brand</t>
  </si>
  <si>
    <t xml:space="preserve">https://en.wikipedia.org/wiki/Yeti_(company)</t>
  </si>
  <si>
    <t xml:space="preserve">e.l.f. Beauty</t>
  </si>
  <si>
    <t xml:space="preserve">cosmetics consumer products</t>
  </si>
  <si>
    <t xml:space="preserve">elfbeauty.com</t>
  </si>
  <si>
    <t xml:space="preserve">Tarang Amin</t>
  </si>
  <si>
    <t xml:space="preserve">CIO; COO; CMO; VP Digital</t>
  </si>
  <si>
    <t xml:space="preserve">Digital-first marketing and AI in product innovation cited</t>
  </si>
  <si>
    <t xml:space="preserve">TSG was prior sponsor; acquired rhode 2025</t>
  </si>
  <si>
    <t xml:space="preserve">https://en.wikipedia.org/wiki/E.l.f._Cosmetics</t>
  </si>
  <si>
    <t xml:space="preserve">iFIT Health &amp; Fitness</t>
  </si>
  <si>
    <t xml:space="preserve">connected fitness equipment and content</t>
  </si>
  <si>
    <t xml:space="preserve">Logan</t>
  </si>
  <si>
    <t xml:space="preserve">ifit.com</t>
  </si>
  <si>
    <t xml:space="preserve">Kevin Duffy</t>
  </si>
  <si>
    <t xml:space="preserve">CTO; COO; VP Digital Product; VP Supply Chain</t>
  </si>
  <si>
    <t xml:space="preserve">AI-powered adaptive training content</t>
  </si>
  <si>
    <t xml:space="preserve">NordicTrack and ProForm</t>
  </si>
  <si>
    <t xml:space="preserve">Blackbaud</t>
  </si>
  <si>
    <t xml:space="preserve">nonprofit &amp; education software</t>
  </si>
  <si>
    <t xml:space="preserve">Charleston</t>
  </si>
  <si>
    <t xml:space="preserve">blackbaud.com</t>
  </si>
  <si>
    <t xml:space="preserve">Mike Gianoni</t>
  </si>
  <si>
    <t xml:space="preserve">Blackbaud Copilot</t>
  </si>
  <si>
    <t xml:space="preserve">NASDAQ: BLKB</t>
  </si>
  <si>
    <t xml:space="preserve">https://investor.blackbaud.com</t>
  </si>
  <si>
    <t xml:space="preserve">Blue Yonder</t>
  </si>
  <si>
    <t xml:space="preserve">supply chain planning &amp; execution</t>
  </si>
  <si>
    <t xml:space="preserve">blueyonder.com</t>
  </si>
  <si>
    <t xml:space="preserve">Duncan Angove</t>
  </si>
  <si>
    <t xml:space="preserve">Cognitive supply chain agents</t>
  </si>
  <si>
    <t xml:space="preserve">Owned by Panasonic</t>
  </si>
  <si>
    <t xml:space="preserve">https://blueyonder.com</t>
  </si>
  <si>
    <t xml:space="preserve">CCC Intelligent Solutions</t>
  </si>
  <si>
    <t xml:space="preserve">auto insurance claims software</t>
  </si>
  <si>
    <t xml:space="preserve">cccis.com</t>
  </si>
  <si>
    <t xml:space="preserve">Githesh Ramamurthy</t>
  </si>
  <si>
    <t xml:space="preserve">CCC Intelligent Experience AI claims</t>
  </si>
  <si>
    <t xml:space="preserve">NASDAQ: CCCS</t>
  </si>
  <si>
    <t xml:space="preserve">https://ir.cccis.com</t>
  </si>
  <si>
    <t xml:space="preserve">Dayforce</t>
  </si>
  <si>
    <t xml:space="preserve">HCM / payroll</t>
  </si>
  <si>
    <t xml:space="preserve">dayforce.com</t>
  </si>
  <si>
    <t xml:space="preserve">David Ossip</t>
  </si>
  <si>
    <t xml:space="preserve">Dayforce Co-Pilot and agentic HCM roadmap</t>
  </si>
  <si>
    <t xml:space="preserve">$12.3B take-private closed Feb 2026</t>
  </si>
  <si>
    <t xml:space="preserve">https://www.nasdaq.com/press-release/thoma-bravo-completes-acquisition-dayforce-2026-02-04</t>
  </si>
  <si>
    <t xml:space="preserve">Deel</t>
  </si>
  <si>
    <t xml:space="preserve">global payroll &amp; EOR</t>
  </si>
  <si>
    <t xml:space="preserve">deel.com</t>
  </si>
  <si>
    <t xml:space="preserve">Alex Bouaziz</t>
  </si>
  <si>
    <t xml:space="preserve">Deel AI for global compliance</t>
  </si>
  <si>
    <t xml:space="preserve">Growth-equity backed</t>
  </si>
  <si>
    <t xml:space="preserve">https://www.deel.com</t>
  </si>
  <si>
    <t xml:space="preserve">Finastra</t>
  </si>
  <si>
    <t xml:space="preserve">banking &amp; lending software</t>
  </si>
  <si>
    <t xml:space="preserve">finastra.com</t>
  </si>
  <si>
    <t xml:space="preserve">Chris Walters</t>
  </si>
  <si>
    <t xml:space="preserve">Finastra GenAI initiatives across lending</t>
  </si>
  <si>
    <t xml:space="preserve">Legal HQ London; large US ops</t>
  </si>
  <si>
    <t xml:space="preserve">GoTo</t>
  </si>
  <si>
    <t xml:space="preserve">UCaaS &amp; remote IT support</t>
  </si>
  <si>
    <t xml:space="preserve">goto.com</t>
  </si>
  <si>
    <t xml:space="preserve">Francisco Partners; Elliott Management</t>
  </si>
  <si>
    <t xml:space="preserve">Paddy Srinivasan</t>
  </si>
  <si>
    <t xml:space="preserve">GoTo Resolve AI and LogMeIn agentic support</t>
  </si>
  <si>
    <t xml:space="preserve">Formerly LogMeIn</t>
  </si>
  <si>
    <t xml:space="preserve">Guidewire Software</t>
  </si>
  <si>
    <t xml:space="preserve">P&amp;C insurance core platform</t>
  </si>
  <si>
    <t xml:space="preserve">guidewire.com</t>
  </si>
  <si>
    <t xml:space="preserve">Mike Rosenbaum</t>
  </si>
  <si>
    <t xml:space="preserve">Guidewire AI and Jutro</t>
  </si>
  <si>
    <t xml:space="preserve">NYSE: GWRE</t>
  </si>
  <si>
    <t xml:space="preserve">https://ir.guidewire.com</t>
  </si>
  <si>
    <t xml:space="preserve">Gusto</t>
  </si>
  <si>
    <t xml:space="preserve">payroll &amp; benefits for SMB</t>
  </si>
  <si>
    <t xml:space="preserve">gusto.com</t>
  </si>
  <si>
    <t xml:space="preserve">Josh Reeves</t>
  </si>
  <si>
    <t xml:space="preserve">Gus AI assistant</t>
  </si>
  <si>
    <t xml:space="preserve">Hit $1B revenue May 2026</t>
  </si>
  <si>
    <t xml:space="preserve">https://techcrunch.com/2026/05/07/gusto-hits-1b-revenue-a-figure-that-brings-it-closer-to-public-markets/</t>
  </si>
  <si>
    <t xml:space="preserve">Jack Henry &amp; Associates</t>
  </si>
  <si>
    <t xml:space="preserve">core banking</t>
  </si>
  <si>
    <t xml:space="preserve">Monett</t>
  </si>
  <si>
    <t xml:space="preserve">jackhenry.com</t>
  </si>
  <si>
    <t xml:space="preserve">Greg Adelson</t>
  </si>
  <si>
    <t xml:space="preserve">GenAI banking tools</t>
  </si>
  <si>
    <t xml:space="preserve">NASDAQ: JKHY</t>
  </si>
  <si>
    <t xml:space="preserve">https://ir.jackhenry.com</t>
  </si>
  <si>
    <t xml:space="preserve">Kaseya</t>
  </si>
  <si>
    <t xml:space="preserve">IT management for MSPs</t>
  </si>
  <si>
    <t xml:space="preserve">kaseya.com</t>
  </si>
  <si>
    <t xml:space="preserve">Insight Partners; TPG</t>
  </si>
  <si>
    <t xml:space="preserve">Rania Succar</t>
  </si>
  <si>
    <t xml:space="preserve">Kaseya 365 with Cooper Copilot AI</t>
  </si>
  <si>
    <t xml:space="preserve">Owns Datto</t>
  </si>
  <si>
    <t xml:space="preserve">Klaviyo</t>
  </si>
  <si>
    <t xml:space="preserve">marketing automation &amp; CDP</t>
  </si>
  <si>
    <t xml:space="preserve">klaviyo.com</t>
  </si>
  <si>
    <t xml:space="preserve">Andrew Bialecki</t>
  </si>
  <si>
    <t xml:space="preserve">Klaviyo AI marketing agents</t>
  </si>
  <si>
    <t xml:space="preserve">NYSE: KVYO; martech</t>
  </si>
  <si>
    <t xml:space="preserve">https://investors.klaviyo.com</t>
  </si>
  <si>
    <t xml:space="preserve">Manhattan Associates</t>
  </si>
  <si>
    <t xml:space="preserve">supply chain &amp; WMS</t>
  </si>
  <si>
    <t xml:space="preserve">manh.com</t>
  </si>
  <si>
    <t xml:space="preserve">Eric Clark</t>
  </si>
  <si>
    <t xml:space="preserve">Manhattan Agents agentic AI</t>
  </si>
  <si>
    <t xml:space="preserve">NASDAQ: MANH</t>
  </si>
  <si>
    <t xml:space="preserve">https://ir.manh.com</t>
  </si>
  <si>
    <t xml:space="preserve">Paycom</t>
  </si>
  <si>
    <t xml:space="preserve">paycom.com</t>
  </si>
  <si>
    <t xml:space="preserve">Chad Richison</t>
  </si>
  <si>
    <t xml:space="preserve">IWant AI and Beti automation</t>
  </si>
  <si>
    <t xml:space="preserve">NYSE: PAYC</t>
  </si>
  <si>
    <t xml:space="preserve">https://investors.paycom.com</t>
  </si>
  <si>
    <t xml:space="preserve">Paylocity</t>
  </si>
  <si>
    <t xml:space="preserve">paylocity.com</t>
  </si>
  <si>
    <t xml:space="preserve">Toby Williams</t>
  </si>
  <si>
    <t xml:space="preserve">Paylocity AI Assistant</t>
  </si>
  <si>
    <t xml:space="preserve">NASDAQ: PCTY</t>
  </si>
  <si>
    <t xml:space="preserve">https://investors.paylocity.com</t>
  </si>
  <si>
    <t xml:space="preserve">Procore Technologies</t>
  </si>
  <si>
    <t xml:space="preserve">construction management</t>
  </si>
  <si>
    <t xml:space="preserve">Carpinteria</t>
  </si>
  <si>
    <t xml:space="preserve">procore.com</t>
  </si>
  <si>
    <t xml:space="preserve">Tooey Courtemanche</t>
  </si>
  <si>
    <t xml:space="preserve">Procore Helix AI</t>
  </si>
  <si>
    <t xml:space="preserve">NYSE: PCOR</t>
  </si>
  <si>
    <t xml:space="preserve">https://investors.procore.com</t>
  </si>
  <si>
    <t xml:space="preserve">Qlik</t>
  </si>
  <si>
    <t xml:space="preserve">data analytics &amp; integration</t>
  </si>
  <si>
    <t xml:space="preserve">qlik.com</t>
  </si>
  <si>
    <t xml:space="preserve">Mike Capone</t>
  </si>
  <si>
    <t xml:space="preserve">Qlik Answers and Qlik Talend agentic data</t>
  </si>
  <si>
    <t xml:space="preserve">Includes Talend</t>
  </si>
  <si>
    <t xml:space="preserve">RealPage</t>
  </si>
  <si>
    <t xml:space="preserve">Richardson</t>
  </si>
  <si>
    <t xml:space="preserve">realpage.com</t>
  </si>
  <si>
    <t xml:space="preserve">Dana Jones</t>
  </si>
  <si>
    <t xml:space="preserve">Lumina AI platform</t>
  </si>
  <si>
    <t xml:space="preserve">$10B take-private 2021</t>
  </si>
  <si>
    <t xml:space="preserve">Samsara</t>
  </si>
  <si>
    <t xml:space="preserve">connected operations / fleet</t>
  </si>
  <si>
    <t xml:space="preserve">samsara.com</t>
  </si>
  <si>
    <t xml:space="preserve">Sanjit Biswas</t>
  </si>
  <si>
    <t xml:space="preserve">Samsara Intelligence AI</t>
  </si>
  <si>
    <t xml:space="preserve">NYSE: IOT</t>
  </si>
  <si>
    <t xml:space="preserve">https://investors.samsara.com</t>
  </si>
  <si>
    <t xml:space="preserve">Smartsheet</t>
  </si>
  <si>
    <t xml:space="preserve">smartsheet.com</t>
  </si>
  <si>
    <t xml:space="preserve">Vista Equity Partners; Blackstone</t>
  </si>
  <si>
    <t xml:space="preserve">Mark Mader</t>
  </si>
  <si>
    <t xml:space="preserve">Smartsheet AI and agentic workflows</t>
  </si>
  <si>
    <t xml:space="preserve">$8.4B take-private closed Jan 2025</t>
  </si>
  <si>
    <t xml:space="preserve">Solera</t>
  </si>
  <si>
    <t xml:space="preserve">auto claims &amp; fleet software</t>
  </si>
  <si>
    <t xml:space="preserve">solera.com</t>
  </si>
  <si>
    <t xml:space="preserve">Darko Dejanovic</t>
  </si>
  <si>
    <t xml:space="preserve">Qapter AI claims estimating</t>
  </si>
  <si>
    <t xml:space="preserve">Includes Omnitracs and DealerSocket</t>
  </si>
  <si>
    <t xml:space="preserve">Tyler Technologies</t>
  </si>
  <si>
    <t xml:space="preserve">public sector software</t>
  </si>
  <si>
    <t xml:space="preserve">tylertech.com</t>
  </si>
  <si>
    <t xml:space="preserve">Lynn Moore</t>
  </si>
  <si>
    <t xml:space="preserve">Tyler AI resident services</t>
  </si>
  <si>
    <t xml:space="preserve">NYSE: TYL</t>
  </si>
  <si>
    <t xml:space="preserve">https://investors.tylertech.com</t>
  </si>
  <si>
    <t xml:space="preserve">UKG</t>
  </si>
  <si>
    <t xml:space="preserve">HCM &amp; workforce management</t>
  </si>
  <si>
    <t xml:space="preserve">Weston</t>
  </si>
  <si>
    <t xml:space="preserve">ukg.com</t>
  </si>
  <si>
    <t xml:space="preserve">Hellman &amp; Friedman; Blackstone</t>
  </si>
  <si>
    <t xml:space="preserve">Jennifer Morgan</t>
  </si>
  <si>
    <t xml:space="preserve">UKG Bryte AI</t>
  </si>
  <si>
    <t xml:space="preserve">Merger of Ultimate and Kronos</t>
  </si>
  <si>
    <t xml:space="preserve">https://www.ukg.com</t>
  </si>
  <si>
    <t xml:space="preserve">Waystar</t>
  </si>
  <si>
    <t xml:space="preserve">healthcare RCM software</t>
  </si>
  <si>
    <t xml:space="preserve">waystar.com</t>
  </si>
  <si>
    <t xml:space="preserve">Matt Hawkins</t>
  </si>
  <si>
    <t xml:space="preserve">Waystar AltitudeAI</t>
  </si>
  <si>
    <t xml:space="preserve">NASDAQ: WAY</t>
  </si>
  <si>
    <t xml:space="preserve">https://investors.waystar.com</t>
  </si>
  <si>
    <t xml:space="preserve">Yardi Systems</t>
  </si>
  <si>
    <t xml:space="preserve">yardi.com</t>
  </si>
  <si>
    <t xml:space="preserve">Anant Yardi</t>
  </si>
  <si>
    <t xml:space="preserve">Yardi Virtuoso AI</t>
  </si>
  <si>
    <t xml:space="preserve">https://www.yardi.com</t>
  </si>
  <si>
    <t xml:space="preserve">Zelis</t>
  </si>
  <si>
    <t xml:space="preserve">healthcare payments &amp; pricing</t>
  </si>
  <si>
    <t xml:space="preserve">zelis.com</t>
  </si>
  <si>
    <t xml:space="preserve">Bain Capital; Parthenon</t>
  </si>
  <si>
    <t xml:space="preserve">Amanda Eisel</t>
  </si>
  <si>
    <t xml:space="preserve">AI claims pricing</t>
  </si>
  <si>
    <t xml:space="preserve">Mubadala minority</t>
  </si>
  <si>
    <t xml:space="preserve">https://www.zelis.com</t>
  </si>
  <si>
    <t xml:space="preserve">Zendesk</t>
  </si>
  <si>
    <t xml:space="preserve">customer service software</t>
  </si>
  <si>
    <t xml:space="preserve">zendesk.com</t>
  </si>
  <si>
    <t xml:space="preserve">Hellman &amp; Friedman; Permira</t>
  </si>
  <si>
    <t xml:space="preserve">Tom Eggemeier</t>
  </si>
  <si>
    <t xml:space="preserve">Zendesk Resolution Platform AI agents</t>
  </si>
  <si>
    <t xml:space="preserve">$10B take-private 2022</t>
  </si>
  <si>
    <t xml:space="preserve">https://www.zendesk.com</t>
  </si>
  <si>
    <t xml:space="preserve">Zeta Global</t>
  </si>
  <si>
    <t xml:space="preserve">AI marketing cloud</t>
  </si>
  <si>
    <t xml:space="preserve">zetaglobal.com</t>
  </si>
  <si>
    <t xml:space="preserve">David Steinberg</t>
  </si>
  <si>
    <t xml:space="preserve">Athena agentic AI</t>
  </si>
  <si>
    <t xml:space="preserve">NYSE: ZETA; martech</t>
  </si>
  <si>
    <t xml:space="preserve">https://investors.zetaglobal.com</t>
  </si>
  <si>
    <t xml:space="preserve">ZoomInfo</t>
  </si>
  <si>
    <t xml:space="preserve">go-to-market data</t>
  </si>
  <si>
    <t xml:space="preserve">zoominfo.com</t>
  </si>
  <si>
    <t xml:space="preserve">Henry Schuck</t>
  </si>
  <si>
    <t xml:space="preserve">ZoomInfo Copilot</t>
  </si>
  <si>
    <t xml:space="preserve">NASDAQ: GTM</t>
  </si>
  <si>
    <t xml:space="preserve">https://ir.zoominfo.com</t>
  </si>
  <si>
    <t xml:space="preserve">athenahealth</t>
  </si>
  <si>
    <t xml:space="preserve">athenahealth.com</t>
  </si>
  <si>
    <t xml:space="preserve">Hellman &amp; Friedman; Bain Capital</t>
  </si>
  <si>
    <t xml:space="preserve">Bob Segert</t>
  </si>
  <si>
    <t xml:space="preserve">athenaOne ambient AI notes</t>
  </si>
  <si>
    <t xml:space="preserve">$17B buyout 2022</t>
  </si>
  <si>
    <t xml:space="preserve">https://www.athenahealth.com</t>
  </si>
  <si>
    <t xml:space="preserve">Americold Realty Trust</t>
  </si>
  <si>
    <t xml:space="preserve">cold chain warehousing REIT</t>
  </si>
  <si>
    <t xml:space="preserve">americold.com</t>
  </si>
  <si>
    <t xml:space="preserve">Rob Chambers</t>
  </si>
  <si>
    <t xml:space="preserve">Vision systems for warehouse safety; temperature analytics for predictive maintenance (TT 2026)</t>
  </si>
  <si>
    <t xml:space="preserve">TT 2026 Logistics No. 27; No. 2 refrigerated warehousing</t>
  </si>
  <si>
    <t xml:space="preserve">ArcBest Corp.</t>
  </si>
  <si>
    <t xml:space="preserve">LTL carrier / asset-light logistics</t>
  </si>
  <si>
    <t xml:space="preserve">Fort Smith</t>
  </si>
  <si>
    <t xml:space="preserve">arcb.com</t>
  </si>
  <si>
    <t xml:space="preserve">Judy McReynolds</t>
  </si>
  <si>
    <t xml:space="preserve">Vaux freight-handling tech and innovation investments</t>
  </si>
  <si>
    <t xml:space="preserve">TT 2026 For-Hire No. 14 and Logistics No. 43</t>
  </si>
  <si>
    <t xml:space="preserve">Arrive Logistics</t>
  </si>
  <si>
    <t xml:space="preserve">arrivelogistics.com</t>
  </si>
  <si>
    <t xml:space="preserve">ATL Partners</t>
  </si>
  <si>
    <t xml:space="preserve">Matt Pyatt</t>
  </si>
  <si>
    <t xml:space="preserve">COO; CTO; VP Operations; Chief Product Officer</t>
  </si>
  <si>
    <t xml:space="preserve">ArriveNow platform; heavy engineering hiring for automation</t>
  </si>
  <si>
    <t xml:space="preserve">TT 2026 Logistics No. 26</t>
  </si>
  <si>
    <t xml:space="preserve">Echo Global Logistics</t>
  </si>
  <si>
    <t xml:space="preserve">echo.com</t>
  </si>
  <si>
    <t xml:space="preserve">Doug Waggoner</t>
  </si>
  <si>
    <t xml:space="preserve">Automating high-volume repetitive tasks with AI (TT 2026)</t>
  </si>
  <si>
    <t xml:space="preserve">TT 2026 Logistics No. 19</t>
  </si>
  <si>
    <t xml:space="preserve">Flexport</t>
  </si>
  <si>
    <t xml:space="preserve">digital freight forwarder</t>
  </si>
  <si>
    <t xml:space="preserve">flexport.com</t>
  </si>
  <si>
    <t xml:space="preserve">Ryan Petersen</t>
  </si>
  <si>
    <t xml:space="preserve">Flexport Intelligence AI agents for forwarding workflows</t>
  </si>
  <si>
    <t xml:space="preserve">TT 2026 Logistics No. 29; VC-backed (Shopify and Andreessen Horowitz)</t>
  </si>
  <si>
    <t xml:space="preserve">Kenco Logistics</t>
  </si>
  <si>
    <t xml:space="preserve">3PL (contract warehousing / dedicated)</t>
  </si>
  <si>
    <t xml:space="preserve">kencogroup.com</t>
  </si>
  <si>
    <t xml:space="preserve">Pritzker Private Capital</t>
  </si>
  <si>
    <t xml:space="preserve">Denis Reilly</t>
  </si>
  <si>
    <t xml:space="preserve">COO; CIO; VP Operations; VP Supply Chain Solutions</t>
  </si>
  <si>
    <t xml:space="preserve">Deploying "autonomous workflow orchestration" with AI handling volume (TT 2026)</t>
  </si>
  <si>
    <t xml:space="preserve">TT 2026 Logistics No. 39; No. 8 dry warehousing; No. 3 refrigerated</t>
  </si>
  <si>
    <t xml:space="preserve">Mode Global</t>
  </si>
  <si>
    <t xml:space="preserve">freight brokerage / intermodal (agent model)</t>
  </si>
  <si>
    <t xml:space="preserve">modeglobal.com</t>
  </si>
  <si>
    <t xml:space="preserve">York Capital Management</t>
  </si>
  <si>
    <t xml:space="preserve">Lance Malesh</t>
  </si>
  <si>
    <t xml:space="preserve">AI for disruption prediction pricing intelligence and capacity matching (TT 2026)</t>
  </si>
  <si>
    <t xml:space="preserve">TT 2026 Logistics No. 32; A&amp;A 2026 top 3PL</t>
  </si>
  <si>
    <t xml:space="preserve">https://www.globenewswire.com/news-release/2026/07/16/3328519/0/en/mode-global-named-a-2026-top-third-party-logistics-3pl-provider-by-armstrong-associates.html</t>
  </si>
  <si>
    <t xml:space="preserve">Penske Logistics</t>
  </si>
  <si>
    <t xml:space="preserve">dedicated contract carriage / warehousing</t>
  </si>
  <si>
    <t xml:space="preserve">Beachwood</t>
  </si>
  <si>
    <t xml:space="preserve">penskelogistics.com</t>
  </si>
  <si>
    <t xml:space="preserve">Marc Althen</t>
  </si>
  <si>
    <t xml:space="preserve">Penske Catalyst AI fleet benchmarking tool (CCJ 2026)</t>
  </si>
  <si>
    <t xml:space="preserve">TT 2026 For-Hire No. 13 and Logistics No. 17; Penske Corp unit</t>
  </si>
  <si>
    <t xml:space="preserve">https://www.ccjdigital.com/technology/artificial-intelligence/article/15824292/how-are-trucking-fleets-using-ai</t>
  </si>
  <si>
    <t xml:space="preserve">Redwood Logistics</t>
  </si>
  <si>
    <t xml:space="preserve">redwoodlogistics.com</t>
  </si>
  <si>
    <t xml:space="preserve">CIVC Partners</t>
  </si>
  <si>
    <t xml:space="preserve">Mark Yeager</t>
  </si>
  <si>
    <t xml:space="preserve">RedwoodConnect integration platform; positions as tech-forward 4PL</t>
  </si>
  <si>
    <t xml:space="preserve">TT 2026 Logistics No. 49</t>
  </si>
  <si>
    <t xml:space="preserve">Werner Enterprises</t>
  </si>
  <si>
    <t xml:space="preserve">trucking carrier / logistics</t>
  </si>
  <si>
    <t xml:space="preserve">werner.com</t>
  </si>
  <si>
    <t xml:space="preserve">Derek Leathers</t>
  </si>
  <si>
    <t xml:space="preserve">CEO emphasizes "operational AI" for fleet decision-making (CCJ 2026)</t>
  </si>
  <si>
    <t xml:space="preserve">TT 2026 For-Hire No. 19 and Logistics No. 30</t>
  </si>
  <si>
    <t xml:space="preserve">drop_reason</t>
  </si>
  <si>
    <t xml:space="preserve">$1-5B with no AI signal</t>
  </si>
  <si>
    <t xml:space="preserve">Plante Moran</t>
  </si>
  <si>
    <t xml:space="preserve">Southfield</t>
  </si>
  <si>
    <t xml:space="preserve">plantemoran.com</t>
  </si>
  <si>
    <t xml:space="preserve">Jason Drake</t>
  </si>
  <si>
    <t xml:space="preserve">IPA 500 #13; partner-owned</t>
  </si>
  <si>
    <t xml:space="preserve">Acuity Insurance</t>
  </si>
  <si>
    <t xml:space="preserve">mutual P&amp;C insurance carrier</t>
  </si>
  <si>
    <t xml:space="preserve">Sheboygan</t>
  </si>
  <si>
    <t xml:space="preserve">acuity.com</t>
  </si>
  <si>
    <t xml:space="preserve">Melissa Winter</t>
  </si>
  <si>
    <t xml:space="preserve">Mutual; ~$2.5B premium; strong growth regional carrier</t>
  </si>
  <si>
    <t xml:space="preserve">https://www.acuity.com/about-acuity</t>
  </si>
  <si>
    <t xml:space="preserve">Ameris Bancorp</t>
  </si>
  <si>
    <t xml:space="preserve">amerisbank.com</t>
  </si>
  <si>
    <t xml:space="preserve">H. Palmer Proctor Jr.</t>
  </si>
  <si>
    <t xml:space="preserve">CIO; COO; Chief Digital Officer; Head of Mortgage</t>
  </si>
  <si>
    <t xml:space="preserve">~$26B assets; Southeast; large mortgage and warehouse units</t>
  </si>
  <si>
    <t xml:space="preserve">https://ir.amerisbank.com</t>
  </si>
  <si>
    <t xml:space="preserve">Amica Mutual Insurance</t>
  </si>
  <si>
    <t xml:space="preserve">mutual personal lines insurance carrier</t>
  </si>
  <si>
    <t xml:space="preserve">amica.com</t>
  </si>
  <si>
    <t xml:space="preserve">Ted Murphy</t>
  </si>
  <si>
    <t xml:space="preserve">CIO; COO; Chief Claims Officer; Chief Digital Officer</t>
  </si>
  <si>
    <t xml:space="preserve">Mutual; direct writer; ~$3B revenue</t>
  </si>
  <si>
    <t xml:space="preserve">https://www.amica.com/en/about-us.html</t>
  </si>
  <si>
    <t xml:space="preserve">Atlantic Union Bankshares</t>
  </si>
  <si>
    <t xml:space="preserve">atlanticunionbank.com</t>
  </si>
  <si>
    <t xml:space="preserve">John C. Asbury</t>
  </si>
  <si>
    <t xml:space="preserve">~$38B assets after Sandy Spring acquisition 2025</t>
  </si>
  <si>
    <t xml:space="preserve">https://investors.atlanticunionbank.com</t>
  </si>
  <si>
    <t xml:space="preserve">BOK Financial</t>
  </si>
  <si>
    <t xml:space="preserve">bokf.com</t>
  </si>
  <si>
    <t xml:space="preserve">Stacy Kymes</t>
  </si>
  <si>
    <t xml:space="preserve">CIO; COO; Chief Data &amp; Analytics Officer</t>
  </si>
  <si>
    <t xml:space="preserve">~$50B assets; wealth and fiduciary heavy; upper end of scope</t>
  </si>
  <si>
    <t xml:space="preserve">https://investor.bokf.com</t>
  </si>
  <si>
    <t xml:space="preserve">Bank OZK</t>
  </si>
  <si>
    <t xml:space="preserve">ozk.com</t>
  </si>
  <si>
    <t xml:space="preserve">George Gleason</t>
  </si>
  <si>
    <t xml:space="preserve">~$38B assets; national real estate specialties group</t>
  </si>
  <si>
    <t xml:space="preserve">https://ir.ozk.com</t>
  </si>
  <si>
    <t xml:space="preserve">Credit Acceptance Corp</t>
  </si>
  <si>
    <t xml:space="preserve">creditacceptance.com</t>
  </si>
  <si>
    <t xml:space="preserve">Kenneth S. Booth</t>
  </si>
  <si>
    <t xml:space="preserve">Dealer-partner indirect auto model</t>
  </si>
  <si>
    <t xml:space="preserve">https://ir.creditacceptance.com</t>
  </si>
  <si>
    <t xml:space="preserve">CrossCountry Mortgage</t>
  </si>
  <si>
    <t xml:space="preserve">crosscountrymortgage.com</t>
  </si>
  <si>
    <t xml:space="preserve">Ronald J. Leonhardt Jr.</t>
  </si>
  <si>
    <t xml:space="preserve">#3 Scotsman Guide 2026 with $50.2B volume; largest retail IMB</t>
  </si>
  <si>
    <t xml:space="preserve">EMC Insurance Companies</t>
  </si>
  <si>
    <t xml:space="preserve">emcins.com</t>
  </si>
  <si>
    <t xml:space="preserve">Scott Jean</t>
  </si>
  <si>
    <t xml:space="preserve">Mutual; ~$2B premium; took public subsidiary private 2019</t>
  </si>
  <si>
    <t xml:space="preserve">https://www.emcins.com/about-emc</t>
  </si>
  <si>
    <t xml:space="preserve">Erie Indemnity</t>
  </si>
  <si>
    <t xml:space="preserve">insurance management company</t>
  </si>
  <si>
    <t xml:space="preserve">erieinsurance.com</t>
  </si>
  <si>
    <t xml:space="preserve">Timothy G. NeCastro</t>
  </si>
  <si>
    <t xml:space="preserve">Manages Erie Insurance Exchange; multi-year tech modernization</t>
  </si>
  <si>
    <t xml:space="preserve">https://investors.erieinsurance.com</t>
  </si>
  <si>
    <t xml:space="preserve">Euronet Worldwide</t>
  </si>
  <si>
    <t xml:space="preserve">ATM network and payments</t>
  </si>
  <si>
    <t xml:space="preserve">Leawood</t>
  </si>
  <si>
    <t xml:space="preserve">euronetworldwide.com</t>
  </si>
  <si>
    <t xml:space="preserve">Michael J. Brown</t>
  </si>
  <si>
    <t xml:space="preserve">CIO; COO; Chief Technology Officer; Head of Ren payments</t>
  </si>
  <si>
    <t xml:space="preserve">EFT epay and Ria money transfer segments</t>
  </si>
  <si>
    <t xml:space="preserve">https://ir.euronetworldwide.com</t>
  </si>
  <si>
    <t xml:space="preserve">Fisher Investments</t>
  </si>
  <si>
    <t xml:space="preserve">fisherinvestments.com</t>
  </si>
  <si>
    <t xml:space="preserve">Advent International; ADIA (minority)</t>
  </si>
  <si>
    <t xml:space="preserve">Damian Ornani</t>
  </si>
  <si>
    <t xml:space="preserve">CIO; COO; Chief Technology Officer; Chief Marketing Officer</t>
  </si>
  <si>
    <t xml:space="preserve">~$300B AUM; Advent minority stake 2024 at $13B valuation</t>
  </si>
  <si>
    <t xml:space="preserve">https://www.fisherinvestments.com/en-us/about</t>
  </si>
  <si>
    <t xml:space="preserve">Focus Partners Wealth</t>
  </si>
  <si>
    <t xml:space="preserve">focuspartners.com</t>
  </si>
  <si>
    <t xml:space="preserve">Clayton Dubilier &amp; Rice; Stone Point Capital</t>
  </si>
  <si>
    <t xml:space="preserve">Michael Nathanson</t>
  </si>
  <si>
    <t xml:space="preserve">Formerly Focus Financial Partners; consolidating 90 firms into one brand</t>
  </si>
  <si>
    <t xml:space="preserve">Freedom Mortgage</t>
  </si>
  <si>
    <t xml:space="preserve">freedommortgage.com</t>
  </si>
  <si>
    <t xml:space="preserve">Stanley C. Middleman</t>
  </si>
  <si>
    <t xml:space="preserve">CIO; COO; Chief Technology Officer; Head of Servicing</t>
  </si>
  <si>
    <t xml:space="preserve">Top FHA/VA lender; $600B+ servicing portfolio</t>
  </si>
  <si>
    <t xml:space="preserve">Grange Insurance</t>
  </si>
  <si>
    <t xml:space="preserve">grangeinsurance.com</t>
  </si>
  <si>
    <t xml:space="preserve">John Ammendola</t>
  </si>
  <si>
    <t xml:space="preserve">Mutual; 13-state independent agency carrier</t>
  </si>
  <si>
    <t xml:space="preserve">https://www.grangeinsurance.com/about-us</t>
  </si>
  <si>
    <t xml:space="preserve">Hancock Whitney</t>
  </si>
  <si>
    <t xml:space="preserve">Gulfport</t>
  </si>
  <si>
    <t xml:space="preserve">hancockwhitney.com</t>
  </si>
  <si>
    <t xml:space="preserve">John M. Hairston</t>
  </si>
  <si>
    <t xml:space="preserve">~$35B assets; Gulf South</t>
  </si>
  <si>
    <t xml:space="preserve">https://investors.hancockwhitney.com</t>
  </si>
  <si>
    <t xml:space="preserve">Horace Mann Educators</t>
  </si>
  <si>
    <t xml:space="preserve">multiline insurance carrier</t>
  </si>
  <si>
    <t xml:space="preserve">horacemann.com</t>
  </si>
  <si>
    <t xml:space="preserve">Marita Zuraitis</t>
  </si>
  <si>
    <t xml:space="preserve">Serves educators; P&amp;C life retirement</t>
  </si>
  <si>
    <t xml:space="preserve">https://investors.horacemann.com</t>
  </si>
  <si>
    <t xml:space="preserve">Nelnet</t>
  </si>
  <si>
    <t xml:space="preserve">student loan servicer and payments</t>
  </si>
  <si>
    <t xml:space="preserve">nelnet.com</t>
  </si>
  <si>
    <t xml:space="preserve">Jeffrey R. Noordhoek</t>
  </si>
  <si>
    <t xml:space="preserve">CIO; COO; Chief Technology Officer; Head of Nelnet Business Services</t>
  </si>
  <si>
    <t xml:space="preserve">Diversified: servicing payments Nelnet Bank ALLO fiber</t>
  </si>
  <si>
    <t xml:space="preserve">https://www.nelnetinvestors.com</t>
  </si>
  <si>
    <t xml:space="preserve">Pentagon Federal Credit Union (PenFed)</t>
  </si>
  <si>
    <t xml:space="preserve">penfed.org</t>
  </si>
  <si>
    <t xml:space="preserve">James Schenck</t>
  </si>
  <si>
    <t xml:space="preserve">$30B assets; national field of membership</t>
  </si>
  <si>
    <t xml:space="preserve">Prosperity Bancshares</t>
  </si>
  <si>
    <t xml:space="preserve">prosperitybankusa.com</t>
  </si>
  <si>
    <t xml:space="preserve">David Zalman</t>
  </si>
  <si>
    <t xml:space="preserve">~$39B assets; Texas and Oklahoma; efficiency-focused acquirer</t>
  </si>
  <si>
    <t xml:space="preserve">https://investor.prosperitybankusa.com</t>
  </si>
  <si>
    <t xml:space="preserve">RLI Corp</t>
  </si>
  <si>
    <t xml:space="preserve">Peoria</t>
  </si>
  <si>
    <t xml:space="preserve">rlicorp.com</t>
  </si>
  <si>
    <t xml:space="preserve">Craig W. Kliethermes</t>
  </si>
  <si>
    <t xml:space="preserve">Specialty carrier with 29 consecutive years of underwriting profit</t>
  </si>
  <si>
    <t xml:space="preserve">https://www.rlicorp.com/investors</t>
  </si>
  <si>
    <t xml:space="preserve">SLM Corp (Sallie Mae)</t>
  </si>
  <si>
    <t xml:space="preserve">private student lender</t>
  </si>
  <si>
    <t xml:space="preserve">salliemae.com</t>
  </si>
  <si>
    <t xml:space="preserve">Jonathan W. Witter</t>
  </si>
  <si>
    <t xml:space="preserve">Largest private student lender</t>
  </si>
  <si>
    <t xml:space="preserve">https://www.salliemae.com/investors</t>
  </si>
  <si>
    <t xml:space="preserve">Safety Insurance Group</t>
  </si>
  <si>
    <t xml:space="preserve">safetyinsurance.com</t>
  </si>
  <si>
    <t xml:space="preserve">George M. Murphy</t>
  </si>
  <si>
    <t xml:space="preserve">Massachusetts auto and home leader</t>
  </si>
  <si>
    <t xml:space="preserve">https://www.safetyinsurance.com/investors</t>
  </si>
  <si>
    <t xml:space="preserve">SchoolsFirst Federal Credit Union</t>
  </si>
  <si>
    <t xml:space="preserve">schoolsfirstfcu.org</t>
  </si>
  <si>
    <t xml:space="preserve">Bill Cheney</t>
  </si>
  <si>
    <t xml:space="preserve">$33B assets; California school employees</t>
  </si>
  <si>
    <t xml:space="preserve">Sentry Insurance</t>
  </si>
  <si>
    <t xml:space="preserve">Stevens Point</t>
  </si>
  <si>
    <t xml:space="preserve">sentry.com</t>
  </si>
  <si>
    <t xml:space="preserve">Pete McPartland</t>
  </si>
  <si>
    <t xml:space="preserve">Mutual; ~$5B revenue; business insurance and 401(k)</t>
  </si>
  <si>
    <t xml:space="preserve">https://www.sentry.com/about-us</t>
  </si>
  <si>
    <t xml:space="preserve">Shift4 Payments</t>
  </si>
  <si>
    <t xml:space="preserve">integrated payments processor</t>
  </si>
  <si>
    <t xml:space="preserve">Center Valley</t>
  </si>
  <si>
    <t xml:space="preserve">shift4.com</t>
  </si>
  <si>
    <t xml:space="preserve">Taylor Lauber</t>
  </si>
  <si>
    <t xml:space="preserve">Acquired Global Blue 2025; hospitality sports and stadiums</t>
  </si>
  <si>
    <t xml:space="preserve">https://investors.shift4.com</t>
  </si>
  <si>
    <t xml:space="preserve">State Employees' Credit Union</t>
  </si>
  <si>
    <t xml:space="preserve">ncsecu.org</t>
  </si>
  <si>
    <t xml:space="preserve">Leigh Brady</t>
  </si>
  <si>
    <t xml:space="preserve">$55B assets; second-largest US CU; NC state employees</t>
  </si>
  <si>
    <t xml:space="preserve">United Community Banks</t>
  </si>
  <si>
    <t xml:space="preserve">ucbi.com</t>
  </si>
  <si>
    <t xml:space="preserve">H. Lynn Harton</t>
  </si>
  <si>
    <t xml:space="preserve">~$28B assets; Best Banks to Work For 2025 (&gt;$10B category)</t>
  </si>
  <si>
    <t xml:space="preserve">https://www.ucbi.com/news-and-press-releases/press-release-archive/best-banks-to-work-for-2025</t>
  </si>
  <si>
    <t xml:space="preserve">West Bend Insurance</t>
  </si>
  <si>
    <t xml:space="preserve">West Bend</t>
  </si>
  <si>
    <t xml:space="preserve">thesilverlining.com</t>
  </si>
  <si>
    <t xml:space="preserve">Rob Jacques</t>
  </si>
  <si>
    <t xml:space="preserve">Mutual; Midwest regional carrier</t>
  </si>
  <si>
    <t xml:space="preserve">https://www.thesilverlining.com/about-us</t>
  </si>
  <si>
    <t xml:space="preserve">Westfield Insurance</t>
  </si>
  <si>
    <t xml:space="preserve">Westfield Center</t>
  </si>
  <si>
    <t xml:space="preserve">westfieldinsurance.com</t>
  </si>
  <si>
    <t xml:space="preserve">Ed Largent</t>
  </si>
  <si>
    <t xml:space="preserve">Mutual; ~$3B premium; expanded into specialty and London</t>
  </si>
  <si>
    <t xml:space="preserve">https://www.westfieldinsurance.com/about-us</t>
  </si>
  <si>
    <t xml:space="preserve">Westlake Financial</t>
  </si>
  <si>
    <t xml:space="preserve">auto lender</t>
  </si>
  <si>
    <t xml:space="preserve">westlakefinancial.com</t>
  </si>
  <si>
    <t xml:space="preserve">Ian Anderson</t>
  </si>
  <si>
    <t xml:space="preserve">Hankey Group; one of largest independent auto lenders</t>
  </si>
  <si>
    <t xml:space="preserve">https://www.westlakefinancial.com/about</t>
  </si>
  <si>
    <t xml:space="preserve">AMCON Distributing</t>
  </si>
  <si>
    <t xml:space="preserve">convenience wholesale</t>
  </si>
  <si>
    <t xml:space="preserve">amcon.com</t>
  </si>
  <si>
    <t xml:space="preserve">Benco Dental</t>
  </si>
  <si>
    <t xml:space="preserve">Pittston</t>
  </si>
  <si>
    <t xml:space="preserve">benco.com</t>
  </si>
  <si>
    <t xml:space="preserve">Chuck Cohen</t>
  </si>
  <si>
    <t xml:space="preserve">BradyPlus</t>
  </si>
  <si>
    <t xml:space="preserve">JanSan/foodservice/packaging</t>
  </si>
  <si>
    <t xml:space="preserve">bradyplus.com</t>
  </si>
  <si>
    <t xml:space="preserve">Kelso &amp; Company; Warburg Pincus</t>
  </si>
  <si>
    <t xml:space="preserve">Ken Sweder</t>
  </si>
  <si>
    <t xml:space="preserve">Envoy Solutions merged into Brady 2023</t>
  </si>
  <si>
    <t xml:space="preserve">Columbia Distributing</t>
  </si>
  <si>
    <t xml:space="preserve">Canby</t>
  </si>
  <si>
    <t xml:space="preserve">coldist.com</t>
  </si>
  <si>
    <t xml:space="preserve">Owned by Meritage Group (family office); revenue estimate</t>
  </si>
  <si>
    <t xml:space="preserve">Crescent Electric Supply</t>
  </si>
  <si>
    <t xml:space="preserve">East Dubuque</t>
  </si>
  <si>
    <t xml:space="preserve">cesco.com</t>
  </si>
  <si>
    <t xml:space="preserve">Revenue estimate from EW Top 100 band</t>
  </si>
  <si>
    <t xml:space="preserve">DXP Enterprises</t>
  </si>
  <si>
    <t xml:space="preserve">pumps/rotating equipment/MRO</t>
  </si>
  <si>
    <t xml:space="preserve">dxpe.com</t>
  </si>
  <si>
    <t xml:space="preserve">David Little</t>
  </si>
  <si>
    <t xml:space="preserve">Rank 17 ID Big 50; acquisitive</t>
  </si>
  <si>
    <t xml:space="preserve">Dakota Supply Group</t>
  </si>
  <si>
    <t xml:space="preserve">electrical/plumbing/HVAC/utility</t>
  </si>
  <si>
    <t xml:space="preserve">dakotasupplygroup.com</t>
  </si>
  <si>
    <t xml:space="preserve">Distribution Solutions Group</t>
  </si>
  <si>
    <t xml:space="preserve">MRO/specialty (Lawson TestEquity Gexpro Services)</t>
  </si>
  <si>
    <t xml:space="preserve">distributionsolutionsgroup.com</t>
  </si>
  <si>
    <t xml:space="preserve">Bryan King</t>
  </si>
  <si>
    <t xml:space="preserve">CIO; President Lawson Products; VP Operations</t>
  </si>
  <si>
    <t xml:space="preserve">Rank 16 ID Big 50; LKCM controlled</t>
  </si>
  <si>
    <t xml:space="preserve">Edward Don &amp; Company</t>
  </si>
  <si>
    <t xml:space="preserve">foodservice equipment &amp; supplies</t>
  </si>
  <si>
    <t xml:space="preserve">don.com</t>
  </si>
  <si>
    <t xml:space="preserve">Elliott Electric Supply</t>
  </si>
  <si>
    <t xml:space="preserve">Nacogdoches</t>
  </si>
  <si>
    <t xml:space="preserve">elliottelectric.com</t>
  </si>
  <si>
    <t xml:space="preserve">F.W. Webb Company</t>
  </si>
  <si>
    <t xml:space="preserve">plumbing/HVAC/PVF/industrial</t>
  </si>
  <si>
    <t xml:space="preserve">Bedford</t>
  </si>
  <si>
    <t xml:space="preserve">fwwebb.com</t>
  </si>
  <si>
    <t xml:space="preserve">Rank 12 ID Big 50</t>
  </si>
  <si>
    <t xml:space="preserve">Factory Motor Parts</t>
  </si>
  <si>
    <t xml:space="preserve">factorymotorparts.com</t>
  </si>
  <si>
    <t xml:space="preserve">Revenue estimate; Elliott Auto Supply</t>
  </si>
  <si>
    <t xml:space="preserve">Foundation Building Materials</t>
  </si>
  <si>
    <t xml:space="preserve">wallboard/ceilings/steel framing</t>
  </si>
  <si>
    <t xml:space="preserve">fbmsales.com</t>
  </si>
  <si>
    <t xml:space="preserve">Labatt Food Service</t>
  </si>
  <si>
    <t xml:space="preserve">labattfood.com</t>
  </si>
  <si>
    <t xml:space="preserve">Lansing Building Products</t>
  </si>
  <si>
    <t xml:space="preserve">siding/windows/exterior</t>
  </si>
  <si>
    <t xml:space="preserve">lansingbp.com</t>
  </si>
  <si>
    <t xml:space="preserve">Hunter Lansing</t>
  </si>
  <si>
    <t xml:space="preserve">Lipari Foods</t>
  </si>
  <si>
    <t xml:space="preserve">specialty/deli/bakery distribution</t>
  </si>
  <si>
    <t xml:space="preserve">liparifoods.com</t>
  </si>
  <si>
    <t xml:space="preserve">Lonestar Electric Supply</t>
  </si>
  <si>
    <t xml:space="preserve">lonestarelectric.com</t>
  </si>
  <si>
    <t xml:space="preserve">MDM 2026 electrical list $1.7B</t>
  </si>
  <si>
    <t xml:space="preserve">Mayer Electric Supply</t>
  </si>
  <si>
    <t xml:space="preserve">mayerelectric.com</t>
  </si>
  <si>
    <t xml:space="preserve">Revenue estimate; women-owned</t>
  </si>
  <si>
    <t xml:space="preserve">McNaughton-McKay Electric</t>
  </si>
  <si>
    <t xml:space="preserve">mc-mc.com</t>
  </si>
  <si>
    <t xml:space="preserve">Nexeo Plastics</t>
  </si>
  <si>
    <t xml:space="preserve">nexeoplastics.com</t>
  </si>
  <si>
    <t xml:space="preserve">Orgill</t>
  </si>
  <si>
    <t xml:space="preserve">hardlines/hardware two-step</t>
  </si>
  <si>
    <t xml:space="preserve">orgill.com</t>
  </si>
  <si>
    <t xml:space="preserve">Revenue estimate; largest independent hardlines distributor</t>
  </si>
  <si>
    <t xml:space="preserve">Russell Sigler Inc.</t>
  </si>
  <si>
    <t xml:space="preserve">HVAC (Carrier)</t>
  </si>
  <si>
    <t xml:space="preserve">Tolleson</t>
  </si>
  <si>
    <t xml:space="preserve">siglers.com</t>
  </si>
  <si>
    <t xml:space="preserve">Smith &amp; Associates</t>
  </si>
  <si>
    <t xml:space="preserve">independent electronic components</t>
  </si>
  <si>
    <t xml:space="preserve">smithweb.com</t>
  </si>
  <si>
    <t xml:space="preserve">Revenue estimate; volatile with shortages</t>
  </si>
  <si>
    <t xml:space="preserve">SunSource</t>
  </si>
  <si>
    <t xml:space="preserve">fluid power/motion control</t>
  </si>
  <si>
    <t xml:space="preserve">sun-source.com</t>
  </si>
  <si>
    <t xml:space="preserve">MDM MRO list; revenue undisclosed - estimate</t>
  </si>
  <si>
    <t xml:space="preserve">The Chefs' Warehouse</t>
  </si>
  <si>
    <t xml:space="preserve">Ridgefield</t>
  </si>
  <si>
    <t xml:space="preserve">chefswarehouse.com</t>
  </si>
  <si>
    <t xml:space="preserve">Christopher Pappas</t>
  </si>
  <si>
    <t xml:space="preserve">TriMark USA</t>
  </si>
  <si>
    <t xml:space="preserve">trimarkusa.com</t>
  </si>
  <si>
    <t xml:space="preserve">Revenue estimate; restructured 2020</t>
  </si>
  <si>
    <t xml:space="preserve">TricorBraun</t>
  </si>
  <si>
    <t xml:space="preserve">rigid packaging distribution</t>
  </si>
  <si>
    <t xml:space="preserve">tricorbraun.com</t>
  </si>
  <si>
    <t xml:space="preserve">Ares Management; Ontario Teachers</t>
  </si>
  <si>
    <t xml:space="preserve">Court Carruthers</t>
  </si>
  <si>
    <t xml:space="preserve">Vallen Distribution</t>
  </si>
  <si>
    <t xml:space="preserve">MRO/safety integrated supply</t>
  </si>
  <si>
    <t xml:space="preserve">Belmont</t>
  </si>
  <si>
    <t xml:space="preserve">vallen.com</t>
  </si>
  <si>
    <t xml:space="preserve">Nautic Partners</t>
  </si>
  <si>
    <t xml:space="preserve">COO; CIO; VP Integrated Supply</t>
  </si>
  <si>
    <t xml:space="preserve">Rank 10 ID Big 50; revenue not disclosed - estimate</t>
  </si>
  <si>
    <t xml:space="preserve">C.H. Guenther &amp; Son</t>
  </si>
  <si>
    <t xml:space="preserve">bakery &amp; food manufacturer</t>
  </si>
  <si>
    <t xml:space="preserve">chg.com</t>
  </si>
  <si>
    <t xml:space="preserve">Dale Tremblay</t>
  </si>
  <si>
    <t xml:space="preserve">Pioneer brand and foodservice bakery; band is estimate</t>
  </si>
  <si>
    <t xml:space="preserve">https://www.chg.com</t>
  </si>
  <si>
    <t xml:space="preserve">Chobani</t>
  </si>
  <si>
    <t xml:space="preserve">dairy &amp; beverage manufacturer</t>
  </si>
  <si>
    <t xml:space="preserve">chobani.com</t>
  </si>
  <si>
    <t xml:space="preserve">Hamdi Ulukaya</t>
  </si>
  <si>
    <t xml:space="preserve">Also owns La Colombe; reported IPO preparation; band is estimate</t>
  </si>
  <si>
    <t xml:space="preserve">https://www.chobani.com</t>
  </si>
  <si>
    <t xml:space="preserve">Dave's Hot Chicken</t>
  </si>
  <si>
    <t xml:space="preserve">daveshotchicken.com</t>
  </si>
  <si>
    <t xml:space="preserve">Bill Phelps</t>
  </si>
  <si>
    <t xml:space="preserve">Roark $1B+ majority 2025; band reflects systemwide sales estimate</t>
  </si>
  <si>
    <t xml:space="preserve">Davidson Hospitality Group</t>
  </si>
  <si>
    <t xml:space="preserve">davidsonhospitality.com</t>
  </si>
  <si>
    <t xml:space="preserve">KSL Capital Partners</t>
  </si>
  <si>
    <t xml:space="preserve">Thom Geshay</t>
  </si>
  <si>
    <t xml:space="preserve">~90 hotels; KSL acquired 2018; band is estimate</t>
  </si>
  <si>
    <t xml:space="preserve">https://www.davidsonhospitality.com</t>
  </si>
  <si>
    <t xml:space="preserve">Delaware North</t>
  </si>
  <si>
    <t xml:space="preserve">hospitality &amp; contract foodservice</t>
  </si>
  <si>
    <t xml:space="preserve">delawarenorth.com</t>
  </si>
  <si>
    <t xml:space="preserve">Lou Jacobs; Jerry Jacobs Jr.</t>
  </si>
  <si>
    <t xml:space="preserve">Sports venues airports parks and gaming; band is estimate</t>
  </si>
  <si>
    <t xml:space="preserve">https://www.delawarenorth.com</t>
  </si>
  <si>
    <t xml:space="preserve">Elior North America</t>
  </si>
  <si>
    <t xml:space="preserve">elior-na.com</t>
  </si>
  <si>
    <t xml:space="preserve">Parent Elior Group (France); band is estimate</t>
  </si>
  <si>
    <t xml:space="preserve">https://www.elior-na.com</t>
  </si>
  <si>
    <t xml:space="preserve">Foster Farms</t>
  </si>
  <si>
    <t xml:space="preserve">poultry processor</t>
  </si>
  <si>
    <t xml:space="preserve">fosterfarms.com</t>
  </si>
  <si>
    <t xml:space="preserve">Atlas Holdings</t>
  </si>
  <si>
    <t xml:space="preserve">Donnie Smith</t>
  </si>
  <si>
    <t xml:space="preserve">Atlas Holdings acquired 2022; band is estimate</t>
  </si>
  <si>
    <t xml:space="preserve">https://www.fosterfarms.com</t>
  </si>
  <si>
    <t xml:space="preserve">Golden Corral</t>
  </si>
  <si>
    <t xml:space="preserve">buffet franchisor</t>
  </si>
  <si>
    <t xml:space="preserve">goldencorral.com</t>
  </si>
  <si>
    <t xml:space="preserve">Lance Trenary</t>
  </si>
  <si>
    <t xml:space="preserve">~360 units; band reflects systemwide sales estimate</t>
  </si>
  <si>
    <t xml:space="preserve">https://www.goldencorral.com</t>
  </si>
  <si>
    <t xml:space="preserve">HHM Hotels</t>
  </si>
  <si>
    <t xml:space="preserve">hhmhospitality.com</t>
  </si>
  <si>
    <t xml:space="preserve">Naveen Kakarla</t>
  </si>
  <si>
    <t xml:space="preserve">240+ hotels; Hersha family; band is estimate</t>
  </si>
  <si>
    <t xml:space="preserve">Highgate</t>
  </si>
  <si>
    <t xml:space="preserve">hotel management &amp; investment</t>
  </si>
  <si>
    <t xml:space="preserve">highgate.com</t>
  </si>
  <si>
    <t xml:space="preserve">Arash Azarbarzin</t>
  </si>
  <si>
    <t xml:space="preserve">Gateway-market focus; band is estimate</t>
  </si>
  <si>
    <t xml:space="preserve">https://www.highgate.com</t>
  </si>
  <si>
    <t xml:space="preserve">Jersey Mike's Subs</t>
  </si>
  <si>
    <t xml:space="preserve">sandwich franchisor</t>
  </si>
  <si>
    <t xml:space="preserve">Manasquan</t>
  </si>
  <si>
    <t xml:space="preserve">jerseymikes.com</t>
  </si>
  <si>
    <t xml:space="preserve">Peter Cancro</t>
  </si>
  <si>
    <t xml:space="preserve">Blackstone ~$8B acquisition closed 2025; band reflects systemwide sales estimate</t>
  </si>
  <si>
    <t xml:space="preserve">https://www.jerseymikes.com</t>
  </si>
  <si>
    <t xml:space="preserve">Marco's Pizza</t>
  </si>
  <si>
    <t xml:space="preserve">pizza franchisor</t>
  </si>
  <si>
    <t xml:space="preserve">Toledo</t>
  </si>
  <si>
    <t xml:space="preserve">marcos.com</t>
  </si>
  <si>
    <t xml:space="preserve">Tony Libardi</t>
  </si>
  <si>
    <t xml:space="preserve">1100+ units; band reflects systemwide sales estimate</t>
  </si>
  <si>
    <t xml:space="preserve">https://www.marcos.com</t>
  </si>
  <si>
    <t xml:space="preserve">Pyramid Global Hospitality</t>
  </si>
  <si>
    <t xml:space="preserve">pyramidglobal.com</t>
  </si>
  <si>
    <t xml:space="preserve">Warren Fields</t>
  </si>
  <si>
    <t xml:space="preserve">~220 hotels; $3B+ managed portfolio revenue</t>
  </si>
  <si>
    <t xml:space="preserve">Reser's Fine Foods</t>
  </si>
  <si>
    <t xml:space="preserve">refrigerated prepared foods</t>
  </si>
  <si>
    <t xml:space="preserve">resers.com</t>
  </si>
  <si>
    <t xml:space="preserve">Mark Reser</t>
  </si>
  <si>
    <t xml:space="preserve">Salads and side dishes; band is estimate</t>
  </si>
  <si>
    <t xml:space="preserve">https://www.resers.com</t>
  </si>
  <si>
    <t xml:space="preserve">Rise Baking Company</t>
  </si>
  <si>
    <t xml:space="preserve">risebakingcompany.com</t>
  </si>
  <si>
    <t xml:space="preserve">Platinum Equity acquired 2024 from Olympus Partners; band is estimate</t>
  </si>
  <si>
    <t xml:space="preserve">https://www.risebakingcompany.com</t>
  </si>
  <si>
    <t xml:space="preserve">Shearer's Foods</t>
  </si>
  <si>
    <t xml:space="preserve">snack contract manufacturer</t>
  </si>
  <si>
    <t xml:space="preserve">Massillon</t>
  </si>
  <si>
    <t xml:space="preserve">shearers.com</t>
  </si>
  <si>
    <t xml:space="preserve">Bill Nictakis</t>
  </si>
  <si>
    <t xml:space="preserve">COO; CIO; VP Manufacturing</t>
  </si>
  <si>
    <t xml:space="preserve">CD&amp;R acquired from Ontario Teachers' 2024; band is estimate</t>
  </si>
  <si>
    <t xml:space="preserve">https://www.shearers.com</t>
  </si>
  <si>
    <t xml:space="preserve">Sun Holdings</t>
  </si>
  <si>
    <t xml:space="preserve">sunholdings.net</t>
  </si>
  <si>
    <t xml:space="preserve">Guillermo Perales</t>
  </si>
  <si>
    <t xml:space="preserve">1200+ units; acquired Bar Louie and Uncle Julio's 2025; band is estimate</t>
  </si>
  <si>
    <t xml:space="preserve">https://www.sunholdings.net</t>
  </si>
  <si>
    <t xml:space="preserve">Tropical Smoothie Cafe</t>
  </si>
  <si>
    <t xml:space="preserve">tropicalsmoothiecafe.com</t>
  </si>
  <si>
    <t xml:space="preserve">Charles Watson</t>
  </si>
  <si>
    <t xml:space="preserve">1500+ units; Blackstone acquired 2024; band reflects systemwide sales estimate</t>
  </si>
  <si>
    <t xml:space="preserve">https://www.tropicalsmoothiecafe.com</t>
  </si>
  <si>
    <t xml:space="preserve">Tropicana Brands Group</t>
  </si>
  <si>
    <t xml:space="preserve">tropicanabrandsgroup.com</t>
  </si>
  <si>
    <t xml:space="preserve">PAI Partners</t>
  </si>
  <si>
    <t xml:space="preserve">PAI majority since 2022 (PepsiCo minority); band is estimate</t>
  </si>
  <si>
    <t xml:space="preserve">https://www.tropicanabrandsgroup.com</t>
  </si>
  <si>
    <t xml:space="preserve">Whataburger</t>
  </si>
  <si>
    <t xml:space="preserve">QSR chain</t>
  </si>
  <si>
    <t xml:space="preserve">whataburger.com</t>
  </si>
  <si>
    <t xml:space="preserve">Debbie Stroud</t>
  </si>
  <si>
    <t xml:space="preserve">1000+ units; BDT majority since 2019; band reflects systemwide sales estimate</t>
  </si>
  <si>
    <t xml:space="preserve">https://www.whataburger.com</t>
  </si>
  <si>
    <t xml:space="preserve">Winland Foods</t>
  </si>
  <si>
    <t xml:space="preserve">private label meal prep manufacturer</t>
  </si>
  <si>
    <t xml:space="preserve">winlandfoods.com</t>
  </si>
  <si>
    <t xml:space="preserve">Investindustrial</t>
  </si>
  <si>
    <t xml:space="preserve">Former TreeHouse meal prep business; band is estimate</t>
  </si>
  <si>
    <t xml:space="preserve">https://www.winlandfoods.com</t>
  </si>
  <si>
    <t xml:space="preserve">Yadav Enterprises</t>
  </si>
  <si>
    <t xml:space="preserve">yadaventerprises.com</t>
  </si>
  <si>
    <t xml:space="preserve">Anil Yadav</t>
  </si>
  <si>
    <t xml:space="preserve">Acquired Del Taco for $115M 2025; co-investor in Denny's; band is estimate</t>
  </si>
  <si>
    <t xml:space="preserve">Zaxby's</t>
  </si>
  <si>
    <t xml:space="preserve">zaxbys.com</t>
  </si>
  <si>
    <t xml:space="preserve">Bernard Acoca</t>
  </si>
  <si>
    <t xml:space="preserve">~950 units; GSAM minority stake 2020; band reflects systemwide sales estimate</t>
  </si>
  <si>
    <t xml:space="preserve">https://www.zaxbys.com</t>
  </si>
  <si>
    <t xml:space="preserve">Alamo Group</t>
  </si>
  <si>
    <t xml:space="preserve">vegetation &amp; infrastructure maintenance equipment</t>
  </si>
  <si>
    <t xml:space="preserve">Seguin</t>
  </si>
  <si>
    <t xml:space="preserve">alamo-group.com</t>
  </si>
  <si>
    <t xml:space="preserve">Jeff Leonard</t>
  </si>
  <si>
    <t xml:space="preserve">NYSE: ALG</t>
  </si>
  <si>
    <t xml:space="preserve">https://en.wikipedia.org/wiki/Alamo_Group</t>
  </si>
  <si>
    <t xml:space="preserve">Associated Materials</t>
  </si>
  <si>
    <t xml:space="preserve">siding &amp; windows</t>
  </si>
  <si>
    <t xml:space="preserve">Cuyahoga Falls</t>
  </si>
  <si>
    <t xml:space="preserve">associatedmaterials.com</t>
  </si>
  <si>
    <t xml:space="preserve">Strategic Value Partners</t>
  </si>
  <si>
    <t xml:space="preserve">Alside brand; owned by SVP since 2022</t>
  </si>
  <si>
    <t xml:space="preserve">https://www.associatedmaterials.com/</t>
  </si>
  <si>
    <t xml:space="preserve">Bissell</t>
  </si>
  <si>
    <t xml:space="preserve">floor care appliances</t>
  </si>
  <si>
    <t xml:space="preserve">bissell.com</t>
  </si>
  <si>
    <t xml:space="preserve">Mark Bissell</t>
  </si>
  <si>
    <t xml:space="preserve">COO; CIO; VP Operations; VP Product Development</t>
  </si>
  <si>
    <t xml:space="preserve">Revenue band estimate; privately reported around 1B+</t>
  </si>
  <si>
    <t xml:space="preserve">https://en.wikipedia.org/wiki/Bissell</t>
  </si>
  <si>
    <t xml:space="preserve">Bridgewater Interiors</t>
  </si>
  <si>
    <t xml:space="preserve">automotive seating JIT assembly</t>
  </si>
  <si>
    <t xml:space="preserve">bridgewater-interiors.com</t>
  </si>
  <si>
    <t xml:space="preserve">Ronald Hall Jr.</t>
  </si>
  <si>
    <t xml:space="preserve">Minority-owned JV with Adient</t>
  </si>
  <si>
    <t xml:space="preserve">Butterball</t>
  </si>
  <si>
    <t xml:space="preserve">turkey products</t>
  </si>
  <si>
    <t xml:space="preserve">Garner</t>
  </si>
  <si>
    <t xml:space="preserve">butterball.com</t>
  </si>
  <si>
    <t xml:space="preserve">Jay Jandrain</t>
  </si>
  <si>
    <t xml:space="preserve">Seaboard and Maxwell Farms JV; revenue band estimate</t>
  </si>
  <si>
    <t xml:space="preserve">https://www.industryselect.com/blog/top-10-manufacturing-companies-in-north-carolina</t>
  </si>
  <si>
    <t xml:space="preserve">Charter Manufacturing</t>
  </si>
  <si>
    <t xml:space="preserve">steel bar &amp; wire products</t>
  </si>
  <si>
    <t xml:space="preserve">Mequon</t>
  </si>
  <si>
    <t xml:space="preserve">chartermfg.com</t>
  </si>
  <si>
    <t xml:space="preserve">John Mellowes</t>
  </si>
  <si>
    <t xml:space="preserve">Deloitte Wisconsin 75 (2025) rank 26</t>
  </si>
  <si>
    <t xml:space="preserve">East Penn Manufacturing</t>
  </si>
  <si>
    <t xml:space="preserve">lead-acid batteries (Deka)</t>
  </si>
  <si>
    <t xml:space="preserve">Lyon Station</t>
  </si>
  <si>
    <t xml:space="preserve">eastpennmanufacturing.com</t>
  </si>
  <si>
    <t xml:space="preserve">Chris Pruitt</t>
  </si>
  <si>
    <t xml:space="preserve">Single-site largest lead battery plant in the world</t>
  </si>
  <si>
    <t xml:space="preserve">https://en.wikipedia.org/wiki/East_Penn_Manufacturing</t>
  </si>
  <si>
    <t xml:space="preserve">Ellwood Group</t>
  </si>
  <si>
    <t xml:space="preserve">forgings &amp; specialty steel</t>
  </si>
  <si>
    <t xml:space="preserve">Ellwood City</t>
  </si>
  <si>
    <t xml:space="preserve">ellwoodgroup.com</t>
  </si>
  <si>
    <t xml:space="preserve">Revenue band estimate; defense and energy forgings</t>
  </si>
  <si>
    <t xml:space="preserve">https://www.ellwoodgroup.com/</t>
  </si>
  <si>
    <t xml:space="preserve">Federal Signal</t>
  </si>
  <si>
    <t xml:space="preserve">specialty vehicles &amp; safety equipment</t>
  </si>
  <si>
    <t xml:space="preserve">federalsignal.com</t>
  </si>
  <si>
    <t xml:space="preserve">Jennifer Sherman</t>
  </si>
  <si>
    <t xml:space="preserve">NYSE: FSS</t>
  </si>
  <si>
    <t xml:space="preserve">https://en.wikipedia.org/wiki/Federal_Signal_Corporation</t>
  </si>
  <si>
    <t xml:space="preserve">Great Lakes Cheese</t>
  </si>
  <si>
    <t xml:space="preserve">cheese</t>
  </si>
  <si>
    <t xml:space="preserve">Hiram</t>
  </si>
  <si>
    <t xml:space="preserve">greatlakescheese.com</t>
  </si>
  <si>
    <t xml:space="preserve">Dan Zagzebski</t>
  </si>
  <si>
    <t xml:space="preserve">Employee-participation family company; new Franklinville NY plant</t>
  </si>
  <si>
    <t xml:space="preserve">https://en.wikipedia.org/wiki/Great_Lakes_Cheese</t>
  </si>
  <si>
    <t xml:space="preserve">Green Bay Packaging</t>
  </si>
  <si>
    <t xml:space="preserve">corrugated packaging &amp; paper</t>
  </si>
  <si>
    <t xml:space="preserve">gbp.com</t>
  </si>
  <si>
    <t xml:space="preserve">Will Kress</t>
  </si>
  <si>
    <t xml:space="preserve">COO; CIO; VP Operations; Mill Manager</t>
  </si>
  <si>
    <t xml:space="preserve">Deloitte Wisconsin 75 (2025) rank 17</t>
  </si>
  <si>
    <t xml:space="preserve">Greenheck Group</t>
  </si>
  <si>
    <t xml:space="preserve">commercial HVAC air movement equipment</t>
  </si>
  <si>
    <t xml:space="preserve">Schofield</t>
  </si>
  <si>
    <t xml:space="preserve">greenheck.com</t>
  </si>
  <si>
    <t xml:space="preserve">IndustrySelect top WI manufacturer; revenue band estimate</t>
  </si>
  <si>
    <t xml:space="preserve">https://www.industryselect.com/blog/top-10-manufacturing-companies-in-wisconsin</t>
  </si>
  <si>
    <t xml:space="preserve">Haworth</t>
  </si>
  <si>
    <t xml:space="preserve">office furniture</t>
  </si>
  <si>
    <t xml:space="preserve">haworth.com</t>
  </si>
  <si>
    <t xml:space="preserve">Franco Bianchi</t>
  </si>
  <si>
    <t xml:space="preserve">Global contract furniture maker</t>
  </si>
  <si>
    <t xml:space="preserve">https://en.wikipedia.org/wiki/Haworth_(company)</t>
  </si>
  <si>
    <t xml:space="preserve">Hearthside Food Solutions</t>
  </si>
  <si>
    <t xml:space="preserve">hearthsidefoods.com</t>
  </si>
  <si>
    <t xml:space="preserve">Darlene Nicosia</t>
  </si>
  <si>
    <t xml:space="preserve">Emerged from Chapter 11 in 2025 under lender ownership</t>
  </si>
  <si>
    <t xml:space="preserve">https://www.forbes.com/companies/hearthside-food-solutions/</t>
  </si>
  <si>
    <t xml:space="preserve">Helen of Troy</t>
  </si>
  <si>
    <t xml:space="preserve">consumer housewares &amp; beauty products</t>
  </si>
  <si>
    <t xml:space="preserve">helenoftroy.com</t>
  </si>
  <si>
    <t xml:space="preserve">Brian Grass</t>
  </si>
  <si>
    <t xml:space="preserve">NASDAQ: HELE</t>
  </si>
  <si>
    <t xml:space="preserve">https://en.wikipedia.org/wiki/Helen_of_Troy_Limited</t>
  </si>
  <si>
    <t xml:space="preserve">Hendrickson</t>
  </si>
  <si>
    <t xml:space="preserve">truck suspension systems</t>
  </si>
  <si>
    <t xml:space="preserve">hendrickson-intl.com</t>
  </si>
  <si>
    <t xml:space="preserve">Matt Joy</t>
  </si>
  <si>
    <t xml:space="preserve">Owned by The Boler Company</t>
  </si>
  <si>
    <t xml:space="preserve">https://en.wikipedia.org/wiki/Hendrickson_(company)</t>
  </si>
  <si>
    <t xml:space="preserve">Hollister Incorporated</t>
  </si>
  <si>
    <t xml:space="preserve">ostomy &amp; continence medical devices</t>
  </si>
  <si>
    <t xml:space="preserve">Libertyville</t>
  </si>
  <si>
    <t xml:space="preserve">hollister.com</t>
  </si>
  <si>
    <t xml:space="preserve">Owned by JDS trust and employee plan</t>
  </si>
  <si>
    <t xml:space="preserve">https://en.wikipedia.org/wiki/Hollister_Incorporated</t>
  </si>
  <si>
    <t xml:space="preserve">House of Raeford Farms</t>
  </si>
  <si>
    <t xml:space="preserve">Rose Hill</t>
  </si>
  <si>
    <t xml:space="preserve">houseofraeford.com</t>
  </si>
  <si>
    <t xml:space="preserve">Bob Johnson</t>
  </si>
  <si>
    <t xml:space="preserve">https://www.houseofraeford.com/</t>
  </si>
  <si>
    <t xml:space="preserve">Inteva Products</t>
  </si>
  <si>
    <t xml:space="preserve">automotive interiors &amp; closure systems Tier 1</t>
  </si>
  <si>
    <t xml:space="preserve">intevaproducts.com</t>
  </si>
  <si>
    <t xml:space="preserve">Gerard Roose</t>
  </si>
  <si>
    <t xml:space="preserve">Owned by Renco Group; Crain's Detroit Private 200 (2026)</t>
  </si>
  <si>
    <t xml:space="preserve">John B. Sanfilippo &amp; Son</t>
  </si>
  <si>
    <t xml:space="preserve">nut &amp; snack processing</t>
  </si>
  <si>
    <t xml:space="preserve">Elgin</t>
  </si>
  <si>
    <t xml:space="preserve">jbssinc.com</t>
  </si>
  <si>
    <t xml:space="preserve">Jeffrey Sanfilippo</t>
  </si>
  <si>
    <t xml:space="preserve">NASDAQ: JBSS</t>
  </si>
  <si>
    <t xml:space="preserve">https://en.wikipedia.org/wiki/John_B._Sanfilippo_%26_Son</t>
  </si>
  <si>
    <t xml:space="preserve">Johnsonville</t>
  </si>
  <si>
    <t xml:space="preserve">sausage &amp; meat products</t>
  </si>
  <si>
    <t xml:space="preserve">johnsonville.com</t>
  </si>
  <si>
    <t xml:space="preserve">Michael Stayer-Suprick</t>
  </si>
  <si>
    <t xml:space="preserve">Deloitte Wisconsin 75 (2025) rank 21</t>
  </si>
  <si>
    <t xml:space="preserve">Menasha Corporation</t>
  </si>
  <si>
    <t xml:space="preserve">corrugated &amp; reusable plastic packaging</t>
  </si>
  <si>
    <t xml:space="preserve">Neenah</t>
  </si>
  <si>
    <t xml:space="preserve">menasha.com</t>
  </si>
  <si>
    <t xml:space="preserve">Chris Drees</t>
  </si>
  <si>
    <t xml:space="preserve">Includes Menasha Packaging and ORBIS</t>
  </si>
  <si>
    <t xml:space="preserve">https://en.wikipedia.org/wiki/Menasha_Corporation</t>
  </si>
  <si>
    <t xml:space="preserve">Neapco Holdings</t>
  </si>
  <si>
    <t xml:space="preserve">driveline &amp; propshaft components</t>
  </si>
  <si>
    <t xml:space="preserve">neapco.com</t>
  </si>
  <si>
    <t xml:space="preserve">Kenneth Hopkins</t>
  </si>
  <si>
    <t xml:space="preserve">Owned by Wanxiang America; global driveline supplier</t>
  </si>
  <si>
    <t xml:space="preserve">PVS Chemicals</t>
  </si>
  <si>
    <t xml:space="preserve">industrial &amp; specialty chemicals</t>
  </si>
  <si>
    <t xml:space="preserve">pvschemicals.com</t>
  </si>
  <si>
    <t xml:space="preserve">David Nicholson</t>
  </si>
  <si>
    <t xml:space="preserve">Manufactures and distributes sulfuric acid and water treatment chemicals</t>
  </si>
  <si>
    <t xml:space="preserve">Parkdale Mills</t>
  </si>
  <si>
    <t xml:space="preserve">spun yarn</t>
  </si>
  <si>
    <t xml:space="preserve">Gastonia</t>
  </si>
  <si>
    <t xml:space="preserve">parkdalemills.com</t>
  </si>
  <si>
    <t xml:space="preserve">Anderson Warlick</t>
  </si>
  <si>
    <t xml:space="preserve">Largest US spun yarn producer; revenue band estimate</t>
  </si>
  <si>
    <t xml:space="preserve">https://en.wikipedia.org/wiki/Parkdale_Mills</t>
  </si>
  <si>
    <t xml:space="preserve">Piston Group</t>
  </si>
  <si>
    <t xml:space="preserve">automotive module assembly &amp; Tier 1 supplier</t>
  </si>
  <si>
    <t xml:space="preserve">pistongroup.com</t>
  </si>
  <si>
    <t xml:space="preserve">Vinnie Johnson</t>
  </si>
  <si>
    <t xml:space="preserve">Includes Piston Automotive and Irvin Automotive</t>
  </si>
  <si>
    <t xml:space="preserve">Plastipak Holdings</t>
  </si>
  <si>
    <t xml:space="preserve">plastipak.com</t>
  </si>
  <si>
    <t xml:space="preserve">Edward Morgan</t>
  </si>
  <si>
    <t xml:space="preserve">COO; CIO; VP Operations; VP Sustainability</t>
  </si>
  <si>
    <t xml:space="preserve">Young family owned; global PET packaging</t>
  </si>
  <si>
    <t xml:space="preserve">ProAmpac</t>
  </si>
  <si>
    <t xml:space="preserve">flexible packaging</t>
  </si>
  <si>
    <t xml:space="preserve">proampac.com</t>
  </si>
  <si>
    <t xml:space="preserve">Greg Tucker</t>
  </si>
  <si>
    <t xml:space="preserve">Serial acquirer; 50+ sites</t>
  </si>
  <si>
    <t xml:space="preserve">https://www.proampac.com/</t>
  </si>
  <si>
    <t xml:space="preserve">Quanex Building Products</t>
  </si>
  <si>
    <t xml:space="preserve">building components</t>
  </si>
  <si>
    <t xml:space="preserve">quanex.com</t>
  </si>
  <si>
    <t xml:space="preserve">George Wilson</t>
  </si>
  <si>
    <t xml:space="preserve">NYSE: NX; acquired Tyman 2024</t>
  </si>
  <si>
    <t xml:space="preserve">https://en.wikipedia.org/wiki/Quanex_Building_Products</t>
  </si>
  <si>
    <t xml:space="preserve">Sargento Foods</t>
  </si>
  <si>
    <t xml:space="preserve">sargento.com</t>
  </si>
  <si>
    <t xml:space="preserve">Louie Gentine</t>
  </si>
  <si>
    <t xml:space="preserve">Deloitte Wisconsin 75 (2025) rank 25</t>
  </si>
  <si>
    <t xml:space="preserve">Trek Bicycle</t>
  </si>
  <si>
    <t xml:space="preserve">bicycles &amp; cycling products</t>
  </si>
  <si>
    <t xml:space="preserve">trekbikes.com</t>
  </si>
  <si>
    <t xml:space="preserve">John Burke</t>
  </si>
  <si>
    <t xml:space="preserve">Deloitte Wisconsin 75 (2025) rank 20</t>
  </si>
  <si>
    <t xml:space="preserve">U.S. Farathane</t>
  </si>
  <si>
    <t xml:space="preserve">injection-molded automotive components</t>
  </si>
  <si>
    <t xml:space="preserve">usfarathane.com</t>
  </si>
  <si>
    <t xml:space="preserve">The Gores Group</t>
  </si>
  <si>
    <t xml:space="preserve">David Wiskel</t>
  </si>
  <si>
    <t xml:space="preserve">Multi-plant molder; PE-owned since 2014</t>
  </si>
  <si>
    <t xml:space="preserve">Taylor Corporation</t>
  </si>
  <si>
    <t xml:space="preserve">print and marketing communications</t>
  </si>
  <si>
    <t xml:space="preserve">North Mankato</t>
  </si>
  <si>
    <t xml:space="preserve">taylor.com</t>
  </si>
  <si>
    <t xml:space="preserve">Charlie Whitaker</t>
  </si>
  <si>
    <t xml:space="preserve">Glen Taylor-owned; 80+ operating companies</t>
  </si>
  <si>
    <t xml:space="preserve">https://www.taylor.com/</t>
  </si>
  <si>
    <t xml:space="preserve">Alera Group</t>
  </si>
  <si>
    <t xml:space="preserve">Insurance brokerage &amp; wealth</t>
  </si>
  <si>
    <t xml:space="preserve">Deerfield</t>
  </si>
  <si>
    <t xml:space="preserve">aleragroup.com</t>
  </si>
  <si>
    <t xml:space="preserve">Alan Levitz</t>
  </si>
  <si>
    <t xml:space="preserve">Revenue est.; Genstar/Flexpoint</t>
  </si>
  <si>
    <t xml:space="preserve">Ascensus</t>
  </si>
  <si>
    <t xml:space="preserve">Retirement recordkeeping/TPA</t>
  </si>
  <si>
    <t xml:space="preserve">Dresher</t>
  </si>
  <si>
    <t xml:space="preserve">ascensus.com</t>
  </si>
  <si>
    <t xml:space="preserve">Nick Good</t>
  </si>
  <si>
    <t xml:space="preserve">Stone Point/Genstar; revenue est.</t>
  </si>
  <si>
    <t xml:space="preserve">Convergint Technologies</t>
  </si>
  <si>
    <t xml:space="preserve">Security systems integration</t>
  </si>
  <si>
    <t xml:space="preserve">convergint.com</t>
  </si>
  <si>
    <t xml:space="preserve">Ken Lochiatto</t>
  </si>
  <si>
    <t xml:space="preserve">Revenue est.; Leonard Green/Harvest/Ares</t>
  </si>
  <si>
    <t xml:space="preserve">Marcone</t>
  </si>
  <si>
    <t xml:space="preserve">Appliance parts distributor</t>
  </si>
  <si>
    <t xml:space="preserve">marcone.com</t>
  </si>
  <si>
    <t xml:space="preserve">Jim Souers</t>
  </si>
  <si>
    <t xml:space="preserve">Revenue est.; acquisitive HVAC/plumbing/appliance parts platform</t>
  </si>
  <si>
    <t xml:space="preserve">PrimeSource Building Products</t>
  </si>
  <si>
    <t xml:space="preserve">Building products distributor</t>
  </si>
  <si>
    <t xml:space="preserve">primesourcebp.com</t>
  </si>
  <si>
    <t xml:space="preserve">Accession Risk Management Group</t>
  </si>
  <si>
    <t xml:space="preserve">accessionrmg.com</t>
  </si>
  <si>
    <t xml:space="preserve">Kelso &amp; Co.</t>
  </si>
  <si>
    <t xml:space="preserve">John Mina</t>
  </si>
  <si>
    <t xml:space="preserve">Business Insurance 2025 rank 13; parent of Risk Strategies and One80</t>
  </si>
  <si>
    <t xml:space="preserve">Alliant Insurance Services Inc.</t>
  </si>
  <si>
    <t xml:space="preserve">alliant.com</t>
  </si>
  <si>
    <t xml:space="preserve">Greg Zimmer</t>
  </si>
  <si>
    <t xml:space="preserve">Business Insurance 2025 rank 5; 2024 US brokerage revenue $4.97B</t>
  </si>
  <si>
    <t xml:space="preserve">Barrett Business Services</t>
  </si>
  <si>
    <t xml:space="preserve">bbsi.com</t>
  </si>
  <si>
    <t xml:space="preserve">Gary Kramer</t>
  </si>
  <si>
    <t xml:space="preserve">NASDAQ BBSI; LTM revenue $1.2B</t>
  </si>
  <si>
    <t xml:space="preserve">https://www.delanceystreetpartners.com/wp-content/uploads/2025/07/DSP-HCM-2025-Mid-Year-Review.pdf</t>
  </si>
  <si>
    <t xml:space="preserve">Beacon Hill Staffing Group</t>
  </si>
  <si>
    <t xml:space="preserve">beaconhillstaffing.com</t>
  </si>
  <si>
    <t xml:space="preserve">Andrew Wang</t>
  </si>
  <si>
    <t xml:space="preserve">BroadStreet Partners Inc.</t>
  </si>
  <si>
    <t xml:space="preserve">broadstreetpartners.com</t>
  </si>
  <si>
    <t xml:space="preserve">Ontario Teachers' Pension Plan; Ethos Capital</t>
  </si>
  <si>
    <t xml:space="preserve">Rick Miley</t>
  </si>
  <si>
    <t xml:space="preserve">Business Insurance 2025 rank 12</t>
  </si>
  <si>
    <t xml:space="preserve">EPIC Insurance Brokers &amp; Consultants</t>
  </si>
  <si>
    <t xml:space="preserve">epicbrokers.com</t>
  </si>
  <si>
    <t xml:space="preserve">Carlyle; Oak Hill Capital</t>
  </si>
  <si>
    <t xml:space="preserve">Steve Denton</t>
  </si>
  <si>
    <t xml:space="preserve">Business Insurance 2025 rank 16 (Edgewood Partners Insurance Center)</t>
  </si>
  <si>
    <t xml:space="preserve">Express Employment Professionals</t>
  </si>
  <si>
    <t xml:space="preserve">expresspros.com</t>
  </si>
  <si>
    <t xml:space="preserve">Bill Stoller</t>
  </si>
  <si>
    <t xml:space="preserve">SIA 2026 rank 5; franchise system</t>
  </si>
  <si>
    <t xml:space="preserve">Jackson Healthcare</t>
  </si>
  <si>
    <t xml:space="preserve">jacksonhealthcare.com</t>
  </si>
  <si>
    <t xml:space="preserve">Shane Jackson</t>
  </si>
  <si>
    <t xml:space="preserve">SIA 2026 rank 10</t>
  </si>
  <si>
    <t xml:space="preserve">Justworks</t>
  </si>
  <si>
    <t xml:space="preserve">justworks.com</t>
  </si>
  <si>
    <t xml:space="preserve">Mike Seckler</t>
  </si>
  <si>
    <t xml:space="preserve">Venture-backed PEO; withdrew IPO 2022; band based on prior S-1 gross revenue</t>
  </si>
  <si>
    <t xml:space="preserve">https://www.justworks.com</t>
  </si>
  <si>
    <t xml:space="preserve">Lockton Cos. LLC</t>
  </si>
  <si>
    <t xml:space="preserve">lockton.com</t>
  </si>
  <si>
    <t xml:space="preserve">Ron Lockton</t>
  </si>
  <si>
    <t xml:space="preserve">Business Insurance 2025 rank 9; largest private broker</t>
  </si>
  <si>
    <t xml:space="preserve">Medical Solutions</t>
  </si>
  <si>
    <t xml:space="preserve">medicalsolutions.com</t>
  </si>
  <si>
    <t xml:space="preserve">Centerbridge Partners; CDPQ</t>
  </si>
  <si>
    <t xml:space="preserve">Craig Meier</t>
  </si>
  <si>
    <t xml:space="preserve">Newmark Group</t>
  </si>
  <si>
    <t xml:space="preserve">nmrk.com</t>
  </si>
  <si>
    <t xml:space="preserve">Barry Gosin</t>
  </si>
  <si>
    <t xml:space="preserve">NASDAQ NMRK; 2024 revenue about $2.75B</t>
  </si>
  <si>
    <t xml:space="preserve">OneDigital</t>
  </si>
  <si>
    <t xml:space="preserve">onedigital.com</t>
  </si>
  <si>
    <t xml:space="preserve">Onex; New Mountain Capital</t>
  </si>
  <si>
    <t xml:space="preserve">Adam Bruckman</t>
  </si>
  <si>
    <t xml:space="preserve">Business Insurance 2025 rank 17; benefits and HR consulting focus</t>
  </si>
  <si>
    <t xml:space="preserve">TriNet Group</t>
  </si>
  <si>
    <t xml:space="preserve">trinet.com</t>
  </si>
  <si>
    <t xml:space="preserve">Mike Simonds</t>
  </si>
  <si>
    <t xml:space="preserve">NYSE TNET; LTM revenue $5.0B</t>
  </si>
  <si>
    <t xml:space="preserve">American Signature (Value City Furniture)</t>
  </si>
  <si>
    <t xml:space="preserve">valuecityfurniture.com</t>
  </si>
  <si>
    <t xml:space="preserve">Jonathan Schottenstein</t>
  </si>
  <si>
    <t xml:space="preserve">Schottenstein family</t>
  </si>
  <si>
    <t xml:space="preserve">https://valuecityfurniture.com</t>
  </si>
  <si>
    <t xml:space="preserve">Ariat International</t>
  </si>
  <si>
    <t xml:space="preserve">western/work footwear and apparel brand</t>
  </si>
  <si>
    <t xml:space="preserve">San Leandro</t>
  </si>
  <si>
    <t xml:space="preserve">ariat.com</t>
  </si>
  <si>
    <t xml:space="preserve">Beth Cross</t>
  </si>
  <si>
    <t xml:space="preserve">Founder-led; reported $1B+ sales</t>
  </si>
  <si>
    <t xml:space="preserve">https://ariat.com</t>
  </si>
  <si>
    <t xml:space="preserve">Bealls Inc.</t>
  </si>
  <si>
    <t xml:space="preserve">off-price and department regional chain</t>
  </si>
  <si>
    <t xml:space="preserve">Bradenton</t>
  </si>
  <si>
    <t xml:space="preserve">beallsinc.com</t>
  </si>
  <si>
    <t xml:space="preserve">Matt Beall</t>
  </si>
  <si>
    <t xml:space="preserve">CIO; COO; VP Ecommerce; VP Allocation</t>
  </si>
  <si>
    <t xml:space="preserve">Bealls; Bealls Outlet; Home Centric</t>
  </si>
  <si>
    <t xml:space="preserve">https://beallsinc.com</t>
  </si>
  <si>
    <t xml:space="preserve">Belk</t>
  </si>
  <si>
    <t xml:space="preserve">belk.com</t>
  </si>
  <si>
    <t xml:space="preserve">Don Hendricks</t>
  </si>
  <si>
    <t xml:space="preserve">~290 stores Southeast; lenders hold stakes post-2021</t>
  </si>
  <si>
    <t xml:space="preserve">https://en.wikipedia.org/wiki/Belk</t>
  </si>
  <si>
    <t xml:space="preserve">Blain's Farm &amp; Fleet</t>
  </si>
  <si>
    <t xml:space="preserve">farm and home regional chain</t>
  </si>
  <si>
    <t xml:space="preserve">Janesville</t>
  </si>
  <si>
    <t xml:space="preserve">farmandfleet.com</t>
  </si>
  <si>
    <t xml:space="preserve">Jane Blain Gilbertson</t>
  </si>
  <si>
    <t xml:space="preserve">~45 stores Upper Midwest</t>
  </si>
  <si>
    <t xml:space="preserve">https://farmandfleet.com</t>
  </si>
  <si>
    <t xml:space="preserve">Bob's Discount Furniture</t>
  </si>
  <si>
    <t xml:space="preserve">value furniture regional chain</t>
  </si>
  <si>
    <t xml:space="preserve">Manchester</t>
  </si>
  <si>
    <t xml:space="preserve">mybobs.com</t>
  </si>
  <si>
    <t xml:space="preserve">Bill Barton</t>
  </si>
  <si>
    <t xml:space="preserve">~190 stores; Bain since 2014</t>
  </si>
  <si>
    <t xml:space="preserve">https://en.wikipedia.org/wiki/Bob%27s_Discount_Furniture</t>
  </si>
  <si>
    <t xml:space="preserve">Boscov's</t>
  </si>
  <si>
    <t xml:space="preserve">boscovs.com</t>
  </si>
  <si>
    <t xml:space="preserve">Jim Boscov</t>
  </si>
  <si>
    <t xml:space="preserve">~50 stores Mid-Atlantic</t>
  </si>
  <si>
    <t xml:space="preserve">https://en.wikipedia.org/wiki/Boscov%27s</t>
  </si>
  <si>
    <t xml:space="preserve">Chico's FAS</t>
  </si>
  <si>
    <t xml:space="preserve">chicos.com</t>
  </si>
  <si>
    <t xml:space="preserve">Molly Langenstein</t>
  </si>
  <si>
    <t xml:space="preserve">CIO; COO; VP Digital; VP Customer Insights</t>
  </si>
  <si>
    <t xml:space="preserve">Taken private by Sycamore 2024</t>
  </si>
  <si>
    <t xml:space="preserve">https://en.wikipedia.org/wiki/Chico%27s_FAS</t>
  </si>
  <si>
    <t xml:space="preserve">Fleet Farm</t>
  </si>
  <si>
    <t xml:space="preserve">Appleton</t>
  </si>
  <si>
    <t xml:space="preserve">fleetfarm.com</t>
  </si>
  <si>
    <t xml:space="preserve">Kevin Sullivan</t>
  </si>
  <si>
    <t xml:space="preserve">KKR since 2016</t>
  </si>
  <si>
    <t xml:space="preserve">https://fleetfarm.com</t>
  </si>
  <si>
    <t xml:space="preserve">Guitar Center</t>
  </si>
  <si>
    <t xml:space="preserve">musical instruments specialty retailer</t>
  </si>
  <si>
    <t xml:space="preserve">guitarcenter.com</t>
  </si>
  <si>
    <t xml:space="preserve">Ares Management; Carlyle; Brigade</t>
  </si>
  <si>
    <t xml:space="preserve">Gabe Dalporto</t>
  </si>
  <si>
    <t xml:space="preserve">Lender-owned since 2020 restructuring</t>
  </si>
  <si>
    <t xml:space="preserve">https://en.wikipedia.org/wiki/Guitar_Center</t>
  </si>
  <si>
    <t xml:space="preserve">L.L.Bean</t>
  </si>
  <si>
    <t xml:space="preserve">outdoor apparel omnichannel retailer</t>
  </si>
  <si>
    <t xml:space="preserve">Freeport</t>
  </si>
  <si>
    <t xml:space="preserve">llbean.com</t>
  </si>
  <si>
    <t xml:space="preserve">Stephen Smith</t>
  </si>
  <si>
    <t xml:space="preserve">CIO; COO; VP Ecommerce; VP Customer Service</t>
  </si>
  <si>
    <t xml:space="preserve">Reported ~$1.8B net revenue</t>
  </si>
  <si>
    <t xml:space="preserve">https://en.wikipedia.org/wiki/L.L.Bean</t>
  </si>
  <si>
    <t xml:space="preserve">Living Spaces</t>
  </si>
  <si>
    <t xml:space="preserve">La Mirada</t>
  </si>
  <si>
    <t xml:space="preserve">livingspaces.com</t>
  </si>
  <si>
    <t xml:space="preserve">Grover Geiselman</t>
  </si>
  <si>
    <t xml:space="preserve">West and Texas; founder-owned</t>
  </si>
  <si>
    <t xml:space="preserve">https://livingspaces.com</t>
  </si>
  <si>
    <t xml:space="preserve">Mavis Tire Express Services</t>
  </si>
  <si>
    <t xml:space="preserve">tire and auto service chain</t>
  </si>
  <si>
    <t xml:space="preserve">mavis.com</t>
  </si>
  <si>
    <t xml:space="preserve">TSG Consumer Partners; West Street Capital (Goldman)</t>
  </si>
  <si>
    <t xml:space="preserve">David Sorbaro; Stephen Sorbaro</t>
  </si>
  <si>
    <t xml:space="preserve">CIO; COO; VP Operations; VP Digital</t>
  </si>
  <si>
    <t xml:space="preserve">2000+ locations; larger name</t>
  </si>
  <si>
    <t xml:space="preserve">Micro Center</t>
  </si>
  <si>
    <t xml:space="preserve">computer and electronics specialty retailer</t>
  </si>
  <si>
    <t xml:space="preserve">Hilliard</t>
  </si>
  <si>
    <t xml:space="preserve">microcenter.com</t>
  </si>
  <si>
    <t xml:space="preserve">Richard Mershad</t>
  </si>
  <si>
    <t xml:space="preserve">Expanding store count after years of stability</t>
  </si>
  <si>
    <t xml:space="preserve">https://en.wikipedia.org/wiki/Micro_Center</t>
  </si>
  <si>
    <t xml:space="preserve">Raymour &amp; Flanigan</t>
  </si>
  <si>
    <t xml:space="preserve">Liverpool</t>
  </si>
  <si>
    <t xml:space="preserve">raymourflanigan.com</t>
  </si>
  <si>
    <t xml:space="preserve">Neil Goldberg</t>
  </si>
  <si>
    <t xml:space="preserve">CIO; COO; VP Ecommerce; VP Logistics</t>
  </si>
  <si>
    <t xml:space="preserve">Northeast; family owned</t>
  </si>
  <si>
    <t xml:space="preserve">https://raymourflanigan.com</t>
  </si>
  <si>
    <t xml:space="preserve">Rural King</t>
  </si>
  <si>
    <t xml:space="preserve">Mattoon</t>
  </si>
  <si>
    <t xml:space="preserve">ruralking.com</t>
  </si>
  <si>
    <t xml:space="preserve">Alex Melvin</t>
  </si>
  <si>
    <t xml:space="preserve">~135 stores</t>
  </si>
  <si>
    <t xml:space="preserve">https://ruralking.com</t>
  </si>
  <si>
    <t xml:space="preserve">Scheels</t>
  </si>
  <si>
    <t xml:space="preserve">sporting goods regional chain</t>
  </si>
  <si>
    <t xml:space="preserve">scheels.com</t>
  </si>
  <si>
    <t xml:space="preserve">Steve M. Scheel</t>
  </si>
  <si>
    <t xml:space="preserve">Employee-owned destination stores</t>
  </si>
  <si>
    <t xml:space="preserve">https://en.wikipedia.org/wiki/Scheels</t>
  </si>
  <si>
    <t xml:space="preserve">Serta Simmons Bedding</t>
  </si>
  <si>
    <t xml:space="preserve">mattress consumer products</t>
  </si>
  <si>
    <t xml:space="preserve">Doraville</t>
  </si>
  <si>
    <t xml:space="preserve">sertasimmons.com</t>
  </si>
  <si>
    <t xml:space="preserve">Shelley Huff</t>
  </si>
  <si>
    <t xml:space="preserve">Lender-owned after 2023 Chapter 11</t>
  </si>
  <si>
    <t xml:space="preserve">https://en.wikipedia.org/wiki/Serta_Simmons_Bedding</t>
  </si>
  <si>
    <t xml:space="preserve">The Buckle</t>
  </si>
  <si>
    <t xml:space="preserve">denim/apparel specialty retailer</t>
  </si>
  <si>
    <t xml:space="preserve">buckle.com</t>
  </si>
  <si>
    <t xml:space="preserve">Dennis Nelson</t>
  </si>
  <si>
    <t xml:space="preserve">Family-influenced public company; high margins</t>
  </si>
  <si>
    <t xml:space="preserve">https://en.wikipedia.org/wiki/Buckle_(store)</t>
  </si>
  <si>
    <t xml:space="preserve">Envestnet</t>
  </si>
  <si>
    <t xml:space="preserve">wealth management platform</t>
  </si>
  <si>
    <t xml:space="preserve">Berwyn</t>
  </si>
  <si>
    <t xml:space="preserve">envestnet.com</t>
  </si>
  <si>
    <t xml:space="preserve">Chris Todd</t>
  </si>
  <si>
    <t xml:space="preserve">$4.5B take-private 2024</t>
  </si>
  <si>
    <t xml:space="preserve">https://www.envestnet.com</t>
  </si>
  <si>
    <t xml:space="preserve">AIT Worldwide Logistics</t>
  </si>
  <si>
    <t xml:space="preserve">aitworldwide.com</t>
  </si>
  <si>
    <t xml:space="preserve">Vaughn Moore</t>
  </si>
  <si>
    <t xml:space="preserve">TT 2026 Logistics No. 22</t>
  </si>
  <si>
    <t xml:space="preserve">https://redstagfulfillment.com/biggest-3pl-companies/</t>
  </si>
  <si>
    <t xml:space="preserve">Allen Lund Company</t>
  </si>
  <si>
    <t xml:space="preserve">freight brokerage (refrigerated/produce)</t>
  </si>
  <si>
    <t xml:space="preserve">La Canada Flintridge</t>
  </si>
  <si>
    <t xml:space="preserve">allenlund.com</t>
  </si>
  <si>
    <t xml:space="preserve">Eddie Lund</t>
  </si>
  <si>
    <t xml:space="preserve">TT 2026 Logistics No. 47</t>
  </si>
  <si>
    <t xml:space="preserve">Anderson Trucking Service</t>
  </si>
  <si>
    <t xml:space="preserve">trucking carrier (flatbed/specialized)</t>
  </si>
  <si>
    <t xml:space="preserve">atsinc.com</t>
  </si>
  <si>
    <t xml:space="preserve">TT 2026 For-Hire No. 31; also runs ATS Logistics brokerage ($626M)</t>
  </si>
  <si>
    <t xml:space="preserve">Armstrong Transport Group</t>
  </si>
  <si>
    <t xml:space="preserve">armstrongtransport.com</t>
  </si>
  <si>
    <t xml:space="preserve">TT 2026 Logistics No. 46; Inc. 5000 2026 ($1-2.5B band)</t>
  </si>
  <si>
    <t xml:space="preserve">Ascent Global Logistics</t>
  </si>
  <si>
    <t xml:space="preserve">freight brokerage / expedite / forwarding</t>
  </si>
  <si>
    <t xml:space="preserve">Belleville</t>
  </si>
  <si>
    <t xml:space="preserve">ascentgl.com</t>
  </si>
  <si>
    <t xml:space="preserve">TT 2026 Logistics No. 54</t>
  </si>
  <si>
    <t xml:space="preserve">Averitt Express</t>
  </si>
  <si>
    <t xml:space="preserve">trucking carrier (LTL/truckload)</t>
  </si>
  <si>
    <t xml:space="preserve">Cookeville</t>
  </si>
  <si>
    <t xml:space="preserve">averitt.com</t>
  </si>
  <si>
    <t xml:space="preserve">Wayne Spain</t>
  </si>
  <si>
    <t xml:space="preserve">TT 2026 For-Hire No. 29; associate-owned culture</t>
  </si>
  <si>
    <t xml:space="preserve">Axle Logistics</t>
  </si>
  <si>
    <t xml:space="preserve">axlelogistics.com</t>
  </si>
  <si>
    <t xml:space="preserve">Jon Clay</t>
  </si>
  <si>
    <t xml:space="preserve">TT 2026 Logistics No. 52; Inc. 5000 2026 ($1-2.5B band)</t>
  </si>
  <si>
    <t xml:space="preserve">Bennett Family of Companies</t>
  </si>
  <si>
    <t xml:space="preserve">trucking carrier (heavy haul/specialized)</t>
  </si>
  <si>
    <t xml:space="preserve">McDonough</t>
  </si>
  <si>
    <t xml:space="preserve">bennettig.com</t>
  </si>
  <si>
    <t xml:space="preserve">Marcia Taylor</t>
  </si>
  <si>
    <t xml:space="preserve">TT 2026 For-Hire No. 38; woman-owned</t>
  </si>
  <si>
    <t xml:space="preserve">C.R. England</t>
  </si>
  <si>
    <t xml:space="preserve">crengland.com</t>
  </si>
  <si>
    <t xml:space="preserve">Chad England</t>
  </si>
  <si>
    <t xml:space="preserve">TT 2026 For-Hire No. 35; largest refrigerated carrier</t>
  </si>
  <si>
    <t xml:space="preserve">CRST The Transportation Solution</t>
  </si>
  <si>
    <t xml:space="preserve">trucking carrier / 3PL</t>
  </si>
  <si>
    <t xml:space="preserve">crst.com</t>
  </si>
  <si>
    <t xml:space="preserve">Hugh Ekberg</t>
  </si>
  <si>
    <t xml:space="preserve">TT 2026 For-Hire No. 36; also Logistics No. 83</t>
  </si>
  <si>
    <t xml:space="preserve">Capstone Logistics</t>
  </si>
  <si>
    <t xml:space="preserve">3PL (warehouse labor / freight brokerage / last-mile)</t>
  </si>
  <si>
    <t xml:space="preserve">capstonelogistics.com</t>
  </si>
  <si>
    <t xml:space="preserve">Steve Taylor</t>
  </si>
  <si>
    <t xml:space="preserve">TT 2026 Logistics No. 36; A&amp;A Top 50 US 3PL</t>
  </si>
  <si>
    <t xml:space="preserve">https://www.capstonelogistics.com/transport-topics-top-100-logistics-2026/</t>
  </si>
  <si>
    <t xml:space="preserve">Central Transport</t>
  </si>
  <si>
    <t xml:space="preserve">centraltransport.com</t>
  </si>
  <si>
    <t xml:space="preserve">TT 2026 For-Hire No. 25; Moroun family (CenTra)</t>
  </si>
  <si>
    <t xml:space="preserve">Covenant Logistics Group</t>
  </si>
  <si>
    <t xml:space="preserve">trucking carrier / dedicated / brokerage</t>
  </si>
  <si>
    <t xml:space="preserve">covenantlogistics.com</t>
  </si>
  <si>
    <t xml:space="preserve">David Parker</t>
  </si>
  <si>
    <t xml:space="preserve">TT 2026 For-Hire No. 39 and Logistics No. 71</t>
  </si>
  <si>
    <t xml:space="preserve">Crete Carrier Corp.</t>
  </si>
  <si>
    <t xml:space="preserve">cretecarrier.com</t>
  </si>
  <si>
    <t xml:space="preserve">Tonn Ostergard</t>
  </si>
  <si>
    <t xml:space="preserve">TT 2026 For-Hire No. 32; includes Shaffer Trucking and Hunt Transportation</t>
  </si>
  <si>
    <t xml:space="preserve">Dayton Freight Lines</t>
  </si>
  <si>
    <t xml:space="preserve">daytonfreight.com</t>
  </si>
  <si>
    <t xml:space="preserve">Tom Cronin</t>
  </si>
  <si>
    <t xml:space="preserve">TT 2026 For-Hire No. 43; Midwest regional LTL</t>
  </si>
  <si>
    <t xml:space="preserve">Evans Network of Companies</t>
  </si>
  <si>
    <t xml:space="preserve">intermodal / drayage (agent model)</t>
  </si>
  <si>
    <t xml:space="preserve">Schuylkill Haven</t>
  </si>
  <si>
    <t xml:space="preserve">evansdelivery.com</t>
  </si>
  <si>
    <t xml:space="preserve">TT 2026 For-Hire No. 23</t>
  </si>
  <si>
    <t xml:space="preserve">Forward Air</t>
  </si>
  <si>
    <t xml:space="preserve">expedited LTL / freight forwarder</t>
  </si>
  <si>
    <t xml:space="preserve">Greeneville</t>
  </si>
  <si>
    <t xml:space="preserve">forwardair.com</t>
  </si>
  <si>
    <t xml:space="preserve">Shawn Stewart</t>
  </si>
  <si>
    <t xml:space="preserve">TT 2026 Logistics No. 33 (with Omni Logistics); strategic review underway</t>
  </si>
  <si>
    <t xml:space="preserve">Hub Group</t>
  </si>
  <si>
    <t xml:space="preserve">intermodal / 3PL</t>
  </si>
  <si>
    <t xml:space="preserve">hubgroup.com</t>
  </si>
  <si>
    <t xml:space="preserve">Phil Yeager</t>
  </si>
  <si>
    <t xml:space="preserve">TT 2026 Logistics No. 20</t>
  </si>
  <si>
    <t xml:space="preserve">ITS Logistics</t>
  </si>
  <si>
    <t xml:space="preserve">3PL (drayage / brokerage / distribution)</t>
  </si>
  <si>
    <t xml:space="preserve">its4logistics.com</t>
  </si>
  <si>
    <t xml:space="preserve">Scott Pruneau</t>
  </si>
  <si>
    <t xml:space="preserve">TT 2026 Logistics No. 43; 19% growth noted by FreightCaviar</t>
  </si>
  <si>
    <t xml:space="preserve">Kenan Advantage Group</t>
  </si>
  <si>
    <t xml:space="preserve">bulk tank carrier / logistics</t>
  </si>
  <si>
    <t xml:space="preserve">North Canton</t>
  </si>
  <si>
    <t xml:space="preserve">thekag.com</t>
  </si>
  <si>
    <t xml:space="preserve">Bruce Blaise</t>
  </si>
  <si>
    <t xml:space="preserve">TT 2026 For-Hire No. 22; KAG Logistics Logistics No. 96</t>
  </si>
  <si>
    <t xml:space="preserve">Landstar System</t>
  </si>
  <si>
    <t xml:space="preserve">asset-light trucking / brokerage (agent model)</t>
  </si>
  <si>
    <t xml:space="preserve">landstar.com</t>
  </si>
  <si>
    <t xml:space="preserve">Frank Lonegro</t>
  </si>
  <si>
    <t xml:space="preserve">COO; CIO; VP Operations; VP Agent Development</t>
  </si>
  <si>
    <t xml:space="preserve">TT 2026 For-Hire No. 12 and Logistics No. 25</t>
  </si>
  <si>
    <t xml:space="preserve">Lynden Inc.</t>
  </si>
  <si>
    <t xml:space="preserve">multimodal carrier / freight forwarder</t>
  </si>
  <si>
    <t xml:space="preserve">lynden.com</t>
  </si>
  <si>
    <t xml:space="preserve">Jon Burdick</t>
  </si>
  <si>
    <t xml:space="preserve">TT 2026 For-Hire No. 34; Alaska/Pacific Northwest focus</t>
  </si>
  <si>
    <t xml:space="preserve">NFI Industries</t>
  </si>
  <si>
    <t xml:space="preserve">3PL (warehousing / dedicated / intermodal)</t>
  </si>
  <si>
    <t xml:space="preserve">Camden</t>
  </si>
  <si>
    <t xml:space="preserve">nfiindustries.com</t>
  </si>
  <si>
    <t xml:space="preserve">Sid Brown</t>
  </si>
  <si>
    <t xml:space="preserve">TT 2026 Logistics No. 21; No. 5 dry warehousing</t>
  </si>
  <si>
    <t xml:space="preserve">https://www.nfiindustries.com/about-nfi/news/nfi-recognized-by-armstrong-associates-2026-top-logistics-provider-lists/</t>
  </si>
  <si>
    <t xml:space="preserve">OnTrac</t>
  </si>
  <si>
    <t xml:space="preserve">regional parcel / last-mile e-commerce</t>
  </si>
  <si>
    <t xml:space="preserve">ontrac.com</t>
  </si>
  <si>
    <t xml:space="preserve">Greenbriar Equity Group</t>
  </si>
  <si>
    <t xml:space="preserve">COO; CIO; VP Operations; VP Network Engineering</t>
  </si>
  <si>
    <t xml:space="preserve">LaserShip + OnTrac merged 2021 into national last-mile network; revenue not disclosed (band est.)</t>
  </si>
  <si>
    <t xml:space="preserve">https://www.logisticsmgmt.com/article/regional_last_mile_carriers_lasership_and_ontrac_come_together_to_establish</t>
  </si>
  <si>
    <t xml:space="preserve">PS Logistics</t>
  </si>
  <si>
    <t xml:space="preserve">pslogistics.com</t>
  </si>
  <si>
    <t xml:space="preserve">One Equity Partners</t>
  </si>
  <si>
    <t xml:space="preserve">Scott Smith</t>
  </si>
  <si>
    <t xml:space="preserve">TT 2026 For-Hire No. 26; largest flatbed carrier</t>
  </si>
  <si>
    <t xml:space="preserve">Pitt Ohio Transportation Group</t>
  </si>
  <si>
    <t xml:space="preserve">pittohio.com</t>
  </si>
  <si>
    <t xml:space="preserve">Chuck Hammel</t>
  </si>
  <si>
    <t xml:space="preserve">TT 2026 For-Hire No. 44; acquired Sutton Transport Jan 2025 (CCJ)</t>
  </si>
  <si>
    <t xml:space="preserve">https://www.ccjdigital.com/ccj-top-250/article/15769714/financial-slump-continues-for-top-carriers</t>
  </si>
  <si>
    <t xml:space="preserve">Prime Inc.</t>
  </si>
  <si>
    <t xml:space="preserve">refrigerated / flatbed trucking carrier</t>
  </si>
  <si>
    <t xml:space="preserve">primeinc.com</t>
  </si>
  <si>
    <t xml:space="preserve">Robert Low</t>
  </si>
  <si>
    <t xml:space="preserve">TT 2026 For-Hire No. 20</t>
  </si>
  <si>
    <t xml:space="preserve">Priority-1 Inc.</t>
  </si>
  <si>
    <t xml:space="preserve">freight brokerage / LTL 3PL</t>
  </si>
  <si>
    <t xml:space="preserve">priority1.com</t>
  </si>
  <si>
    <t xml:space="preserve">TT 2026 Logistics No. 48</t>
  </si>
  <si>
    <t xml:space="preserve">R+L Carriers</t>
  </si>
  <si>
    <t xml:space="preserve">rlcarriers.com</t>
  </si>
  <si>
    <t xml:space="preserve">TT 2026 For-Hire No. 16</t>
  </si>
  <si>
    <t xml:space="preserve">Ruan Transportation Management Systems</t>
  </si>
  <si>
    <t xml:space="preserve">dedicated contract carriage / 3PL</t>
  </si>
  <si>
    <t xml:space="preserve">ruan.com</t>
  </si>
  <si>
    <t xml:space="preserve">Ben McLean</t>
  </si>
  <si>
    <t xml:space="preserve">COO; CIO; VP Operations; VP Logistics</t>
  </si>
  <si>
    <t xml:space="preserve">TT 2026 For-Hire No. 30 and Logistics No. 42</t>
  </si>
  <si>
    <t xml:space="preserve">Ryan Transportation Service</t>
  </si>
  <si>
    <t xml:space="preserve">ryantrans.com</t>
  </si>
  <si>
    <t xml:space="preserve">TT 2026 Logistics No. 50; top-20 brokerage</t>
  </si>
  <si>
    <t xml:space="preserve">https://www.ryantrans.com/news/ryan-transportation-among-top-20-brokerages-transport-topics-top-100-list-2025</t>
  </si>
  <si>
    <t xml:space="preserve">STG Logistics</t>
  </si>
  <si>
    <t xml:space="preserve">intermodal / drayage 3PL</t>
  </si>
  <si>
    <t xml:space="preserve">Bensenville</t>
  </si>
  <si>
    <t xml:space="preserve">stgusa.com</t>
  </si>
  <si>
    <t xml:space="preserve">Wind Point Partners; Oaktree Capital</t>
  </si>
  <si>
    <t xml:space="preserve">Paul Svindland</t>
  </si>
  <si>
    <t xml:space="preserve">TT 2026 For-Hire No. 33; acquired XPO intermodal in 2022; restructured debt 2024</t>
  </si>
  <si>
    <t xml:space="preserve">Saia Inc.</t>
  </si>
  <si>
    <t xml:space="preserve">saia.com</t>
  </si>
  <si>
    <t xml:space="preserve">Fritz Holzgrefe</t>
  </si>
  <si>
    <t xml:space="preserve">TT 2026 For-Hire No. 18</t>
  </si>
  <si>
    <t xml:space="preserve">Scotlynn</t>
  </si>
  <si>
    <t xml:space="preserve">freight brokerage (produce/refrigerated)</t>
  </si>
  <si>
    <t xml:space="preserve">scotlynn.com</t>
  </si>
  <si>
    <t xml:space="preserve">Scott Biddle</t>
  </si>
  <si>
    <t xml:space="preserve">TT 2026 Logistics No. 37</t>
  </si>
  <si>
    <t xml:space="preserve">Seko Logistics</t>
  </si>
  <si>
    <t xml:space="preserve">freight forwarder / e-commerce 3PL</t>
  </si>
  <si>
    <t xml:space="preserve">sekologistics.com</t>
  </si>
  <si>
    <t xml:space="preserve">James Gagne</t>
  </si>
  <si>
    <t xml:space="preserve">TT 2026 Logistics No. 41</t>
  </si>
  <si>
    <t xml:space="preserve">Southeastern Freight Lines</t>
  </si>
  <si>
    <t xml:space="preserve">sefl.com</t>
  </si>
  <si>
    <t xml:space="preserve">Tobin Cassels</t>
  </si>
  <si>
    <t xml:space="preserve">TT 2026 For-Hire No. 24</t>
  </si>
  <si>
    <t xml:space="preserve">Trinity Logistics</t>
  </si>
  <si>
    <t xml:space="preserve">Seaford</t>
  </si>
  <si>
    <t xml:space="preserve">trinitylogistics.com</t>
  </si>
  <si>
    <t xml:space="preserve">Sarah Ruffcorn</t>
  </si>
  <si>
    <t xml:space="preserve">TT 2026 Logistics No. 53; subsidiary of Burris Logistics (cold chain)</t>
  </si>
  <si>
    <t xml:space="preserve">Universal Logistics Holdings</t>
  </si>
  <si>
    <t xml:space="preserve">3PL (contract logistics / intermodal / trucking)</t>
  </si>
  <si>
    <t xml:space="preserve">universallogistics.com</t>
  </si>
  <si>
    <t xml:space="preserve">Tim Phillips</t>
  </si>
  <si>
    <t xml:space="preserve">TT 2026 For-Hire No. 28 and Logistics No. 45</t>
  </si>
  <si>
    <t xml:space="preserve">$5B+ (too large for cold outreach)</t>
  </si>
  <si>
    <t xml:space="preserve">Mercury General</t>
  </si>
  <si>
    <t xml:space="preserve">personal lines insurance carrier</t>
  </si>
  <si>
    <t xml:space="preserve">mercuryinsurance.com</t>
  </si>
  <si>
    <t xml:space="preserve">5B+</t>
  </si>
  <si>
    <t xml:space="preserve">Gabriel Tirador</t>
  </si>
  <si>
    <t xml:space="preserve">California-centric auto and home; Joseph family controlled</t>
  </si>
  <si>
    <t xml:space="preserve">https://www.mercuryinsurance.com/about/investors</t>
  </si>
  <si>
    <t xml:space="preserve">Navy Federal Credit Union</t>
  </si>
  <si>
    <t xml:space="preserve">Vienna</t>
  </si>
  <si>
    <t xml:space="preserve">navyfederal.org</t>
  </si>
  <si>
    <t xml:space="preserve">Dietrich Kuhlmann</t>
  </si>
  <si>
    <t xml:space="preserve">Large AI/ML and data science hiring; member-facing digital assistant investments</t>
  </si>
  <si>
    <t xml:space="preserve">$190B assets; largest CU in world; member-owned cooperative</t>
  </si>
  <si>
    <t xml:space="preserve">Rocket Companies</t>
  </si>
  <si>
    <t xml:space="preserve">mortgage lender and fintech</t>
  </si>
  <si>
    <t xml:space="preserve">rocketcompanies.com</t>
  </si>
  <si>
    <t xml:space="preserve">Varun Krishna</t>
  </si>
  <si>
    <t xml:space="preserve">Rocket Logic AI platform; acquired Redfin and Mr. Cooper 2025</t>
  </si>
  <si>
    <t xml:space="preserve">Money-center scale; included as larger anchor name</t>
  </si>
  <si>
    <t xml:space="preserve">https://ir.rocketcompanies.com</t>
  </si>
  <si>
    <t xml:space="preserve">Accenture</t>
  </si>
  <si>
    <t xml:space="preserve">accenture.com</t>
  </si>
  <si>
    <t xml:space="preserve">Julie Sweet</t>
  </si>
  <si>
    <t xml:space="preserve">CTO; Chief AI Officer; Group Chief Executive</t>
  </si>
  <si>
    <t xml:space="preserve">$3B AI investment; 70k+ AI-trained staff</t>
  </si>
  <si>
    <t xml:space="preserve">NYSE: ACN; global HQ Dublin; FY2025 revenue ~$69.7B</t>
  </si>
  <si>
    <t xml:space="preserve">https://www.accenture.com/</t>
  </si>
  <si>
    <t xml:space="preserve">Bain &amp; Company</t>
  </si>
  <si>
    <t xml:space="preserve">bain.com</t>
  </si>
  <si>
    <t xml:space="preserve">Christophe De Vusser</t>
  </si>
  <si>
    <t xml:space="preserve">Partner Vector AI; CTO; Chief Digital Officer</t>
  </si>
  <si>
    <t xml:space="preserve">Bain Vector; OpenAI services alliance</t>
  </si>
  <si>
    <t xml:space="preserve">Partnership; ~$6B revenue</t>
  </si>
  <si>
    <t xml:space="preserve">https://www.bain.com/</t>
  </si>
  <si>
    <t xml:space="preserve">Booz Allen Hamilton</t>
  </si>
  <si>
    <t xml:space="preserve">government management &amp; technology consulting</t>
  </si>
  <si>
    <t xml:space="preserve">boozallen.com</t>
  </si>
  <si>
    <t xml:space="preserve">Horacio Rozanski</t>
  </si>
  <si>
    <t xml:space="preserve">CTO; Chief AI Officer; EVP Digital</t>
  </si>
  <si>
    <t xml:space="preserve">Largest federal AI provider; Anthropic and OpenAI partnerships</t>
  </si>
  <si>
    <t xml:space="preserve">NYSE: BAH; FY2025 revenue ~$12B</t>
  </si>
  <si>
    <t xml:space="preserve">https://www.boozallen.com/</t>
  </si>
  <si>
    <t xml:space="preserve">Boston Consulting Group</t>
  </si>
  <si>
    <t xml:space="preserve">bcg.com</t>
  </si>
  <si>
    <t xml:space="preserve">Christoph Schweizer</t>
  </si>
  <si>
    <t xml:space="preserve">Managing Director BCG X; CTO; Chief Digital Officer</t>
  </si>
  <si>
    <t xml:space="preserve">BCG X build unit; 20%+ revenue from AI</t>
  </si>
  <si>
    <t xml:space="preserve">Partnership; 2024 revenue $13.5B</t>
  </si>
  <si>
    <t xml:space="preserve">https://www.bcg.com/</t>
  </si>
  <si>
    <t xml:space="preserve">Deloitte</t>
  </si>
  <si>
    <t xml:space="preserve">professional services &amp; consulting</t>
  </si>
  <si>
    <t xml:space="preserve">deloitte.com</t>
  </si>
  <si>
    <t xml:space="preserve">Jason Girzadas (US CEO)</t>
  </si>
  <si>
    <t xml:space="preserve">CTO; Chief AI Officer; Consulting Principals</t>
  </si>
  <si>
    <t xml:space="preserve">Zora AI agents; $3B GenAI investment</t>
  </si>
  <si>
    <t xml:space="preserve">Partnership; global FY2024 revenue ~$67B</t>
  </si>
  <si>
    <t xml:space="preserve">https://www.deloitte.com/</t>
  </si>
  <si>
    <t xml:space="preserve">EY</t>
  </si>
  <si>
    <t xml:space="preserve">ey.com</t>
  </si>
  <si>
    <t xml:space="preserve">Janet Truncale (Global Chair)</t>
  </si>
  <si>
    <t xml:space="preserve">CTO; Chief AI Officer; Consulting Partners</t>
  </si>
  <si>
    <t xml:space="preserve">EY.ai platform; $1.4B AI investment</t>
  </si>
  <si>
    <t xml:space="preserve">Partnership; global FY2024 revenue ~$51B</t>
  </si>
  <si>
    <t xml:space="preserve">https://www.ey.com/</t>
  </si>
  <si>
    <t xml:space="preserve">Gartner</t>
  </si>
  <si>
    <t xml:space="preserve">gartner.com</t>
  </si>
  <si>
    <t xml:space="preserve">Gene Hall</t>
  </si>
  <si>
    <t xml:space="preserve">CIO; CTO; Chief Data Officer</t>
  </si>
  <si>
    <t xml:space="preserve">AskGartner AI and AI research portfolio</t>
  </si>
  <si>
    <t xml:space="preserve">NYSE: IT; 2024 revenue ~$6.3B</t>
  </si>
  <si>
    <t xml:space="preserve">https://www.gartner.com/</t>
  </si>
  <si>
    <t xml:space="preserve">IBM Consulting</t>
  </si>
  <si>
    <t xml:space="preserve">technology &amp; business consulting</t>
  </si>
  <si>
    <t xml:space="preserve">Armonk</t>
  </si>
  <si>
    <t xml:space="preserve">ibm.com</t>
  </si>
  <si>
    <t xml:space="preserve">Mohamad Ali</t>
  </si>
  <si>
    <t xml:space="preserve">CTO; Chief AI Officer; Global Managing Partner</t>
  </si>
  <si>
    <t xml:space="preserve">watsonx and IBM Consulting Advantage AI platform</t>
  </si>
  <si>
    <t xml:space="preserve">IBM segment</t>
  </si>
  <si>
    <t xml:space="preserve">https://www.ibm.com/consulting</t>
  </si>
  <si>
    <t xml:space="preserve">KPMG</t>
  </si>
  <si>
    <t xml:space="preserve">kpmg.com</t>
  </si>
  <si>
    <t xml:space="preserve">Paul Knopp (US Chair)</t>
  </si>
  <si>
    <t xml:space="preserve">CTO; Chief AI Officer; Advisory Partners</t>
  </si>
  <si>
    <t xml:space="preserve">$2B Microsoft AI alliance</t>
  </si>
  <si>
    <t xml:space="preserve">Partnership; global FY2024 revenue ~$38B</t>
  </si>
  <si>
    <t xml:space="preserve">https://kpmg.com/</t>
  </si>
  <si>
    <t xml:space="preserve">McKinsey &amp; Company</t>
  </si>
  <si>
    <t xml:space="preserve">mckinsey.com</t>
  </si>
  <si>
    <t xml:space="preserve">Bob Sternfels</t>
  </si>
  <si>
    <t xml:space="preserve">Senior Partner QuantumBlack; CTO; Chief Digital Officer</t>
  </si>
  <si>
    <t xml:space="preserve">QuantumBlack AI; Lilli internal GenAI</t>
  </si>
  <si>
    <t xml:space="preserve">Partnership; ~$16B revenue</t>
  </si>
  <si>
    <t xml:space="preserve">https://www.mckinsey.com/</t>
  </si>
  <si>
    <t xml:space="preserve">Mercer</t>
  </si>
  <si>
    <t xml:space="preserve">HR &amp; investments consulting</t>
  </si>
  <si>
    <t xml:space="preserve">mercer.com</t>
  </si>
  <si>
    <t xml:space="preserve">Pat Tomlinson</t>
  </si>
  <si>
    <t xml:space="preserve">CIO; Chief Digital Officer; Global Head of Data</t>
  </si>
  <si>
    <t xml:space="preserve">Forbes Best Management Consulting 2025; AI in workforce analytics</t>
  </si>
  <si>
    <t xml:space="preserve">Marsh McLennan subsidiary</t>
  </si>
  <si>
    <t xml:space="preserve">https://www.mercer.com/en-us/insights/people-strategy/best-management-consulting-firms-2025/</t>
  </si>
  <si>
    <t xml:space="preserve">PwC</t>
  </si>
  <si>
    <t xml:space="preserve">pwc.com</t>
  </si>
  <si>
    <t xml:space="preserve">Paul Griggs (US Senior Partner)</t>
  </si>
  <si>
    <t xml:space="preserve">$1B GenAI investment; agent OS</t>
  </si>
  <si>
    <t xml:space="preserve">Partnership; global FY2024 revenue ~$55B</t>
  </si>
  <si>
    <t xml:space="preserve">https://www.pwc.com/</t>
  </si>
  <si>
    <t xml:space="preserve">ABC Supply</t>
  </si>
  <si>
    <t xml:space="preserve">roofing/siding/building products</t>
  </si>
  <si>
    <t xml:space="preserve">Beloit</t>
  </si>
  <si>
    <t xml:space="preserve">abcsupply.com</t>
  </si>
  <si>
    <t xml:space="preserve">Largest roofing distributor; Hendricks family</t>
  </si>
  <si>
    <t xml:space="preserve">Breakthru Beverage Group</t>
  </si>
  <si>
    <t xml:space="preserve">wine &amp; spirits/beer distribution</t>
  </si>
  <si>
    <t xml:space="preserve">breakthrubev.com</t>
  </si>
  <si>
    <t xml:space="preserve">Tom Bene</t>
  </si>
  <si>
    <t xml:space="preserve">BreakthruNOW digital and data platforms</t>
  </si>
  <si>
    <t xml:space="preserve">Fastenal</t>
  </si>
  <si>
    <t xml:space="preserve">MRO/fasteners</t>
  </si>
  <si>
    <t xml:space="preserve">Winona</t>
  </si>
  <si>
    <t xml:space="preserve">fastenal.com</t>
  </si>
  <si>
    <t xml:space="preserve">CIO; VP Digital; VP Operations</t>
  </si>
  <si>
    <t xml:space="preserve">FMI vending/bin-stock analytics and digital footprint push</t>
  </si>
  <si>
    <t xml:space="preserve">Rank 4 ID Big 50 2025</t>
  </si>
  <si>
    <t xml:space="preserve">Genuine Parts Company</t>
  </si>
  <si>
    <t xml:space="preserve">auto parts (NAPA) &amp; industrial (Motion)</t>
  </si>
  <si>
    <t xml:space="preserve">genpt.com</t>
  </si>
  <si>
    <t xml:space="preserve">Will Stengel</t>
  </si>
  <si>
    <t xml:space="preserve">CIO; Chief Digital Officer; SVP Supply Chain</t>
  </si>
  <si>
    <t xml:space="preserve">Gen-AI partnership with Google Cloud; NAPA digital</t>
  </si>
  <si>
    <t xml:space="preserve">Graybar Electric</t>
  </si>
  <si>
    <t xml:space="preserve">electrical/comm/data</t>
  </si>
  <si>
    <t xml:space="preserve">graybar.com</t>
  </si>
  <si>
    <t xml:space="preserve">Kathleen Mazzarella</t>
  </si>
  <si>
    <t xml:space="preserve">CIO; VP Operations; VP Supply Chain</t>
  </si>
  <si>
    <t xml:space="preserve">SAP modernization and digital investments</t>
  </si>
  <si>
    <t xml:space="preserve">EW Top 100; employee-owned</t>
  </si>
  <si>
    <t xml:space="preserve">Henry Schein</t>
  </si>
  <si>
    <t xml:space="preserve">dental/medical supply</t>
  </si>
  <si>
    <t xml:space="preserve">henryschein.com</t>
  </si>
  <si>
    <t xml:space="preserve">Stanley Bergman</t>
  </si>
  <si>
    <t xml:space="preserve">CIO; COO; President Distribution</t>
  </si>
  <si>
    <t xml:space="preserve">Henry Schein One AI dental software; KKR investment 2025</t>
  </si>
  <si>
    <t xml:space="preserve">Imperial Dade</t>
  </si>
  <si>
    <t xml:space="preserve">foodservice disposables/JanSan</t>
  </si>
  <si>
    <t xml:space="preserve">Jersey City</t>
  </si>
  <si>
    <t xml:space="preserve">imperialdade.com</t>
  </si>
  <si>
    <t xml:space="preserve">Bain Capital; Advent International</t>
  </si>
  <si>
    <t xml:space="preserve">Jason Tillis</t>
  </si>
  <si>
    <t xml:space="preserve">Revenue estimate; 90+ acquisitions</t>
  </si>
  <si>
    <t xml:space="preserve">Patterson Companies</t>
  </si>
  <si>
    <t xml:space="preserve">dental/animal health supply</t>
  </si>
  <si>
    <t xml:space="preserve">pattersoncompanies.com</t>
  </si>
  <si>
    <t xml:space="preserve">Patient Square Capital</t>
  </si>
  <si>
    <t xml:space="preserve">Don Zurbay</t>
  </si>
  <si>
    <t xml:space="preserve">CIO; COO; President Dental</t>
  </si>
  <si>
    <t xml:space="preserve">Taken private April 2025</t>
  </si>
  <si>
    <t xml:space="preserve">Reyes Beverage Group</t>
  </si>
  <si>
    <t xml:space="preserve">Rosemont</t>
  </si>
  <si>
    <t xml:space="preserve">reyesbeveragegroup.com</t>
  </si>
  <si>
    <t xml:space="preserve">Route optimization and analytics investments</t>
  </si>
  <si>
    <t xml:space="preserve">Reyes Holdings unit; revenue estimate</t>
  </si>
  <si>
    <t xml:space="preserve">Sysco</t>
  </si>
  <si>
    <t xml:space="preserve">sysco.com</t>
  </si>
  <si>
    <t xml:space="preserve">Kevin Hourican</t>
  </si>
  <si>
    <t xml:space="preserve">AI-powered Sysco Shop personalization and routing</t>
  </si>
  <si>
    <t xml:space="preserve">Largest foodservice distributor</t>
  </si>
  <si>
    <t xml:space="preserve">US Foods</t>
  </si>
  <si>
    <t xml:space="preserve">usfoods.com</t>
  </si>
  <si>
    <t xml:space="preserve">Dave Flitman</t>
  </si>
  <si>
    <t xml:space="preserve">MOXe ordering platform with AI features</t>
  </si>
  <si>
    <t xml:space="preserve">US LBM Holdings</t>
  </si>
  <si>
    <t xml:space="preserve">lumber/building materials</t>
  </si>
  <si>
    <t xml:space="preserve">uslbm.com</t>
  </si>
  <si>
    <t xml:space="preserve">L.T. Gibson</t>
  </si>
  <si>
    <t xml:space="preserve">Digital and data platform investments</t>
  </si>
  <si>
    <t xml:space="preserve">Univar Solutions</t>
  </si>
  <si>
    <t xml:space="preserve">univarsolutions.com</t>
  </si>
  <si>
    <t xml:space="preserve">David Jukes</t>
  </si>
  <si>
    <t xml:space="preserve">Digital commerce and AI-enabled supply chain</t>
  </si>
  <si>
    <t xml:space="preserve">Taken private 2023</t>
  </si>
  <si>
    <t xml:space="preserve">W.W. Grainger</t>
  </si>
  <si>
    <t xml:space="preserve">MRO/industrial</t>
  </si>
  <si>
    <t xml:space="preserve">grainger.com</t>
  </si>
  <si>
    <t xml:space="preserve">D.G. Macpherson</t>
  </si>
  <si>
    <t xml:space="preserve">CIO; SVP Digital; VP Supply Chain</t>
  </si>
  <si>
    <t xml:space="preserve">Gen-AI product search and Grainger Technology Group AI hiring</t>
  </si>
  <si>
    <t xml:space="preserve">Rank 1 ID Big 50 2025; anchor account</t>
  </si>
  <si>
    <t xml:space="preserve">Watsco</t>
  </si>
  <si>
    <t xml:space="preserve">watsco.com</t>
  </si>
  <si>
    <t xml:space="preserve">CIO; Chief Technology Officer; VP Operations</t>
  </si>
  <si>
    <t xml:space="preserve">Heavy tech investment (OnCall Air; AI-driven ordering)</t>
  </si>
  <si>
    <t xml:space="preserve">Largest HVACR distributor</t>
  </si>
  <si>
    <t xml:space="preserve">Winsupply</t>
  </si>
  <si>
    <t xml:space="preserve">winsupplyinc.com</t>
  </si>
  <si>
    <t xml:space="preserve">Rank 3 ID Big 50; local-ownership model</t>
  </si>
  <si>
    <t xml:space="preserve">Aramark</t>
  </si>
  <si>
    <t xml:space="preserve">aramark.com</t>
  </si>
  <si>
    <t xml:space="preserve">John Zillmer</t>
  </si>
  <si>
    <t xml:space="preserve">AI-enabled procurement and workforce tools cited in investor materials</t>
  </si>
  <si>
    <t xml:space="preserve">FY2024 revenue ~$17.4B</t>
  </si>
  <si>
    <t xml:space="preserve">https://www.aramark.com</t>
  </si>
  <si>
    <t xml:space="preserve">Taylor Farms</t>
  </si>
  <si>
    <t xml:space="preserve">fresh-cut produce processor</t>
  </si>
  <si>
    <t xml:space="preserve">Salinas</t>
  </si>
  <si>
    <t xml:space="preserve">taylorfarms.com</t>
  </si>
  <si>
    <t xml:space="preserve">Bruce Taylor</t>
  </si>
  <si>
    <t xml:space="preserve">Automation and robotics investments in processing plants</t>
  </si>
  <si>
    <t xml:space="preserve">Largest US salad processor; band is estimate</t>
  </si>
  <si>
    <t xml:space="preserve">https://www.taylorfarms.com</t>
  </si>
  <si>
    <t xml:space="preserve">CACI International</t>
  </si>
  <si>
    <t xml:space="preserve">Government IT services</t>
  </si>
  <si>
    <t xml:space="preserve">caci.com</t>
  </si>
  <si>
    <t xml:space="preserve">John Mengucci</t>
  </si>
  <si>
    <t xml:space="preserve">CIO; CTO; SVP Enterprise IT; COO</t>
  </si>
  <si>
    <t xml:space="preserve">AI-enabled mission and enterprise IT</t>
  </si>
  <si>
    <t xml:space="preserve">NYSE: CACI</t>
  </si>
  <si>
    <t xml:space="preserve">https://investor.caci.com</t>
  </si>
  <si>
    <t xml:space="preserve">CDW</t>
  </si>
  <si>
    <t xml:space="preserve">cdw.com</t>
  </si>
  <si>
    <t xml:space="preserve">Christine Leahy</t>
  </si>
  <si>
    <t xml:space="preserve">CIO; CTO; VP Infrastructure; VP Digital Velocity</t>
  </si>
  <si>
    <t xml:space="preserve">Acquired Mission Cloud; AI services and Copilot programs</t>
  </si>
  <si>
    <t xml:space="preserve">NASDAQ: CDW</t>
  </si>
  <si>
    <t xml:space="preserve">https://investor.cdw.com</t>
  </si>
  <si>
    <t xml:space="preserve">Carahsoft Technology</t>
  </si>
  <si>
    <t xml:space="preserve">Public sector IT distributor / VAR</t>
  </si>
  <si>
    <t xml:space="preserve">carahsoft.com</t>
  </si>
  <si>
    <t xml:space="preserve">Craig Abod</t>
  </si>
  <si>
    <t xml:space="preserve">CIO; CTO; VP Sales Operations; COO</t>
  </si>
  <si>
    <t xml:space="preserve">Leading government AI software aggregator</t>
  </si>
  <si>
    <t xml:space="preserve">Federal/SLED master aggregator</t>
  </si>
  <si>
    <t xml:space="preserve">https://www.carahsoft.com</t>
  </si>
  <si>
    <t xml:space="preserve">Cognizant</t>
  </si>
  <si>
    <t xml:space="preserve">IT services / digital engineering</t>
  </si>
  <si>
    <t xml:space="preserve">cognizant.com</t>
  </si>
  <si>
    <t xml:space="preserve">Ravi Kumar S</t>
  </si>
  <si>
    <t xml:space="preserve">CIO; COO; Chief Digital Officer; CTO</t>
  </si>
  <si>
    <t xml:space="preserve">Neuro AI platform; agentic AI investments; US-HQ</t>
  </si>
  <si>
    <t xml:space="preserve">NASDAQ: CTSH</t>
  </si>
  <si>
    <t xml:space="preserve">https://investors.cognizant.com</t>
  </si>
  <si>
    <t xml:space="preserve">DXC Technology</t>
  </si>
  <si>
    <t xml:space="preserve">IT services / outsourcing</t>
  </si>
  <si>
    <t xml:space="preserve">Ashburn</t>
  </si>
  <si>
    <t xml:space="preserve">dxc.com</t>
  </si>
  <si>
    <t xml:space="preserve">Raul Fernandez</t>
  </si>
  <si>
    <t xml:space="preserve">CIO; COO; SVP Consulting and Engineering; CTO</t>
  </si>
  <si>
    <t xml:space="preserve">AI Impact division; GenAI engineering services</t>
  </si>
  <si>
    <t xml:space="preserve">NYSE: DXC</t>
  </si>
  <si>
    <t xml:space="preserve">https://investors.dxc.com</t>
  </si>
  <si>
    <t xml:space="preserve">Insight Enterprises</t>
  </si>
  <si>
    <t xml:space="preserve">insight.com</t>
  </si>
  <si>
    <t xml:space="preserve">Joyce Mullen</t>
  </si>
  <si>
    <t xml:space="preserve">Insight Lens for GenAI; #20 on 2025 SP500</t>
  </si>
  <si>
    <t xml:space="preserve">NASDAQ: NSIT</t>
  </si>
  <si>
    <t xml:space="preserve">https://www.insight.com/en_US/content-and-resources/announcements/insight-ranks-number-20-on-crns-2025-solution-provider-500-list.html</t>
  </si>
  <si>
    <t xml:space="preserve">Kyndryl</t>
  </si>
  <si>
    <t xml:space="preserve">IT infrastructure services</t>
  </si>
  <si>
    <t xml:space="preserve">kyndryl.com</t>
  </si>
  <si>
    <t xml:space="preserve">Martin Schroeter</t>
  </si>
  <si>
    <t xml:space="preserve">CIO; COO; SVP Consult; CTO</t>
  </si>
  <si>
    <t xml:space="preserve">Kyndryl Bridge AI-enabled operations platform; agentic AI services</t>
  </si>
  <si>
    <t xml:space="preserve">NYSE: KD; IBM spin-off</t>
  </si>
  <si>
    <t xml:space="preserve">https://investors.kyndryl.com</t>
  </si>
  <si>
    <t xml:space="preserve">Peraton</t>
  </si>
  <si>
    <t xml:space="preserve">peraton.com</t>
  </si>
  <si>
    <t xml:space="preserve">Veritas Capital</t>
  </si>
  <si>
    <t xml:space="preserve">Steve Schorer</t>
  </si>
  <si>
    <t xml:space="preserve">CIO; CTO; SVP Digital Transformation; COO</t>
  </si>
  <si>
    <t xml:space="preserve">AI and mission IT modernization for federal agencies</t>
  </si>
  <si>
    <t xml:space="preserve">Merged Perspecta and Northrop IT</t>
  </si>
  <si>
    <t xml:space="preserve">https://www.peraton.com</t>
  </si>
  <si>
    <t xml:space="preserve">Presidio</t>
  </si>
  <si>
    <t xml:space="preserve">presidio.com</t>
  </si>
  <si>
    <t xml:space="preserve">Bob Cagnazzi</t>
  </si>
  <si>
    <t xml:space="preserve">AI advisory and infrastructure practice; CD&amp;R acquisition 2024</t>
  </si>
  <si>
    <t xml:space="preserve">Formerly BC Partners</t>
  </si>
  <si>
    <t xml:space="preserve">https://www.presidio.com</t>
  </si>
  <si>
    <t xml:space="preserve">SAIC</t>
  </si>
  <si>
    <t xml:space="preserve">saic.com</t>
  </si>
  <si>
    <t xml:space="preserve">Toni Townes-Whitley</t>
  </si>
  <si>
    <t xml:space="preserve">CIO; CTO; SVP Digital; COO</t>
  </si>
  <si>
    <t xml:space="preserve">Tenjin AI and mission AI/ML programs</t>
  </si>
  <si>
    <t xml:space="preserve">NASDAQ: SAIC</t>
  </si>
  <si>
    <t xml:space="preserve">https://investors.saic.com</t>
  </si>
  <si>
    <t xml:space="preserve">SHI International</t>
  </si>
  <si>
    <t xml:space="preserve">Somerset</t>
  </si>
  <si>
    <t xml:space="preserve">shi.com</t>
  </si>
  <si>
    <t xml:space="preserve">Thai Lee</t>
  </si>
  <si>
    <t xml:space="preserve">AI and Cyber Labs; Stratascale advisory arm</t>
  </si>
  <si>
    <t xml:space="preserve">Largest minority- and woman-owned US business</t>
  </si>
  <si>
    <t xml:space="preserve">https://www.shi.com</t>
  </si>
  <si>
    <t xml:space="preserve">TEKsystems</t>
  </si>
  <si>
    <t xml:space="preserve">IT staffing / services</t>
  </si>
  <si>
    <t xml:space="preserve">teksystems.com</t>
  </si>
  <si>
    <t xml:space="preserve">Ranjini Poddar</t>
  </si>
  <si>
    <t xml:space="preserve">CIO; COO; VP Delivery; VP Talent Solutions</t>
  </si>
  <si>
    <t xml:space="preserve">TEKsystems Global Services AI and data practice</t>
  </si>
  <si>
    <t xml:space="preserve">Allegis Group subsidiary</t>
  </si>
  <si>
    <t xml:space="preserve">https://www.teksystems.com</t>
  </si>
  <si>
    <t xml:space="preserve">World Wide Technology</t>
  </si>
  <si>
    <t xml:space="preserve">wwt.com</t>
  </si>
  <si>
    <t xml:space="preserve">Jim Kavanaugh</t>
  </si>
  <si>
    <t xml:space="preserve">CIO; CTO; VP Infrastructure; Chief Digital Officer</t>
  </si>
  <si>
    <t xml:space="preserve">AI Proving Ground lab; large NVIDIA/AI infrastructure practice</t>
  </si>
  <si>
    <t xml:space="preserve">Largest private US solution provider</t>
  </si>
  <si>
    <t xml:space="preserve">https://www.wwt.com</t>
  </si>
  <si>
    <t xml:space="preserve">Cornerstone Building Brands</t>
  </si>
  <si>
    <t xml:space="preserve">exterior building products</t>
  </si>
  <si>
    <t xml:space="preserve">Cary</t>
  </si>
  <si>
    <t xml:space="preserve">cornerstonebuildingbrands.com</t>
  </si>
  <si>
    <t xml:space="preserve">Rose Lee</t>
  </si>
  <si>
    <t xml:space="preserve">Large PE-backed anchor account</t>
  </si>
  <si>
    <t xml:space="preserve">https://www.cornerstonebuildingbrands.com/</t>
  </si>
  <si>
    <t xml:space="preserve">Flex-N-Gate</t>
  </si>
  <si>
    <t xml:space="preserve">automotive exterior &amp; lighting supplier</t>
  </si>
  <si>
    <t xml:space="preserve">Urbana</t>
  </si>
  <si>
    <t xml:space="preserve">flex-n-gate.com</t>
  </si>
  <si>
    <t xml:space="preserve">Shahid Khan</t>
  </si>
  <si>
    <t xml:space="preserve">Large private anchor account</t>
  </si>
  <si>
    <t xml:space="preserve">https://en.wikipedia.org/wiki/Flex-N-Gate</t>
  </si>
  <si>
    <t xml:space="preserve">Kohler Co</t>
  </si>
  <si>
    <t xml:space="preserve">plumbing &amp; kitchen/bath products</t>
  </si>
  <si>
    <t xml:space="preserve">Kohler</t>
  </si>
  <si>
    <t xml:space="preserve">kohler.com</t>
  </si>
  <si>
    <t xml:space="preserve">David Kohler</t>
  </si>
  <si>
    <t xml:space="preserve">COO; CIO; VP Digital; VP Operations</t>
  </si>
  <si>
    <t xml:space="preserve">Kohler Ventures and smart home connected products</t>
  </si>
  <si>
    <t xml:space="preserve">Deloitte Wisconsin 75 (2025) rank 4 listed via SC Johnson list; large anchor account</t>
  </si>
  <si>
    <t xml:space="preserve">Medline Industries</t>
  </si>
  <si>
    <t xml:space="preserve">medical supplies manufacturer &amp; distributor</t>
  </si>
  <si>
    <t xml:space="preserve">Northfield</t>
  </si>
  <si>
    <t xml:space="preserve">medline.com</t>
  </si>
  <si>
    <t xml:space="preserve">Jim Boyle</t>
  </si>
  <si>
    <t xml:space="preserve">AI in supply chain forecasting and clinical analytics</t>
  </si>
  <si>
    <t xml:space="preserve">Blackstone/Carlyle/Hellman &amp; Friedman consortium; IPO filed</t>
  </si>
  <si>
    <t xml:space="preserve">https://en.wikipedia.org/wiki/Medline_Industries</t>
  </si>
  <si>
    <t xml:space="preserve">Novolex</t>
  </si>
  <si>
    <t xml:space="preserve">packaging &amp; foodservice products</t>
  </si>
  <si>
    <t xml:space="preserve">novolex.com</t>
  </si>
  <si>
    <t xml:space="preserve">Stan Bikulege</t>
  </si>
  <si>
    <t xml:space="preserve">Combined with Pactiv Evergreen in 2025</t>
  </si>
  <si>
    <t xml:space="preserve">https://www.novolex.com/</t>
  </si>
  <si>
    <t xml:space="preserve">OSI Group</t>
  </si>
  <si>
    <t xml:space="preserve">meat &amp; protein processing</t>
  </si>
  <si>
    <t xml:space="preserve">Aurora</t>
  </si>
  <si>
    <t xml:space="preserve">osigroup.com</t>
  </si>
  <si>
    <t xml:space="preserve">https://en.wikipedia.org/wiki/OSI_Group</t>
  </si>
  <si>
    <t xml:space="preserve">Schreiber Foods</t>
  </si>
  <si>
    <t xml:space="preserve">dairy contract manufacturer</t>
  </si>
  <si>
    <t xml:space="preserve">schreiberfoods.com</t>
  </si>
  <si>
    <t xml:space="preserve">Ron Dunford</t>
  </si>
  <si>
    <t xml:space="preserve">Deloitte Wisconsin 75 (2025) rank 9</t>
  </si>
  <si>
    <t xml:space="preserve">Omnicom Group</t>
  </si>
  <si>
    <t xml:space="preserve">omnicomgroup.com</t>
  </si>
  <si>
    <t xml:space="preserve">John Wren</t>
  </si>
  <si>
    <t xml:space="preserve">CIO; Chief AI Officer; COO; Chief Digital Officer</t>
  </si>
  <si>
    <t xml:space="preserve">Omni AI platform; completed IPG acquisition 2025</t>
  </si>
  <si>
    <t xml:space="preserve">NYSE: OMC; largest US-headquartered agency company</t>
  </si>
  <si>
    <t xml:space="preserve">https://adage.com/datacenter/aa-agency-report-2025-biggest-agency-companies/</t>
  </si>
  <si>
    <t xml:space="preserve">Aya Healthcare</t>
  </si>
  <si>
    <t xml:space="preserve">ayahealthcare.com</t>
  </si>
  <si>
    <t xml:space="preserve">Alan Braynin</t>
  </si>
  <si>
    <t xml:space="preserve">Technology-first marketplace; AI matching</t>
  </si>
  <si>
    <t xml:space="preserve">SIA 2026 rank 2</t>
  </si>
  <si>
    <t xml:space="preserve">Burns &amp; McDonnell</t>
  </si>
  <si>
    <t xml:space="preserve">burnsmcd.com</t>
  </si>
  <si>
    <t xml:space="preserve">Leslie Duke</t>
  </si>
  <si>
    <t xml:space="preserve">COO; CIO; VP Engineering Technology</t>
  </si>
  <si>
    <t xml:space="preserve">AI and data center design practice; digital twin work</t>
  </si>
  <si>
    <t xml:space="preserve">ENR 2026 Top 500 rank 7; EC revenue included in total</t>
  </si>
  <si>
    <t xml:space="preserve">CBRE Group</t>
  </si>
  <si>
    <t xml:space="preserve">cbre.com</t>
  </si>
  <si>
    <t xml:space="preserve">Bob Sulentic</t>
  </si>
  <si>
    <t xml:space="preserve">COO; CIO; Chief Digital &amp; Technology Officer</t>
  </si>
  <si>
    <t xml:space="preserve">Ellis AI assistant and AI investments across services</t>
  </si>
  <si>
    <t xml:space="preserve">NYSE CBRE; 2024 revenue about $35.8B</t>
  </si>
  <si>
    <t xml:space="preserve">Compass Inc.</t>
  </si>
  <si>
    <t xml:space="preserve">compass.com</t>
  </si>
  <si>
    <t xml:space="preserve">Robert Reffkin</t>
  </si>
  <si>
    <t xml:space="preserve">Compass AI tools for agents; Anywhere merger pending</t>
  </si>
  <si>
    <t xml:space="preserve">NYSE COMP; 2024 revenue about $5.63B</t>
  </si>
  <si>
    <t xml:space="preserve">https://www.compass.com</t>
  </si>
  <si>
    <t xml:space="preserve">Cushman &amp; Wakefield</t>
  </si>
  <si>
    <t xml:space="preserve">cushmanwakefield.com</t>
  </si>
  <si>
    <t xml:space="preserve">Michelle MacKay</t>
  </si>
  <si>
    <t xml:space="preserve">AI-enabled property and facilities management tools</t>
  </si>
  <si>
    <t xml:space="preserve">NYSE CWK; 2024 revenue about $9.4B</t>
  </si>
  <si>
    <t xml:space="preserve">Insperity</t>
  </si>
  <si>
    <t xml:space="preserve">Kingwood</t>
  </si>
  <si>
    <t xml:space="preserve">insperity.com</t>
  </si>
  <si>
    <t xml:space="preserve">Paul Sarvadi</t>
  </si>
  <si>
    <t xml:space="preserve">Workday strategic partnership; AI in HR services</t>
  </si>
  <si>
    <t xml:space="preserve">NYSE NSP; LTM revenue $6.6B (gross PEO)</t>
  </si>
  <si>
    <t xml:space="preserve">JLL</t>
  </si>
  <si>
    <t xml:space="preserve">jll.com</t>
  </si>
  <si>
    <t xml:space="preserve">Christian Ulbrich</t>
  </si>
  <si>
    <t xml:space="preserve">JLL GPT and JLL Technologies AI portfolio</t>
  </si>
  <si>
    <t xml:space="preserve">NYSE JLL; 2024 revenue about $23.4B</t>
  </si>
  <si>
    <t xml:space="preserve">Robert Half</t>
  </si>
  <si>
    <t xml:space="preserve">roberthalf.com</t>
  </si>
  <si>
    <t xml:space="preserve">M. Keith Waddell</t>
  </si>
  <si>
    <t xml:space="preserve">AI-powered candidate matching; Protiviti AI practice</t>
  </si>
  <si>
    <t xml:space="preserve">NYSE RHI; global revenue ~$5.8B 2024</t>
  </si>
  <si>
    <t xml:space="preserve">Fanatics</t>
  </si>
  <si>
    <t xml:space="preserve">licensed sports merchandise ecommerce</t>
  </si>
  <si>
    <t xml:space="preserve">fanatics.com</t>
  </si>
  <si>
    <t xml:space="preserve">Michael Rubin</t>
  </si>
  <si>
    <t xml:space="preserve">CTO; COO; VP Data; VP Ecommerce</t>
  </si>
  <si>
    <t xml:space="preserve">Heavy AI and data investments across commerce and collectibles</t>
  </si>
  <si>
    <t xml:space="preserve">Larger name; SoftBank/Silver Lake backed</t>
  </si>
  <si>
    <t xml:space="preserve">https://fanatics.com</t>
  </si>
  <si>
    <t xml:space="preserve">New Balance</t>
  </si>
  <si>
    <t xml:space="preserve">athletic footwear and apparel brand</t>
  </si>
  <si>
    <t xml:space="preserve">newbalance.com</t>
  </si>
  <si>
    <t xml:space="preserve">Joe Preston</t>
  </si>
  <si>
    <t xml:space="preserve">Larger name; family (Davis) owned</t>
  </si>
  <si>
    <t xml:space="preserve">https://en.wikipedia.org/wiki/New_Balance</t>
  </si>
  <si>
    <t xml:space="preserve">Total Wine &amp; More</t>
  </si>
  <si>
    <t xml:space="preserve">beverage alcohol specialty retailer</t>
  </si>
  <si>
    <t xml:space="preserve">totalwine.com</t>
  </si>
  <si>
    <t xml:space="preserve">David Trone; Robert Trone</t>
  </si>
  <si>
    <t xml:space="preserve">Larger name; ~270 stores</t>
  </si>
  <si>
    <t xml:space="preserve">https://en.wikipedia.org/wiki/Total_Wine_%26_More</t>
  </si>
  <si>
    <t xml:space="preserve">Toast</t>
  </si>
  <si>
    <t xml:space="preserve">restaurant POS &amp; software</t>
  </si>
  <si>
    <t xml:space="preserve">toasttab.com</t>
  </si>
  <si>
    <t xml:space="preserve">Aman Narang</t>
  </si>
  <si>
    <t xml:space="preserve">ToastIQ AI</t>
  </si>
  <si>
    <t xml:space="preserve">NYSE: TOST; revenue mostly fintech GPV</t>
  </si>
  <si>
    <t xml:space="preserve">https://investors.toasttab.com</t>
  </si>
  <si>
    <t xml:space="preserve">Beon</t>
  </si>
  <si>
    <t xml:space="preserve">beonlogistics.com</t>
  </si>
  <si>
    <t xml:space="preserve">Ken Beyer</t>
  </si>
  <si>
    <t xml:space="preserve">TT 2026 Logistics No. 15; Transportation Insight + Nolan Transportation Group</t>
  </si>
  <si>
    <t xml:space="preserve">C.H. Robinson</t>
  </si>
  <si>
    <t xml:space="preserve">freight brokerage / 3PL</t>
  </si>
  <si>
    <t xml:space="preserve">chrobinson.com</t>
  </si>
  <si>
    <t xml:space="preserve">Dave Bozeman</t>
  </si>
  <si>
    <t xml:space="preserve">Generative AI agents automating quoting and order entry at scale</t>
  </si>
  <si>
    <t xml:space="preserve">TT 2026 Logistics No. 2</t>
  </si>
  <si>
    <t xml:space="preserve">Estes Express Lines</t>
  </si>
  <si>
    <t xml:space="preserve">estes-express.com</t>
  </si>
  <si>
    <t xml:space="preserve">Rob Estes</t>
  </si>
  <si>
    <t xml:space="preserve">TT 2026 For-Hire No. 9; largest private LTL</t>
  </si>
  <si>
    <t xml:space="preserve">Expeditors International</t>
  </si>
  <si>
    <t xml:space="preserve">expeditors.com</t>
  </si>
  <si>
    <t xml:space="preserve">Daniel Wall</t>
  </si>
  <si>
    <t xml:space="preserve">TT 2026 Logistics No. 5</t>
  </si>
  <si>
    <t xml:space="preserve">GXO Logistics</t>
  </si>
  <si>
    <t xml:space="preserve">contract logistics 3PL</t>
  </si>
  <si>
    <t xml:space="preserve">Greenwich</t>
  </si>
  <si>
    <t xml:space="preserve">gxo.com</t>
  </si>
  <si>
    <t xml:space="preserve">Patrick Kelleher</t>
  </si>
  <si>
    <t xml:space="preserve">COO; CIO; VP Operations; VP Automation</t>
  </si>
  <si>
    <t xml:space="preserve">Warehouse robotics and humanoid pilots; AI-driven operations</t>
  </si>
  <si>
    <t xml:space="preserve">TT 2026 Logistics No. 3</t>
  </si>
  <si>
    <t xml:space="preserve">J.B. Hunt Transport Services</t>
  </si>
  <si>
    <t xml:space="preserve">intermodal / dedicated / brokerage</t>
  </si>
  <si>
    <t xml:space="preserve">Lowell</t>
  </si>
  <si>
    <t xml:space="preserve">jbhunt.com</t>
  </si>
  <si>
    <t xml:space="preserve">Shelley Simpson</t>
  </si>
  <si>
    <t xml:space="preserve">J.B. Hunt 360 platform; AI matching and pricing</t>
  </si>
  <si>
    <t xml:space="preserve">TT 2026 For-Hire No. 3 and Logistics No. 4</t>
  </si>
  <si>
    <t xml:space="preserve">Knight-Swift Transportation Holdings</t>
  </si>
  <si>
    <t xml:space="preserve">trucking carrier (truckload/LTL)</t>
  </si>
  <si>
    <t xml:space="preserve">knight-swift.com</t>
  </si>
  <si>
    <t xml:space="preserve">Adam Miller</t>
  </si>
  <si>
    <t xml:space="preserve">Autonomous trucking pilots and logistics tech investments</t>
  </si>
  <si>
    <t xml:space="preserve">TT 2026 For-Hire No. 8 and Logistics No. 31</t>
  </si>
  <si>
    <t xml:space="preserve">Lineage Inc.</t>
  </si>
  <si>
    <t xml:space="preserve">onelineage.com</t>
  </si>
  <si>
    <t xml:space="preserve">Greg Lehmkuhl</t>
  </si>
  <si>
    <t xml:space="preserve">LinOS proprietary AI warehouse execution system</t>
  </si>
  <si>
    <t xml:space="preserve">TT 2026 No. 1 refrigerated warehousing; IPO 2024</t>
  </si>
  <si>
    <t xml:space="preserve">https://www.ttnews.com/logistics/refrigerated/2026</t>
  </si>
  <si>
    <t xml:space="preserve">Old Dominion Freight Line</t>
  </si>
  <si>
    <t xml:space="preserve">Thomasville</t>
  </si>
  <si>
    <t xml:space="preserve">odfl.com</t>
  </si>
  <si>
    <t xml:space="preserve">Marty Freeman</t>
  </si>
  <si>
    <t xml:space="preserve">TT 2026 For-Hire No. 11</t>
  </si>
  <si>
    <t xml:space="preserve">RXO Inc.</t>
  </si>
  <si>
    <t xml:space="preserve">rxo.com</t>
  </si>
  <si>
    <t xml:space="preserve">Drew Wilkerson</t>
  </si>
  <si>
    <t xml:space="preserve">RXO Connect platform; AI pricing and matching; acquired Coyote 2024</t>
  </si>
  <si>
    <t xml:space="preserve">TT 2026 Logistics No. 11</t>
  </si>
  <si>
    <t xml:space="preserve">Ryder System</t>
  </si>
  <si>
    <t xml:space="preserve">fleet leasing / dedicated / supply chain 3PL</t>
  </si>
  <si>
    <t xml:space="preserve">ryder.com</t>
  </si>
  <si>
    <t xml:space="preserve">Robert Sanchez</t>
  </si>
  <si>
    <t xml:space="preserve">RyderShare visibility platform; 16% dedicated revenue growth (CCJ)</t>
  </si>
  <si>
    <t xml:space="preserve">TT 2026 For-Hire No. 7 and Logistics No. 8; No. 3 dry warehousing</t>
  </si>
  <si>
    <t xml:space="preserve">Schneider National</t>
  </si>
  <si>
    <t xml:space="preserve">trucking carrier / intermodal / logistics</t>
  </si>
  <si>
    <t xml:space="preserve">schneider.com</t>
  </si>
  <si>
    <t xml:space="preserve">Mark Rourke</t>
  </si>
  <si>
    <t xml:space="preserve">Public Q&amp;A on AI use across operations; acquired Cowan Systems 2024</t>
  </si>
  <si>
    <t xml:space="preserve">TT 2026 For-Hire No. 10 and Logistics No. 18</t>
  </si>
  <si>
    <t xml:space="preserve">https://www.truckinginfo.com/articles/qa-how-schneider-is-using-artificial-intelligence</t>
  </si>
  <si>
    <t xml:space="preserve">Total Quality Logistics</t>
  </si>
  <si>
    <t xml:space="preserve">tql.com</t>
  </si>
  <si>
    <t xml:space="preserve">Ken Oaks</t>
  </si>
  <si>
    <t xml:space="preserve">Large internal tech org; automation and pricing discipline cited by FreightCaviar</t>
  </si>
  <si>
    <t xml:space="preserve">TT 2026 Logistics No. 9; second-largest US broker</t>
  </si>
  <si>
    <t xml:space="preserve">Uber Freight</t>
  </si>
  <si>
    <t xml:space="preserve">digital freight brokerage / managed transportation</t>
  </si>
  <si>
    <t xml:space="preserve">uberfreight.com</t>
  </si>
  <si>
    <t xml:space="preserve">Lior Ron</t>
  </si>
  <si>
    <t xml:space="preserve">Insights AI and agentic tools for shippers</t>
  </si>
  <si>
    <t xml:space="preserve">TT 2026 Logistics No. 16; Uber subsidiary with Greenbriar minority stake</t>
  </si>
  <si>
    <t xml:space="preserve">WWEX Group</t>
  </si>
  <si>
    <t xml:space="preserve">freight brokerage / parcel reseller</t>
  </si>
  <si>
    <t xml:space="preserve">wwex.com</t>
  </si>
  <si>
    <t xml:space="preserve">CVC Capital Partners; Ridgemont Equity Partners</t>
  </si>
  <si>
    <t xml:space="preserve">Tom Madine</t>
  </si>
  <si>
    <t xml:space="preserve">TT 2026 Logistics No. 14; Worldwide Express + GlobalTranz + Unishippers</t>
  </si>
  <si>
    <t xml:space="preserve">Duplicate</t>
  </si>
  <si>
    <t xml:space="preserve">magna5global.com</t>
  </si>
  <si>
    <t xml:space="preserve">AEA Enterprise fund</t>
  </si>
  <si>
    <t xml:space="preserve">PE firm, not a portfolio company</t>
  </si>
  <si>
    <t xml:space="preserve">PE firm</t>
  </si>
  <si>
    <t xml:space="preserve">clearlake.com</t>
  </si>
  <si>
    <t xml:space="preserve">Jose E. Feliciano; Behdad Eghbali (Co-Founders)</t>
  </si>
  <si>
    <t xml:space="preserve">Operating Partner; Head of Portfolio Operations; Value Creation Partner</t>
  </si>
  <si>
    <t xml:space="preserve">O.P.S. value creation framework; large software portfolio (Quest; Precisely; Alteryx)</t>
  </si>
  <si>
    <t xml:space="preserve">$90B+ AUM; software/industrials/consumer</t>
  </si>
  <si>
    <t xml:space="preserve">thomabravo.com</t>
  </si>
  <si>
    <t xml:space="preserve">Orlando Bravo (Founder &amp; Managing Partner)</t>
  </si>
  <si>
    <t xml:space="preserve">Publicly stated AI adoption push across 80+ software portcos</t>
  </si>
  <si>
    <t xml:space="preserve">$160B+ AUM; Discover and Explore funds target mid-market software</t>
  </si>
  <si>
    <t xml:space="preserve">vistaequitypartners.com</t>
  </si>
  <si>
    <t xml:space="preserve">Robert F. Smith (Founder &amp; CEO)</t>
  </si>
  <si>
    <t xml:space="preserve">Vista Consulting Group runs firm-wide GenAI program across portfolio</t>
  </si>
  <si>
    <t xml:space="preserve">$100B+ AUM; Endeavor fund targets mid-market enterprise software</t>
  </si>
  <si>
    <t xml:space="preserve">gencap.com</t>
  </si>
  <si>
    <t xml:space="preserve">Ryan Clark (President &amp; Managing Director)</t>
  </si>
  <si>
    <t xml:space="preserve">Financial services and software heavy portfolio; Strategic Advisory Board model</t>
  </si>
  <si>
    <t xml:space="preserve">~$50B AUM; upper-mid-market; band = est. fee revenue</t>
  </si>
  <si>
    <t xml:space="preserve">aeainvestors.com</t>
  </si>
  <si>
    <t xml:space="preserve">John Garcia (Chairman &amp; CEO)</t>
  </si>
  <si>
    <t xml:space="preserve">Portfolio includes Trinamix and Huge (digital/AI services)</t>
  </si>
  <si>
    <t xml:space="preserve">~$19B AUM; Middle Market; Enterprise (small cap); Elevate strategies</t>
  </si>
  <si>
    <t xml:space="preserve">audaxprivateequity.com</t>
  </si>
  <si>
    <t xml:space="preserve">Geoffrey Rehnert; Marc Wolpow (Co-CEOs)</t>
  </si>
  <si>
    <t xml:space="preserve">Portfolio-wide value creation team and data/technology initiatives across 19 active platforms</t>
  </si>
  <si>
    <t xml:space="preserve">~$19B AUM; band = est. mgmt fee revenue; buy-and-build specialist</t>
  </si>
  <si>
    <t xml:space="preserve">riversidecompany.com</t>
  </si>
  <si>
    <t xml:space="preserve">Bela Szigethy; Stewart Kohl (Co-CEOs)</t>
  </si>
  <si>
    <t xml:space="preserve">Large operating team; 2026 investments in AI-adjacent software (AssetIntel; Workbench)</t>
  </si>
  <si>
    <t xml:space="preserve">~$14B AUM; 100+ portcos globally; Cleveland and New York HQs</t>
  </si>
  <si>
    <t xml:space="preserve">https://www.riversidecompany.com/</t>
  </si>
  <si>
    <t xml:space="preserve">gryphon-inv.com</t>
  </si>
  <si>
    <t xml:space="preserve">David Andrews (Founder &amp; CEO)</t>
  </si>
  <si>
    <t xml:space="preserve">Owns phData/3Cloud/Caylent; dedicated Data &amp; AI Services vertical</t>
  </si>
  <si>
    <t xml:space="preserve">~$9B AUM; band = est. mgmt fee revenue; GrowthCap Top PE Firm 2026</t>
  </si>
  <si>
    <t xml:space="preserve">hggc.com</t>
  </si>
  <si>
    <t xml:space="preserve">Rich Lawson (CEO)</t>
  </si>
  <si>
    <t xml:space="preserve">Heavy software/tech-enabled services portfolio (Fortra; Denodo; Idera)</t>
  </si>
  <si>
    <t xml:space="preserve">~$7B AUM; Advantaged Investing model</t>
  </si>
  <si>
    <t xml:space="preserve">harvestpartners.com</t>
  </si>
  <si>
    <t xml:space="preserve">Michael DeFlorio (Senior Managing Director)</t>
  </si>
  <si>
    <t xml:space="preserve">~$20B AUM; PE and Structured Capital strategies</t>
  </si>
  <si>
    <t xml:space="preserve">kelso.com</t>
  </si>
  <si>
    <t xml:space="preserve">Frank Loverro; Frank Bynum (Co-Managing Partners)</t>
  </si>
  <si>
    <t xml:space="preserve">~$15B AUM; sold Accession Risk Management to Brown &amp; Brown 2025</t>
  </si>
  <si>
    <t xml:space="preserve">Mount Kisco</t>
  </si>
  <si>
    <t xml:space="preserve">kohlberg.com</t>
  </si>
  <si>
    <t xml:space="preserve">Samuel Frieder (Managing Partner)</t>
  </si>
  <si>
    <t xml:space="preserve">Invested in Cuesta Partners (AI &amp; data advisory) March 2026</t>
  </si>
  <si>
    <t xml:space="preserve">~$15B AUM; sold ENTRUST to Leidos for $2.4B Jan 2026</t>
  </si>
  <si>
    <t xml:space="preserve">sentinelpartners.com</t>
  </si>
  <si>
    <t xml:space="preserve">David Lobel (Founder &amp; Managing Partner)</t>
  </si>
  <si>
    <t xml:space="preserve">~$11B AUM; acquired DecoPac July 2026</t>
  </si>
  <si>
    <t xml:space="preserve">shorecp.com</t>
  </si>
  <si>
    <t xml:space="preserve">Justin Ishbia (Founder &amp; Managing Partner)</t>
  </si>
  <si>
    <t xml:space="preserve">Shore Resource Team runs centralized data/tech playbooks across 60+ microcap platforms</t>
  </si>
  <si>
    <t xml:space="preserve">$14B+ AUM; 24 portcos on 2026 Inc. 5000</t>
  </si>
  <si>
    <t xml:space="preserve">https://www.shorecp.com/news/shore-capital-partners-closes-850-million-across-two-new-funds-bringing-assets-under-management-to-over-14-billion</t>
  </si>
  <si>
    <t xml:space="preserve">bluepointcapital.com</t>
  </si>
  <si>
    <t xml:space="preserve">Chip Chaikin (Partner)</t>
  </si>
  <si>
    <t xml:space="preserve">Data &amp; Digital value creation team</t>
  </si>
  <si>
    <t xml:space="preserve">~$2B AUM; lower middle market industrial/services</t>
  </si>
  <si>
    <t xml:space="preserve">https://www.bluepointcapital.com/portfolio</t>
  </si>
  <si>
    <t xml:space="preserve">New Canaan</t>
  </si>
  <si>
    <t xml:space="preserve">gridironcapital.com</t>
  </si>
  <si>
    <t xml:space="preserve">Tom Burger (Co-Founder &amp; Managing Partner)</t>
  </si>
  <si>
    <t xml:space="preserve">Leaf Home described as tech-enabled DTC platform; early-2026 promotions in ops team</t>
  </si>
  <si>
    <t xml:space="preserve">~$5B AUM; branded consumer and B2B services</t>
  </si>
  <si>
    <t xml:space="preserve">https://gridironcapital.com/gridiron-capital-announces-early-2026-promotions/</t>
  </si>
  <si>
    <t xml:space="preserve">Incline Equity Partners</t>
  </si>
  <si>
    <t xml:space="preserve">inclineequity.com</t>
  </si>
  <si>
    <t xml:space="preserve">Jack Glover (Managing Partner)</t>
  </si>
  <si>
    <t xml:space="preserve">~$4B AUM; lower middle market distribution/services</t>
  </si>
  <si>
    <t xml:space="preserve">https://www.inclineequity.com/portfolio</t>
  </si>
  <si>
    <t xml:space="preserve">llrpartners.com</t>
  </si>
  <si>
    <t xml:space="preserve">Mitchell Hollin (Partner)</t>
  </si>
  <si>
    <t xml:space="preserve">Value Creation Team; software and healthcare focus</t>
  </si>
  <si>
    <t xml:space="preserve">~$6B AUM; growth-oriented mid-market</t>
  </si>
  <si>
    <t xml:space="preserve">https://www.llrpartners.com/portfolio/</t>
  </si>
  <si>
    <t xml:space="preserve">suncappart.com</t>
  </si>
  <si>
    <t xml:space="preserve">Marc Leder; Rodger Krouse (Co-CEOs)</t>
  </si>
  <si>
    <t xml:space="preserve">~$8B AUM; operationally focused; 400+ investments historically</t>
  </si>
  <si>
    <t xml:space="preserve">https://www.suncappart.com/portfolio/</t>
  </si>
  <si>
    <t xml:space="preserve">trivest.com</t>
  </si>
  <si>
    <t xml:space="preserve">Troy Templeton (Managing Partner)</t>
  </si>
  <si>
    <t xml:space="preserve">~$6B AUM; founder-focused lower middle market; 80+ portcos</t>
  </si>
  <si>
    <t xml:space="preserve">wppartners.com</t>
  </si>
  <si>
    <t xml:space="preserve">Konrad Salaber (Managing Director)</t>
  </si>
  <si>
    <t xml:space="preserve">Executive Advisor Partner model; 28 active portcos</t>
  </si>
  <si>
    <t xml:space="preserve">~$6B AUM; consumer/industrial/business services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</si>
</sst>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22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B1220"/>
      <name val="Arial"/>
      <family val="0"/>
      <charset val="1"/>
    </font>
    <font>
      <b val="true"/>
      <sz val="10"/>
      <color rgb="FF0B12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220"/>
        <bgColor rgb="FF000000"/>
      </patternFill>
    </fill>
    <fill>
      <patternFill patternType="solid">
        <fgColor rgb="FFC6F135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122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F13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C6F13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2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4" t="n">
        <f aca="false">COUNTIF('Tier A - Reach out'!A:A,"A1")</f>
        <v>294</v>
      </c>
      <c r="D5" s="4" t="s">
        <v>8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n">
        <f aca="false">COUNTIF('Tier A - Reach out'!A:A,"A2")</f>
        <v>282</v>
      </c>
      <c r="D6" s="4" t="s">
        <v>11</v>
      </c>
    </row>
    <row r="7" customFormat="false" ht="15" hidden="false" customHeight="false" outlineLevel="0" collapsed="false">
      <c r="A7" s="4" t="s">
        <v>12</v>
      </c>
      <c r="B7" s="4" t="s">
        <v>13</v>
      </c>
      <c r="C7" s="4" t="n">
        <f aca="false">COUNTA('Tier B - Needs signal'!A:A)-1</f>
        <v>764</v>
      </c>
      <c r="D7" s="4" t="s">
        <v>14</v>
      </c>
    </row>
    <row r="8" customFormat="false" ht="15" hidden="false" customHeight="false" outlineLevel="0" collapsed="false">
      <c r="A8" s="4" t="s">
        <v>15</v>
      </c>
      <c r="B8" s="4" t="s">
        <v>16</v>
      </c>
      <c r="C8" s="4" t="n">
        <f aca="false">COUNTA('Tier C - 1-5B stretch'!A:A)-1</f>
        <v>223</v>
      </c>
      <c r="D8" s="4" t="s">
        <v>17</v>
      </c>
    </row>
    <row r="9" customFormat="false" ht="15" hidden="false" customHeight="false" outlineLevel="0" collapsed="false">
      <c r="A9" s="4" t="s">
        <v>18</v>
      </c>
      <c r="B9" s="4" t="s">
        <v>19</v>
      </c>
      <c r="C9" s="4" t="n">
        <f aca="false">COUNTA(Removed!A:A)-1</f>
        <v>296</v>
      </c>
      <c r="D9" s="4" t="s">
        <v>20</v>
      </c>
    </row>
    <row r="10" customFormat="false" ht="15" hidden="false" customHeight="false" outlineLevel="0" collapsed="false">
      <c r="A10" s="5" t="s">
        <v>21</v>
      </c>
      <c r="B10" s="4"/>
      <c r="C10" s="5" t="n">
        <f aca="false">C5+C6+C7+C8+C9</f>
        <v>1859</v>
      </c>
      <c r="D10" s="4"/>
    </row>
    <row r="12" customFormat="false" ht="15" hidden="false" customHeight="false" outlineLevel="0" collapsed="false">
      <c r="A12" s="6" t="s">
        <v>22</v>
      </c>
    </row>
    <row r="14" customFormat="false" ht="15" hidden="false" customHeight="false" outlineLevel="0" collapsed="false">
      <c r="A14" s="7" t="s">
        <v>23</v>
      </c>
      <c r="C14" s="7" t="n">
        <f aca="false">COUNTIF('Tier A - Reach out'!C:C,A14)</f>
        <v>58</v>
      </c>
    </row>
    <row r="15" customFormat="false" ht="15" hidden="false" customHeight="false" outlineLevel="0" collapsed="false">
      <c r="A15" s="7" t="s">
        <v>24</v>
      </c>
      <c r="C15" s="7" t="n">
        <f aca="false">COUNTIF('Tier A - Reach out'!C:C,A15)</f>
        <v>35</v>
      </c>
    </row>
    <row r="16" customFormat="false" ht="15" hidden="false" customHeight="false" outlineLevel="0" collapsed="false">
      <c r="A16" s="7" t="s">
        <v>25</v>
      </c>
      <c r="C16" s="7" t="n">
        <f aca="false">COUNTIF('Tier A - Reach out'!C:C,A16)</f>
        <v>41</v>
      </c>
    </row>
    <row r="17" customFormat="false" ht="15" hidden="false" customHeight="false" outlineLevel="0" collapsed="false">
      <c r="A17" s="7" t="s">
        <v>26</v>
      </c>
      <c r="C17" s="7" t="n">
        <f aca="false">COUNTIF('Tier A - Reach out'!C:C,A17)</f>
        <v>3</v>
      </c>
    </row>
    <row r="18" customFormat="false" ht="15" hidden="false" customHeight="false" outlineLevel="0" collapsed="false">
      <c r="A18" s="7" t="s">
        <v>27</v>
      </c>
      <c r="C18" s="7" t="n">
        <f aca="false">COUNTIF('Tier A - Reach out'!C:C,A18)</f>
        <v>2</v>
      </c>
    </row>
    <row r="19" customFormat="false" ht="15" hidden="false" customHeight="false" outlineLevel="0" collapsed="false">
      <c r="A19" s="7" t="s">
        <v>28</v>
      </c>
      <c r="C19" s="7" t="n">
        <f aca="false">COUNTIF('Tier A - Reach out'!C:C,A19)</f>
        <v>71</v>
      </c>
    </row>
    <row r="20" customFormat="false" ht="15" hidden="false" customHeight="false" outlineLevel="0" collapsed="false">
      <c r="A20" s="7" t="s">
        <v>29</v>
      </c>
      <c r="C20" s="7" t="n">
        <f aca="false">COUNTIF('Tier A - Reach out'!C:C,A20)</f>
        <v>57</v>
      </c>
    </row>
    <row r="21" customFormat="false" ht="15" hidden="false" customHeight="false" outlineLevel="0" collapsed="false">
      <c r="A21" s="7" t="s">
        <v>30</v>
      </c>
      <c r="C21" s="7" t="n">
        <f aca="false">COUNTIF('Tier A - Reach out'!C:C,A21)</f>
        <v>6</v>
      </c>
    </row>
    <row r="22" customFormat="false" ht="15" hidden="false" customHeight="false" outlineLevel="0" collapsed="false">
      <c r="A22" s="7" t="s">
        <v>31</v>
      </c>
      <c r="C22" s="7" t="n">
        <f aca="false">COUNTIF('Tier A - Reach out'!C:C,A22)</f>
        <v>44</v>
      </c>
    </row>
    <row r="23" customFormat="false" ht="15" hidden="false" customHeight="false" outlineLevel="0" collapsed="false">
      <c r="A23" s="7" t="s">
        <v>32</v>
      </c>
      <c r="C23" s="7" t="n">
        <f aca="false">COUNTIF('Tier A - Reach out'!C:C,A23)</f>
        <v>43</v>
      </c>
    </row>
    <row r="24" customFormat="false" ht="15" hidden="false" customHeight="false" outlineLevel="0" collapsed="false">
      <c r="A24" s="7" t="s">
        <v>33</v>
      </c>
      <c r="C24" s="7" t="n">
        <f aca="false">COUNTIF('Tier A - Reach out'!C:C,A24)</f>
        <v>33</v>
      </c>
    </row>
    <row r="25" customFormat="false" ht="15" hidden="false" customHeight="false" outlineLevel="0" collapsed="false">
      <c r="A25" s="7" t="s">
        <v>34</v>
      </c>
      <c r="C25" s="7" t="n">
        <f aca="false">COUNTIF('Tier A - Reach out'!C:C,A25)</f>
        <v>36</v>
      </c>
    </row>
    <row r="26" customFormat="false" ht="15" hidden="false" customHeight="false" outlineLevel="0" collapsed="false">
      <c r="A26" s="7" t="s">
        <v>35</v>
      </c>
      <c r="C26" s="7" t="n">
        <f aca="false">COUNTIF('Tier A - Reach out'!C:C,A26)</f>
        <v>142</v>
      </c>
    </row>
    <row r="27" customFormat="false" ht="15" hidden="false" customHeight="false" outlineLevel="0" collapsed="false">
      <c r="A27" s="7" t="s">
        <v>36</v>
      </c>
      <c r="C27" s="7" t="n">
        <f aca="false">COUNTIF('Tier A - Reach out'!C:C,A27)</f>
        <v>5</v>
      </c>
    </row>
    <row r="29" customFormat="false" ht="15" hidden="false" customHeight="false" outlineLevel="0" collapsed="false">
      <c r="A29" s="6" t="s">
        <v>37</v>
      </c>
    </row>
    <row r="30" customFormat="false" ht="15" hidden="false" customHeight="false" outlineLevel="0" collapsed="false">
      <c r="A30" s="7" t="s">
        <v>38</v>
      </c>
    </row>
    <row r="31" customFormat="false" ht="15" hidden="false" customHeight="false" outlineLevel="0" collapsed="false">
      <c r="A31" s="7" t="s">
        <v>39</v>
      </c>
    </row>
    <row r="32" customFormat="false" ht="15" hidden="false" customHeight="false" outlineLevel="0" collapsed="false">
      <c r="A32" s="7" t="s">
        <v>40</v>
      </c>
    </row>
    <row r="33" customFormat="false" ht="15" hidden="false" customHeight="false" outlineLevel="0" collapsed="false">
      <c r="A33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34"/>
    <col collapsed="false" customWidth="true" hidden="false" outlineLevel="0" max="14" min="14" style="0" width="50"/>
    <col collapsed="false" customWidth="true" hidden="false" outlineLevel="0" max="16" min="15" style="0" width="30"/>
    <col collapsed="false" customWidth="true" hidden="false" outlineLevel="0" max="18" min="17" style="0" width="20"/>
    <col collapsed="false" customWidth="true" hidden="false" outlineLevel="0" max="20" min="19" style="0" width="26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8" t="s">
        <v>42</v>
      </c>
      <c r="B1" s="8" t="s">
        <v>43</v>
      </c>
      <c r="C1" s="8" t="s">
        <v>44</v>
      </c>
      <c r="D1" s="8" t="s">
        <v>45</v>
      </c>
      <c r="E1" s="8" t="s">
        <v>46</v>
      </c>
      <c r="F1" s="8" t="s">
        <v>47</v>
      </c>
      <c r="G1" s="8" t="s">
        <v>48</v>
      </c>
      <c r="H1" s="8" t="s">
        <v>49</v>
      </c>
      <c r="I1" s="8" t="s">
        <v>50</v>
      </c>
      <c r="J1" s="8" t="s">
        <v>51</v>
      </c>
      <c r="K1" s="8" t="s">
        <v>52</v>
      </c>
      <c r="L1" s="8" t="s">
        <v>53</v>
      </c>
      <c r="M1" s="8" t="s">
        <v>54</v>
      </c>
      <c r="N1" s="8" t="s">
        <v>55</v>
      </c>
      <c r="O1" s="8" t="s">
        <v>56</v>
      </c>
      <c r="P1" s="8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</row>
    <row r="2" customFormat="false" ht="15" hidden="false" customHeight="false" outlineLevel="0" collapsed="false">
      <c r="A2" s="7" t="s">
        <v>6</v>
      </c>
      <c r="B2" s="7" t="s">
        <v>63</v>
      </c>
      <c r="C2" s="7" t="s">
        <v>23</v>
      </c>
      <c r="D2" s="7" t="s">
        <v>64</v>
      </c>
      <c r="E2" s="7" t="s">
        <v>65</v>
      </c>
      <c r="F2" s="7" t="s">
        <v>66</v>
      </c>
      <c r="G2" s="7" t="s">
        <v>67</v>
      </c>
      <c r="H2" s="7" t="s">
        <v>68</v>
      </c>
      <c r="I2" s="10" t="n">
        <v>2500</v>
      </c>
      <c r="J2" s="7" t="s">
        <v>69</v>
      </c>
      <c r="K2" s="7" t="s">
        <v>70</v>
      </c>
      <c r="L2" s="7" t="s">
        <v>71</v>
      </c>
      <c r="M2" s="7" t="s">
        <v>72</v>
      </c>
      <c r="N2" s="7" t="s">
        <v>73</v>
      </c>
      <c r="O2" s="7" t="s">
        <v>74</v>
      </c>
      <c r="P2" s="7" t="s">
        <v>75</v>
      </c>
      <c r="Q2" s="7"/>
      <c r="R2" s="7"/>
      <c r="S2" s="7"/>
      <c r="T2" s="7"/>
      <c r="U2" s="7"/>
    </row>
    <row r="3" customFormat="false" ht="15" hidden="false" customHeight="false" outlineLevel="0" collapsed="false">
      <c r="A3" s="7" t="s">
        <v>6</v>
      </c>
      <c r="B3" s="7" t="s">
        <v>76</v>
      </c>
      <c r="C3" s="7" t="s">
        <v>23</v>
      </c>
      <c r="D3" s="7" t="s">
        <v>64</v>
      </c>
      <c r="E3" s="7" t="s">
        <v>77</v>
      </c>
      <c r="F3" s="7" t="s">
        <v>78</v>
      </c>
      <c r="G3" s="7" t="s">
        <v>79</v>
      </c>
      <c r="H3" s="7" t="s">
        <v>68</v>
      </c>
      <c r="I3" s="10" t="n">
        <v>3000</v>
      </c>
      <c r="J3" s="7" t="s">
        <v>69</v>
      </c>
      <c r="K3" s="7" t="s">
        <v>80</v>
      </c>
      <c r="L3" s="7" t="s">
        <v>81</v>
      </c>
      <c r="M3" s="7" t="s">
        <v>72</v>
      </c>
      <c r="N3" s="7" t="s">
        <v>82</v>
      </c>
      <c r="O3" s="7" t="s">
        <v>83</v>
      </c>
      <c r="P3" s="7" t="s">
        <v>84</v>
      </c>
      <c r="Q3" s="7"/>
      <c r="R3" s="7"/>
      <c r="S3" s="7"/>
      <c r="T3" s="7"/>
      <c r="U3" s="7"/>
    </row>
    <row r="4" customFormat="false" ht="15" hidden="false" customHeight="false" outlineLevel="0" collapsed="false">
      <c r="A4" s="7" t="s">
        <v>6</v>
      </c>
      <c r="B4" s="7" t="s">
        <v>85</v>
      </c>
      <c r="C4" s="7" t="s">
        <v>23</v>
      </c>
      <c r="D4" s="7" t="s">
        <v>86</v>
      </c>
      <c r="E4" s="7" t="s">
        <v>87</v>
      </c>
      <c r="F4" s="7" t="s">
        <v>88</v>
      </c>
      <c r="G4" s="7" t="s">
        <v>89</v>
      </c>
      <c r="H4" s="7" t="s">
        <v>68</v>
      </c>
      <c r="I4" s="10" t="n">
        <v>3000</v>
      </c>
      <c r="J4" s="7" t="s">
        <v>69</v>
      </c>
      <c r="K4" s="7" t="s">
        <v>90</v>
      </c>
      <c r="L4" s="7" t="s">
        <v>91</v>
      </c>
      <c r="M4" s="7" t="s">
        <v>72</v>
      </c>
      <c r="N4" s="7" t="s">
        <v>92</v>
      </c>
      <c r="O4" s="7" t="s">
        <v>93</v>
      </c>
      <c r="P4" s="7" t="s">
        <v>75</v>
      </c>
      <c r="Q4" s="7"/>
      <c r="R4" s="7"/>
      <c r="S4" s="7"/>
      <c r="T4" s="7"/>
      <c r="U4" s="7"/>
    </row>
    <row r="5" customFormat="false" ht="15" hidden="false" customHeight="false" outlineLevel="0" collapsed="false">
      <c r="A5" s="7" t="s">
        <v>6</v>
      </c>
      <c r="B5" s="7" t="s">
        <v>94</v>
      </c>
      <c r="C5" s="7" t="s">
        <v>23</v>
      </c>
      <c r="D5" s="7" t="s">
        <v>95</v>
      </c>
      <c r="E5" s="7" t="s">
        <v>96</v>
      </c>
      <c r="F5" s="7" t="s">
        <v>97</v>
      </c>
      <c r="G5" s="7" t="s">
        <v>98</v>
      </c>
      <c r="H5" s="7" t="s">
        <v>68</v>
      </c>
      <c r="I5" s="10" t="n">
        <v>2200</v>
      </c>
      <c r="J5" s="7" t="s">
        <v>69</v>
      </c>
      <c r="K5" s="7" t="s">
        <v>99</v>
      </c>
      <c r="L5" s="7" t="s">
        <v>100</v>
      </c>
      <c r="M5" s="7" t="s">
        <v>72</v>
      </c>
      <c r="N5" s="7" t="s">
        <v>101</v>
      </c>
      <c r="O5" s="7" t="s">
        <v>102</v>
      </c>
      <c r="P5" s="7" t="s">
        <v>84</v>
      </c>
      <c r="Q5" s="7"/>
      <c r="R5" s="7"/>
      <c r="S5" s="7"/>
      <c r="T5" s="7"/>
      <c r="U5" s="7"/>
    </row>
    <row r="6" customFormat="false" ht="15" hidden="false" customHeight="false" outlineLevel="0" collapsed="false">
      <c r="A6" s="7" t="s">
        <v>6</v>
      </c>
      <c r="B6" s="7" t="s">
        <v>103</v>
      </c>
      <c r="C6" s="7" t="s">
        <v>23</v>
      </c>
      <c r="D6" s="7" t="s">
        <v>64</v>
      </c>
      <c r="E6" s="7" t="s">
        <v>104</v>
      </c>
      <c r="F6" s="7" t="s">
        <v>105</v>
      </c>
      <c r="G6" s="7" t="s">
        <v>106</v>
      </c>
      <c r="H6" s="7" t="s">
        <v>68</v>
      </c>
      <c r="I6" s="10" t="n">
        <v>2500</v>
      </c>
      <c r="J6" s="7" t="s">
        <v>69</v>
      </c>
      <c r="K6" s="7" t="s">
        <v>107</v>
      </c>
      <c r="L6" s="7" t="s">
        <v>108</v>
      </c>
      <c r="M6" s="7" t="s">
        <v>72</v>
      </c>
      <c r="N6" s="7" t="s">
        <v>109</v>
      </c>
      <c r="O6" s="7" t="s">
        <v>110</v>
      </c>
      <c r="P6" s="7" t="s">
        <v>84</v>
      </c>
      <c r="Q6" s="7"/>
      <c r="R6" s="7"/>
      <c r="S6" s="7"/>
      <c r="T6" s="7"/>
      <c r="U6" s="7"/>
    </row>
    <row r="7" customFormat="false" ht="15" hidden="false" customHeight="false" outlineLevel="0" collapsed="false">
      <c r="A7" s="7" t="s">
        <v>6</v>
      </c>
      <c r="B7" s="7" t="s">
        <v>111</v>
      </c>
      <c r="C7" s="7" t="s">
        <v>23</v>
      </c>
      <c r="D7" s="7" t="s">
        <v>64</v>
      </c>
      <c r="E7" s="7" t="s">
        <v>112</v>
      </c>
      <c r="F7" s="7" t="s">
        <v>113</v>
      </c>
      <c r="G7" s="7" t="s">
        <v>114</v>
      </c>
      <c r="H7" s="7" t="s">
        <v>68</v>
      </c>
      <c r="I7" s="10" t="n">
        <v>3000</v>
      </c>
      <c r="J7" s="7" t="s">
        <v>69</v>
      </c>
      <c r="K7" s="7" t="s">
        <v>115</v>
      </c>
      <c r="L7" s="7" t="s">
        <v>116</v>
      </c>
      <c r="M7" s="7" t="s">
        <v>72</v>
      </c>
      <c r="N7" s="7" t="s">
        <v>117</v>
      </c>
      <c r="O7" s="7" t="s">
        <v>118</v>
      </c>
      <c r="P7" s="7" t="s">
        <v>119</v>
      </c>
      <c r="Q7" s="7"/>
      <c r="R7" s="7"/>
      <c r="S7" s="7"/>
      <c r="T7" s="7"/>
      <c r="U7" s="7"/>
    </row>
    <row r="8" customFormat="false" ht="15" hidden="false" customHeight="false" outlineLevel="0" collapsed="false">
      <c r="A8" s="7" t="s">
        <v>6</v>
      </c>
      <c r="B8" s="7" t="s">
        <v>120</v>
      </c>
      <c r="C8" s="7" t="s">
        <v>23</v>
      </c>
      <c r="D8" s="7" t="s">
        <v>64</v>
      </c>
      <c r="E8" s="7" t="s">
        <v>121</v>
      </c>
      <c r="F8" s="7" t="s">
        <v>122</v>
      </c>
      <c r="G8" s="7" t="s">
        <v>123</v>
      </c>
      <c r="H8" s="7" t="s">
        <v>68</v>
      </c>
      <c r="I8" s="10" t="n">
        <v>3500</v>
      </c>
      <c r="J8" s="7" t="s">
        <v>69</v>
      </c>
      <c r="K8" s="7" t="s">
        <v>124</v>
      </c>
      <c r="L8" s="7" t="s">
        <v>125</v>
      </c>
      <c r="M8" s="7" t="s">
        <v>72</v>
      </c>
      <c r="N8" s="7" t="s">
        <v>126</v>
      </c>
      <c r="O8" s="7" t="s">
        <v>127</v>
      </c>
      <c r="P8" s="7" t="s">
        <v>128</v>
      </c>
      <c r="Q8" s="7"/>
      <c r="R8" s="7"/>
      <c r="S8" s="7"/>
      <c r="T8" s="7"/>
      <c r="U8" s="7"/>
    </row>
    <row r="9" customFormat="false" ht="15" hidden="false" customHeight="false" outlineLevel="0" collapsed="false">
      <c r="A9" s="7" t="s">
        <v>6</v>
      </c>
      <c r="B9" s="7" t="s">
        <v>129</v>
      </c>
      <c r="C9" s="7" t="s">
        <v>23</v>
      </c>
      <c r="D9" s="7" t="s">
        <v>95</v>
      </c>
      <c r="E9" s="7" t="s">
        <v>112</v>
      </c>
      <c r="F9" s="7" t="s">
        <v>113</v>
      </c>
      <c r="G9" s="7" t="s">
        <v>130</v>
      </c>
      <c r="H9" s="7" t="s">
        <v>68</v>
      </c>
      <c r="I9" s="10" t="n">
        <v>1500</v>
      </c>
      <c r="J9" s="7" t="s">
        <v>69</v>
      </c>
      <c r="K9" s="7" t="s">
        <v>131</v>
      </c>
      <c r="L9" s="7" t="s">
        <v>132</v>
      </c>
      <c r="M9" s="7" t="s">
        <v>72</v>
      </c>
      <c r="N9" s="7" t="s">
        <v>133</v>
      </c>
      <c r="O9" s="7" t="s">
        <v>134</v>
      </c>
      <c r="P9" s="7" t="s">
        <v>75</v>
      </c>
      <c r="Q9" s="7"/>
      <c r="R9" s="7"/>
      <c r="S9" s="7"/>
      <c r="T9" s="7"/>
      <c r="U9" s="7"/>
    </row>
    <row r="10" customFormat="false" ht="15" hidden="false" customHeight="false" outlineLevel="0" collapsed="false">
      <c r="A10" s="7" t="s">
        <v>6</v>
      </c>
      <c r="B10" s="7" t="s">
        <v>135</v>
      </c>
      <c r="C10" s="7" t="s">
        <v>23</v>
      </c>
      <c r="D10" s="7" t="s">
        <v>64</v>
      </c>
      <c r="E10" s="7" t="s">
        <v>136</v>
      </c>
      <c r="F10" s="7" t="s">
        <v>137</v>
      </c>
      <c r="G10" s="7" t="s">
        <v>138</v>
      </c>
      <c r="H10" s="7" t="s">
        <v>68</v>
      </c>
      <c r="I10" s="10" t="n">
        <v>3300</v>
      </c>
      <c r="J10" s="7" t="s">
        <v>69</v>
      </c>
      <c r="K10" s="7" t="s">
        <v>139</v>
      </c>
      <c r="L10" s="7" t="s">
        <v>140</v>
      </c>
      <c r="M10" s="7" t="s">
        <v>72</v>
      </c>
      <c r="N10" s="7" t="s">
        <v>141</v>
      </c>
      <c r="O10" s="7" t="s">
        <v>142</v>
      </c>
      <c r="P10" s="7" t="s">
        <v>143</v>
      </c>
      <c r="Q10" s="7"/>
      <c r="R10" s="7"/>
      <c r="S10" s="7"/>
      <c r="T10" s="7"/>
      <c r="U10" s="7"/>
    </row>
    <row r="11" customFormat="false" ht="15" hidden="false" customHeight="false" outlineLevel="0" collapsed="false">
      <c r="A11" s="7" t="s">
        <v>6</v>
      </c>
      <c r="B11" s="7" t="s">
        <v>144</v>
      </c>
      <c r="C11" s="7" t="s">
        <v>23</v>
      </c>
      <c r="D11" s="7" t="s">
        <v>145</v>
      </c>
      <c r="E11" s="7" t="s">
        <v>146</v>
      </c>
      <c r="F11" s="7" t="s">
        <v>147</v>
      </c>
      <c r="G11" s="7" t="s">
        <v>148</v>
      </c>
      <c r="H11" s="7" t="s">
        <v>149</v>
      </c>
      <c r="I11" s="10" t="n">
        <v>2000</v>
      </c>
      <c r="J11" s="7" t="s">
        <v>69</v>
      </c>
      <c r="K11" s="7" t="s">
        <v>150</v>
      </c>
      <c r="L11" s="7"/>
      <c r="M11" s="7" t="s">
        <v>72</v>
      </c>
      <c r="N11" s="7" t="s">
        <v>151</v>
      </c>
      <c r="O11" s="7" t="s">
        <v>152</v>
      </c>
      <c r="P11" s="7" t="s">
        <v>75</v>
      </c>
      <c r="Q11" s="7"/>
      <c r="R11" s="7"/>
      <c r="S11" s="7"/>
      <c r="T11" s="7"/>
      <c r="U11" s="7"/>
    </row>
    <row r="12" customFormat="false" ht="15" hidden="false" customHeight="false" outlineLevel="0" collapsed="false">
      <c r="A12" s="7" t="s">
        <v>6</v>
      </c>
      <c r="B12" s="7" t="s">
        <v>153</v>
      </c>
      <c r="C12" s="7" t="s">
        <v>23</v>
      </c>
      <c r="D12" s="7" t="s">
        <v>64</v>
      </c>
      <c r="E12" s="7" t="s">
        <v>154</v>
      </c>
      <c r="F12" s="7" t="s">
        <v>155</v>
      </c>
      <c r="G12" s="7" t="s">
        <v>156</v>
      </c>
      <c r="H12" s="7" t="s">
        <v>149</v>
      </c>
      <c r="I12" s="10" t="n">
        <v>1900</v>
      </c>
      <c r="J12" s="7" t="s">
        <v>69</v>
      </c>
      <c r="K12" s="7" t="s">
        <v>157</v>
      </c>
      <c r="L12" s="7" t="s">
        <v>158</v>
      </c>
      <c r="M12" s="7" t="s">
        <v>72</v>
      </c>
      <c r="N12" s="7" t="s">
        <v>159</v>
      </c>
      <c r="O12" s="7" t="s">
        <v>160</v>
      </c>
      <c r="P12" s="7" t="s">
        <v>84</v>
      </c>
      <c r="Q12" s="7"/>
      <c r="R12" s="7"/>
      <c r="S12" s="7"/>
      <c r="T12" s="7"/>
      <c r="U12" s="7"/>
    </row>
    <row r="13" customFormat="false" ht="15" hidden="false" customHeight="false" outlineLevel="0" collapsed="false">
      <c r="A13" s="7" t="s">
        <v>6</v>
      </c>
      <c r="B13" s="7" t="s">
        <v>161</v>
      </c>
      <c r="C13" s="7" t="s">
        <v>23</v>
      </c>
      <c r="D13" s="7" t="s">
        <v>64</v>
      </c>
      <c r="E13" s="7" t="s">
        <v>162</v>
      </c>
      <c r="F13" s="7" t="s">
        <v>163</v>
      </c>
      <c r="G13" s="7" t="s">
        <v>164</v>
      </c>
      <c r="H13" s="7" t="s">
        <v>149</v>
      </c>
      <c r="I13" s="10" t="n">
        <v>1700</v>
      </c>
      <c r="J13" s="7" t="s">
        <v>69</v>
      </c>
      <c r="K13" s="7" t="s">
        <v>165</v>
      </c>
      <c r="L13" s="7" t="s">
        <v>166</v>
      </c>
      <c r="M13" s="7" t="s">
        <v>72</v>
      </c>
      <c r="N13" s="7" t="s">
        <v>167</v>
      </c>
      <c r="O13" s="7" t="s">
        <v>168</v>
      </c>
      <c r="P13" s="7" t="s">
        <v>169</v>
      </c>
      <c r="Q13" s="7"/>
      <c r="R13" s="7"/>
      <c r="S13" s="7"/>
      <c r="T13" s="7"/>
      <c r="U13" s="7"/>
    </row>
    <row r="14" customFormat="false" ht="15" hidden="false" customHeight="false" outlineLevel="0" collapsed="false">
      <c r="A14" s="7" t="s">
        <v>6</v>
      </c>
      <c r="B14" s="7" t="s">
        <v>170</v>
      </c>
      <c r="C14" s="7" t="s">
        <v>23</v>
      </c>
      <c r="D14" s="7" t="s">
        <v>95</v>
      </c>
      <c r="E14" s="7" t="s">
        <v>171</v>
      </c>
      <c r="F14" s="7" t="s">
        <v>172</v>
      </c>
      <c r="G14" s="7" t="s">
        <v>173</v>
      </c>
      <c r="H14" s="7" t="s">
        <v>174</v>
      </c>
      <c r="I14" s="10" t="n">
        <v>900</v>
      </c>
      <c r="J14" s="7" t="s">
        <v>69</v>
      </c>
      <c r="K14" s="7" t="s">
        <v>175</v>
      </c>
      <c r="L14" s="7" t="s">
        <v>176</v>
      </c>
      <c r="M14" s="7" t="s">
        <v>177</v>
      </c>
      <c r="N14" s="7" t="s">
        <v>178</v>
      </c>
      <c r="O14" s="7" t="s">
        <v>179</v>
      </c>
      <c r="P14" s="7" t="s">
        <v>180</v>
      </c>
      <c r="Q14" s="7"/>
      <c r="R14" s="7"/>
      <c r="S14" s="7"/>
      <c r="T14" s="7"/>
      <c r="U14" s="7"/>
    </row>
    <row r="15" customFormat="false" ht="15" hidden="false" customHeight="false" outlineLevel="0" collapsed="false">
      <c r="A15" s="7" t="s">
        <v>6</v>
      </c>
      <c r="B15" s="7" t="s">
        <v>181</v>
      </c>
      <c r="C15" s="7" t="s">
        <v>23</v>
      </c>
      <c r="D15" s="7" t="s">
        <v>95</v>
      </c>
      <c r="E15" s="7" t="s">
        <v>182</v>
      </c>
      <c r="F15" s="7" t="s">
        <v>163</v>
      </c>
      <c r="G15" s="7" t="s">
        <v>183</v>
      </c>
      <c r="H15" s="7" t="s">
        <v>174</v>
      </c>
      <c r="I15" s="10" t="n">
        <v>900</v>
      </c>
      <c r="J15" s="7" t="s">
        <v>69</v>
      </c>
      <c r="K15" s="7" t="s">
        <v>184</v>
      </c>
      <c r="L15" s="7" t="s">
        <v>185</v>
      </c>
      <c r="M15" s="7" t="s">
        <v>177</v>
      </c>
      <c r="N15" s="7" t="s">
        <v>186</v>
      </c>
      <c r="O15" s="7" t="s">
        <v>187</v>
      </c>
      <c r="P15" s="7" t="s">
        <v>75</v>
      </c>
      <c r="Q15" s="7"/>
      <c r="R15" s="7"/>
      <c r="S15" s="7"/>
      <c r="T15" s="7"/>
      <c r="U15" s="7"/>
    </row>
    <row r="16" customFormat="false" ht="15" hidden="false" customHeight="false" outlineLevel="0" collapsed="false">
      <c r="A16" s="7" t="s">
        <v>6</v>
      </c>
      <c r="B16" s="7" t="s">
        <v>188</v>
      </c>
      <c r="C16" s="7" t="s">
        <v>23</v>
      </c>
      <c r="D16" s="7" t="s">
        <v>95</v>
      </c>
      <c r="E16" s="7" t="s">
        <v>189</v>
      </c>
      <c r="F16" s="7" t="s">
        <v>190</v>
      </c>
      <c r="G16" s="7" t="s">
        <v>191</v>
      </c>
      <c r="H16" s="7" t="s">
        <v>174</v>
      </c>
      <c r="I16" s="10" t="n">
        <v>900</v>
      </c>
      <c r="J16" s="7" t="s">
        <v>69</v>
      </c>
      <c r="K16" s="7" t="s">
        <v>192</v>
      </c>
      <c r="L16" s="7"/>
      <c r="M16" s="7" t="s">
        <v>177</v>
      </c>
      <c r="N16" s="7" t="s">
        <v>193</v>
      </c>
      <c r="O16" s="7" t="s">
        <v>194</v>
      </c>
      <c r="P16" s="7" t="s">
        <v>195</v>
      </c>
      <c r="Q16" s="7"/>
      <c r="R16" s="7"/>
      <c r="S16" s="7"/>
      <c r="T16" s="7"/>
      <c r="U16" s="7"/>
    </row>
    <row r="17" customFormat="false" ht="15" hidden="false" customHeight="false" outlineLevel="0" collapsed="false">
      <c r="A17" s="7" t="s">
        <v>6</v>
      </c>
      <c r="B17" s="7" t="s">
        <v>196</v>
      </c>
      <c r="C17" s="7" t="s">
        <v>23</v>
      </c>
      <c r="D17" s="7" t="s">
        <v>95</v>
      </c>
      <c r="E17" s="7" t="s">
        <v>65</v>
      </c>
      <c r="F17" s="7" t="s">
        <v>66</v>
      </c>
      <c r="G17" s="7" t="s">
        <v>197</v>
      </c>
      <c r="H17" s="7" t="s">
        <v>174</v>
      </c>
      <c r="I17" s="10" t="n">
        <v>700</v>
      </c>
      <c r="J17" s="7" t="s">
        <v>69</v>
      </c>
      <c r="K17" s="7" t="s">
        <v>198</v>
      </c>
      <c r="L17" s="7" t="s">
        <v>199</v>
      </c>
      <c r="M17" s="7" t="s">
        <v>177</v>
      </c>
      <c r="N17" s="7" t="s">
        <v>200</v>
      </c>
      <c r="O17" s="7" t="s">
        <v>201</v>
      </c>
      <c r="P17" s="7" t="s">
        <v>202</v>
      </c>
      <c r="Q17" s="7"/>
      <c r="R17" s="7"/>
      <c r="S17" s="7"/>
      <c r="T17" s="7"/>
      <c r="U17" s="7"/>
    </row>
    <row r="18" customFormat="false" ht="15" hidden="false" customHeight="false" outlineLevel="0" collapsed="false">
      <c r="A18" s="7" t="s">
        <v>6</v>
      </c>
      <c r="B18" s="7" t="s">
        <v>203</v>
      </c>
      <c r="C18" s="7" t="s">
        <v>23</v>
      </c>
      <c r="D18" s="7" t="s">
        <v>204</v>
      </c>
      <c r="E18" s="7" t="s">
        <v>205</v>
      </c>
      <c r="F18" s="7" t="s">
        <v>206</v>
      </c>
      <c r="G18" s="7" t="s">
        <v>207</v>
      </c>
      <c r="H18" s="7" t="s">
        <v>174</v>
      </c>
      <c r="I18" s="10" t="n">
        <v>1200</v>
      </c>
      <c r="J18" s="7" t="s">
        <v>69</v>
      </c>
      <c r="K18" s="7" t="s">
        <v>208</v>
      </c>
      <c r="L18" s="7" t="s">
        <v>209</v>
      </c>
      <c r="M18" s="7" t="s">
        <v>177</v>
      </c>
      <c r="N18" s="7" t="s">
        <v>210</v>
      </c>
      <c r="O18" s="7" t="s">
        <v>211</v>
      </c>
      <c r="P18" s="7" t="s">
        <v>75</v>
      </c>
      <c r="Q18" s="7"/>
      <c r="R18" s="7"/>
      <c r="S18" s="7"/>
      <c r="T18" s="7"/>
      <c r="U18" s="7"/>
    </row>
    <row r="19" customFormat="false" ht="15" hidden="false" customHeight="false" outlineLevel="0" collapsed="false">
      <c r="A19" s="7" t="s">
        <v>6</v>
      </c>
      <c r="B19" s="7" t="s">
        <v>212</v>
      </c>
      <c r="C19" s="7" t="s">
        <v>23</v>
      </c>
      <c r="D19" s="7" t="s">
        <v>213</v>
      </c>
      <c r="E19" s="7" t="s">
        <v>214</v>
      </c>
      <c r="F19" s="7" t="s">
        <v>215</v>
      </c>
      <c r="G19" s="7" t="s">
        <v>216</v>
      </c>
      <c r="H19" s="7" t="s">
        <v>174</v>
      </c>
      <c r="I19" s="10" t="n">
        <v>700</v>
      </c>
      <c r="J19" s="7" t="s">
        <v>69</v>
      </c>
      <c r="K19" s="7" t="s">
        <v>217</v>
      </c>
      <c r="L19" s="7"/>
      <c r="M19" s="7" t="s">
        <v>177</v>
      </c>
      <c r="N19" s="7" t="s">
        <v>218</v>
      </c>
      <c r="O19" s="7" t="s">
        <v>219</v>
      </c>
      <c r="P19" s="7" t="s">
        <v>75</v>
      </c>
      <c r="Q19" s="7"/>
      <c r="R19" s="7"/>
      <c r="S19" s="7"/>
      <c r="T19" s="7"/>
      <c r="U19" s="7"/>
    </row>
    <row r="20" customFormat="false" ht="15" hidden="false" customHeight="false" outlineLevel="0" collapsed="false">
      <c r="A20" s="7" t="s">
        <v>6</v>
      </c>
      <c r="B20" s="7" t="s">
        <v>220</v>
      </c>
      <c r="C20" s="7" t="s">
        <v>23</v>
      </c>
      <c r="D20" s="7" t="s">
        <v>95</v>
      </c>
      <c r="E20" s="7" t="s">
        <v>221</v>
      </c>
      <c r="F20" s="7" t="s">
        <v>222</v>
      </c>
      <c r="G20" s="7" t="s">
        <v>223</v>
      </c>
      <c r="H20" s="7" t="s">
        <v>174</v>
      </c>
      <c r="I20" s="10" t="n">
        <v>500</v>
      </c>
      <c r="J20" s="7" t="s">
        <v>69</v>
      </c>
      <c r="K20" s="7" t="s">
        <v>224</v>
      </c>
      <c r="L20" s="7" t="s">
        <v>225</v>
      </c>
      <c r="M20" s="7" t="s">
        <v>177</v>
      </c>
      <c r="N20" s="7" t="s">
        <v>226</v>
      </c>
      <c r="O20" s="7" t="s">
        <v>227</v>
      </c>
      <c r="P20" s="7" t="s">
        <v>75</v>
      </c>
      <c r="Q20" s="7"/>
      <c r="R20" s="7"/>
      <c r="S20" s="7"/>
      <c r="T20" s="7"/>
      <c r="U20" s="7"/>
    </row>
    <row r="21" customFormat="false" ht="15" hidden="false" customHeight="false" outlineLevel="0" collapsed="false">
      <c r="A21" s="7" t="s">
        <v>6</v>
      </c>
      <c r="B21" s="7" t="s">
        <v>228</v>
      </c>
      <c r="C21" s="7" t="s">
        <v>23</v>
      </c>
      <c r="D21" s="7" t="s">
        <v>229</v>
      </c>
      <c r="E21" s="7" t="s">
        <v>146</v>
      </c>
      <c r="F21" s="7" t="s">
        <v>147</v>
      </c>
      <c r="G21" s="7" t="s">
        <v>230</v>
      </c>
      <c r="H21" s="7" t="s">
        <v>174</v>
      </c>
      <c r="I21" s="10" t="n">
        <v>600</v>
      </c>
      <c r="J21" s="7" t="s">
        <v>69</v>
      </c>
      <c r="K21" s="7" t="s">
        <v>231</v>
      </c>
      <c r="L21" s="7" t="s">
        <v>232</v>
      </c>
      <c r="M21" s="7" t="s">
        <v>72</v>
      </c>
      <c r="N21" s="7" t="s">
        <v>233</v>
      </c>
      <c r="O21" s="7" t="s">
        <v>234</v>
      </c>
      <c r="P21" s="7" t="s">
        <v>235</v>
      </c>
      <c r="Q21" s="7"/>
      <c r="R21" s="7"/>
      <c r="S21" s="7"/>
      <c r="T21" s="7"/>
      <c r="U21" s="7"/>
    </row>
    <row r="22" customFormat="false" ht="15" hidden="false" customHeight="false" outlineLevel="0" collapsed="false">
      <c r="A22" s="7" t="s">
        <v>6</v>
      </c>
      <c r="B22" s="7" t="s">
        <v>236</v>
      </c>
      <c r="C22" s="7" t="s">
        <v>23</v>
      </c>
      <c r="D22" s="7" t="s">
        <v>95</v>
      </c>
      <c r="E22" s="7" t="s">
        <v>65</v>
      </c>
      <c r="F22" s="7" t="s">
        <v>66</v>
      </c>
      <c r="G22" s="7" t="s">
        <v>237</v>
      </c>
      <c r="H22" s="7" t="s">
        <v>174</v>
      </c>
      <c r="I22" s="10" t="n">
        <v>500</v>
      </c>
      <c r="J22" s="7" t="s">
        <v>69</v>
      </c>
      <c r="K22" s="7" t="s">
        <v>238</v>
      </c>
      <c r="L22" s="7"/>
      <c r="M22" s="7" t="s">
        <v>177</v>
      </c>
      <c r="N22" s="7" t="s">
        <v>239</v>
      </c>
      <c r="O22" s="7" t="s">
        <v>240</v>
      </c>
      <c r="P22" s="7" t="s">
        <v>75</v>
      </c>
      <c r="Q22" s="7"/>
      <c r="R22" s="7"/>
      <c r="S22" s="7"/>
      <c r="T22" s="7"/>
      <c r="U22" s="7"/>
    </row>
    <row r="23" customFormat="false" ht="15" hidden="false" customHeight="false" outlineLevel="0" collapsed="false">
      <c r="A23" s="7" t="s">
        <v>6</v>
      </c>
      <c r="B23" s="7" t="s">
        <v>241</v>
      </c>
      <c r="C23" s="7" t="s">
        <v>23</v>
      </c>
      <c r="D23" s="7" t="s">
        <v>95</v>
      </c>
      <c r="E23" s="7" t="s">
        <v>242</v>
      </c>
      <c r="F23" s="7" t="s">
        <v>243</v>
      </c>
      <c r="G23" s="7" t="s">
        <v>244</v>
      </c>
      <c r="H23" s="7" t="s">
        <v>174</v>
      </c>
      <c r="I23" s="10" t="n">
        <v>500</v>
      </c>
      <c r="J23" s="7" t="s">
        <v>69</v>
      </c>
      <c r="K23" s="7" t="s">
        <v>245</v>
      </c>
      <c r="L23" s="7"/>
      <c r="M23" s="7" t="s">
        <v>177</v>
      </c>
      <c r="N23" s="7" t="s">
        <v>246</v>
      </c>
      <c r="O23" s="7" t="s">
        <v>247</v>
      </c>
      <c r="P23" s="7" t="s">
        <v>84</v>
      </c>
      <c r="Q23" s="7"/>
      <c r="R23" s="7"/>
      <c r="S23" s="7"/>
      <c r="T23" s="7"/>
      <c r="U23" s="7"/>
    </row>
    <row r="24" customFormat="false" ht="15" hidden="false" customHeight="false" outlineLevel="0" collapsed="false">
      <c r="A24" s="7" t="s">
        <v>6</v>
      </c>
      <c r="B24" s="7" t="s">
        <v>248</v>
      </c>
      <c r="C24" s="7" t="s">
        <v>23</v>
      </c>
      <c r="D24" s="7" t="s">
        <v>204</v>
      </c>
      <c r="E24" s="7" t="s">
        <v>249</v>
      </c>
      <c r="F24" s="7" t="s">
        <v>250</v>
      </c>
      <c r="G24" s="7" t="s">
        <v>251</v>
      </c>
      <c r="H24" s="7" t="s">
        <v>174</v>
      </c>
      <c r="I24" s="10" t="n">
        <v>800</v>
      </c>
      <c r="J24" s="7" t="s">
        <v>69</v>
      </c>
      <c r="K24" s="7" t="s">
        <v>252</v>
      </c>
      <c r="L24" s="7" t="s">
        <v>253</v>
      </c>
      <c r="M24" s="7" t="s">
        <v>177</v>
      </c>
      <c r="N24" s="7" t="s">
        <v>254</v>
      </c>
      <c r="O24" s="7" t="s">
        <v>255</v>
      </c>
      <c r="P24" s="7" t="s">
        <v>75</v>
      </c>
      <c r="Q24" s="7"/>
      <c r="R24" s="7"/>
      <c r="S24" s="7"/>
      <c r="T24" s="7"/>
      <c r="U24" s="7"/>
    </row>
    <row r="25" customFormat="false" ht="15" hidden="false" customHeight="false" outlineLevel="0" collapsed="false">
      <c r="A25" s="7" t="s">
        <v>6</v>
      </c>
      <c r="B25" s="7" t="s">
        <v>256</v>
      </c>
      <c r="C25" s="7" t="s">
        <v>23</v>
      </c>
      <c r="D25" s="7" t="s">
        <v>204</v>
      </c>
      <c r="E25" s="7" t="s">
        <v>154</v>
      </c>
      <c r="F25" s="7" t="s">
        <v>155</v>
      </c>
      <c r="G25" s="7" t="s">
        <v>257</v>
      </c>
      <c r="H25" s="7" t="s">
        <v>258</v>
      </c>
      <c r="I25" s="10" t="n">
        <v>600</v>
      </c>
      <c r="J25" s="7" t="s">
        <v>69</v>
      </c>
      <c r="K25" s="7" t="s">
        <v>259</v>
      </c>
      <c r="L25" s="7"/>
      <c r="M25" s="7" t="s">
        <v>177</v>
      </c>
      <c r="N25" s="7" t="s">
        <v>260</v>
      </c>
      <c r="O25" s="7" t="s">
        <v>261</v>
      </c>
      <c r="P25" s="7" t="s">
        <v>75</v>
      </c>
      <c r="Q25" s="7"/>
      <c r="R25" s="7"/>
      <c r="S25" s="7"/>
      <c r="T25" s="7"/>
      <c r="U25" s="7"/>
    </row>
    <row r="26" customFormat="false" ht="15" hidden="false" customHeight="false" outlineLevel="0" collapsed="false">
      <c r="A26" s="7" t="s">
        <v>6</v>
      </c>
      <c r="B26" s="7" t="s">
        <v>262</v>
      </c>
      <c r="C26" s="7" t="s">
        <v>23</v>
      </c>
      <c r="D26" s="7" t="s">
        <v>263</v>
      </c>
      <c r="E26" s="7" t="s">
        <v>264</v>
      </c>
      <c r="F26" s="7" t="s">
        <v>250</v>
      </c>
      <c r="G26" s="7" t="s">
        <v>265</v>
      </c>
      <c r="H26" s="7" t="s">
        <v>258</v>
      </c>
      <c r="I26" s="10" t="n">
        <v>600</v>
      </c>
      <c r="J26" s="7" t="s">
        <v>69</v>
      </c>
      <c r="K26" s="7" t="s">
        <v>266</v>
      </c>
      <c r="L26" s="7" t="s">
        <v>267</v>
      </c>
      <c r="M26" s="7" t="s">
        <v>177</v>
      </c>
      <c r="N26" s="7" t="s">
        <v>268</v>
      </c>
      <c r="O26" s="7" t="s">
        <v>269</v>
      </c>
      <c r="P26" s="7" t="s">
        <v>270</v>
      </c>
      <c r="Q26" s="7"/>
      <c r="R26" s="7"/>
      <c r="S26" s="7"/>
      <c r="T26" s="7"/>
      <c r="U26" s="7"/>
    </row>
    <row r="27" customFormat="false" ht="15" hidden="false" customHeight="false" outlineLevel="0" collapsed="false">
      <c r="A27" s="7" t="s">
        <v>6</v>
      </c>
      <c r="B27" s="7" t="s">
        <v>271</v>
      </c>
      <c r="C27" s="7" t="s">
        <v>23</v>
      </c>
      <c r="D27" s="7" t="s">
        <v>272</v>
      </c>
      <c r="E27" s="7" t="s">
        <v>112</v>
      </c>
      <c r="F27" s="7" t="s">
        <v>113</v>
      </c>
      <c r="G27" s="7" t="s">
        <v>273</v>
      </c>
      <c r="H27" s="7" t="s">
        <v>258</v>
      </c>
      <c r="I27" s="10" t="n">
        <v>200</v>
      </c>
      <c r="J27" s="7" t="s">
        <v>69</v>
      </c>
      <c r="K27" s="7"/>
      <c r="L27" s="7"/>
      <c r="M27" s="7" t="s">
        <v>274</v>
      </c>
      <c r="N27" s="7" t="s">
        <v>275</v>
      </c>
      <c r="O27" s="7" t="s">
        <v>276</v>
      </c>
      <c r="P27" s="7" t="s">
        <v>75</v>
      </c>
      <c r="Q27" s="7"/>
      <c r="R27" s="7"/>
      <c r="S27" s="7"/>
      <c r="T27" s="7"/>
      <c r="U27" s="7"/>
    </row>
    <row r="28" customFormat="false" ht="15" hidden="false" customHeight="false" outlineLevel="0" collapsed="false">
      <c r="A28" s="7" t="s">
        <v>6</v>
      </c>
      <c r="B28" s="7" t="s">
        <v>277</v>
      </c>
      <c r="C28" s="7" t="s">
        <v>23</v>
      </c>
      <c r="D28" s="7" t="s">
        <v>272</v>
      </c>
      <c r="E28" s="7" t="s">
        <v>278</v>
      </c>
      <c r="F28" s="7" t="s">
        <v>78</v>
      </c>
      <c r="G28" s="7" t="s">
        <v>279</v>
      </c>
      <c r="H28" s="7" t="s">
        <v>258</v>
      </c>
      <c r="I28" s="10" t="n">
        <v>200</v>
      </c>
      <c r="J28" s="7" t="s">
        <v>69</v>
      </c>
      <c r="K28" s="7"/>
      <c r="L28" s="7"/>
      <c r="M28" s="7" t="s">
        <v>274</v>
      </c>
      <c r="N28" s="7" t="s">
        <v>280</v>
      </c>
      <c r="O28" s="7" t="s">
        <v>281</v>
      </c>
      <c r="P28" s="7" t="s">
        <v>75</v>
      </c>
      <c r="Q28" s="7"/>
      <c r="R28" s="7"/>
      <c r="S28" s="7"/>
      <c r="T28" s="7"/>
      <c r="U28" s="7"/>
    </row>
    <row r="29" customFormat="false" ht="15" hidden="false" customHeight="false" outlineLevel="0" collapsed="false">
      <c r="A29" s="7" t="s">
        <v>6</v>
      </c>
      <c r="B29" s="7" t="s">
        <v>282</v>
      </c>
      <c r="C29" s="7" t="s">
        <v>23</v>
      </c>
      <c r="D29" s="7" t="s">
        <v>95</v>
      </c>
      <c r="E29" s="7" t="s">
        <v>283</v>
      </c>
      <c r="F29" s="7" t="s">
        <v>66</v>
      </c>
      <c r="G29" s="7" t="s">
        <v>284</v>
      </c>
      <c r="H29" s="7" t="s">
        <v>258</v>
      </c>
      <c r="I29" s="10" t="n">
        <v>300</v>
      </c>
      <c r="J29" s="7" t="s">
        <v>69</v>
      </c>
      <c r="K29" s="7" t="s">
        <v>285</v>
      </c>
      <c r="L29" s="7"/>
      <c r="M29" s="7" t="s">
        <v>177</v>
      </c>
      <c r="N29" s="7" t="s">
        <v>286</v>
      </c>
      <c r="O29" s="7" t="s">
        <v>287</v>
      </c>
      <c r="P29" s="7" t="s">
        <v>75</v>
      </c>
      <c r="Q29" s="7"/>
      <c r="R29" s="7"/>
      <c r="S29" s="7"/>
      <c r="T29" s="7"/>
      <c r="U29" s="7"/>
    </row>
    <row r="30" customFormat="false" ht="15" hidden="false" customHeight="false" outlineLevel="0" collapsed="false">
      <c r="A30" s="7" t="s">
        <v>6</v>
      </c>
      <c r="B30" s="7" t="s">
        <v>288</v>
      </c>
      <c r="C30" s="7" t="s">
        <v>23</v>
      </c>
      <c r="D30" s="7" t="s">
        <v>204</v>
      </c>
      <c r="E30" s="7" t="s">
        <v>154</v>
      </c>
      <c r="F30" s="7" t="s">
        <v>155</v>
      </c>
      <c r="G30" s="7" t="s">
        <v>289</v>
      </c>
      <c r="H30" s="7" t="s">
        <v>258</v>
      </c>
      <c r="I30" s="10" t="n">
        <v>400</v>
      </c>
      <c r="J30" s="7" t="s">
        <v>69</v>
      </c>
      <c r="K30" s="7" t="s">
        <v>290</v>
      </c>
      <c r="L30" s="7"/>
      <c r="M30" s="7" t="s">
        <v>177</v>
      </c>
      <c r="N30" s="7" t="s">
        <v>291</v>
      </c>
      <c r="O30" s="7" t="s">
        <v>292</v>
      </c>
      <c r="P30" s="7" t="s">
        <v>75</v>
      </c>
      <c r="Q30" s="7"/>
      <c r="R30" s="7"/>
      <c r="S30" s="7"/>
      <c r="T30" s="7"/>
      <c r="U30" s="7"/>
    </row>
    <row r="31" customFormat="false" ht="15" hidden="false" customHeight="false" outlineLevel="0" collapsed="false">
      <c r="A31" s="7" t="s">
        <v>6</v>
      </c>
      <c r="B31" s="7" t="s">
        <v>293</v>
      </c>
      <c r="C31" s="7" t="s">
        <v>24</v>
      </c>
      <c r="D31" s="7" t="s">
        <v>294</v>
      </c>
      <c r="E31" s="7" t="s">
        <v>295</v>
      </c>
      <c r="F31" s="7" t="s">
        <v>296</v>
      </c>
      <c r="G31" s="7" t="s">
        <v>297</v>
      </c>
      <c r="H31" s="7" t="s">
        <v>68</v>
      </c>
      <c r="I31" s="10" t="n">
        <v>2500</v>
      </c>
      <c r="J31" s="7" t="s">
        <v>69</v>
      </c>
      <c r="K31" s="7" t="s">
        <v>298</v>
      </c>
      <c r="L31" s="7" t="s">
        <v>299</v>
      </c>
      <c r="M31" s="7" t="s">
        <v>300</v>
      </c>
      <c r="N31" s="7" t="s">
        <v>301</v>
      </c>
      <c r="O31" s="7" t="s">
        <v>302</v>
      </c>
      <c r="P31" s="7" t="s">
        <v>303</v>
      </c>
      <c r="Q31" s="7"/>
      <c r="R31" s="7"/>
      <c r="S31" s="7"/>
      <c r="T31" s="7"/>
      <c r="U31" s="7"/>
    </row>
    <row r="32" customFormat="false" ht="15" hidden="false" customHeight="false" outlineLevel="0" collapsed="false">
      <c r="A32" s="7" t="s">
        <v>6</v>
      </c>
      <c r="B32" s="7" t="s">
        <v>304</v>
      </c>
      <c r="C32" s="7" t="s">
        <v>24</v>
      </c>
      <c r="D32" s="7" t="s">
        <v>305</v>
      </c>
      <c r="E32" s="7" t="s">
        <v>306</v>
      </c>
      <c r="F32" s="7" t="s">
        <v>222</v>
      </c>
      <c r="G32" s="7" t="s">
        <v>307</v>
      </c>
      <c r="H32" s="7" t="s">
        <v>68</v>
      </c>
      <c r="I32" s="10" t="n">
        <v>900</v>
      </c>
      <c r="J32" s="7" t="s">
        <v>69</v>
      </c>
      <c r="K32" s="7" t="s">
        <v>308</v>
      </c>
      <c r="L32" s="7" t="s">
        <v>309</v>
      </c>
      <c r="M32" s="7" t="s">
        <v>310</v>
      </c>
      <c r="N32" s="7" t="s">
        <v>311</v>
      </c>
      <c r="O32" s="7" t="s">
        <v>312</v>
      </c>
      <c r="P32" s="7" t="s">
        <v>313</v>
      </c>
      <c r="Q32" s="7"/>
      <c r="R32" s="7"/>
      <c r="S32" s="7"/>
      <c r="T32" s="7"/>
      <c r="U32" s="7"/>
    </row>
    <row r="33" customFormat="false" ht="15" hidden="false" customHeight="false" outlineLevel="0" collapsed="false">
      <c r="A33" s="7" t="s">
        <v>6</v>
      </c>
      <c r="B33" s="7" t="s">
        <v>314</v>
      </c>
      <c r="C33" s="7" t="s">
        <v>24</v>
      </c>
      <c r="D33" s="7" t="s">
        <v>315</v>
      </c>
      <c r="E33" s="7" t="s">
        <v>316</v>
      </c>
      <c r="F33" s="7" t="s">
        <v>317</v>
      </c>
      <c r="G33" s="7" t="s">
        <v>318</v>
      </c>
      <c r="H33" s="7" t="s">
        <v>149</v>
      </c>
      <c r="I33" s="10" t="n">
        <v>700</v>
      </c>
      <c r="J33" s="7" t="s">
        <v>69</v>
      </c>
      <c r="K33" s="7" t="s">
        <v>319</v>
      </c>
      <c r="L33" s="7" t="s">
        <v>320</v>
      </c>
      <c r="M33" s="7" t="s">
        <v>321</v>
      </c>
      <c r="N33" s="7" t="s">
        <v>322</v>
      </c>
      <c r="O33" s="7" t="s">
        <v>323</v>
      </c>
      <c r="P33" s="7" t="s">
        <v>324</v>
      </c>
      <c r="Q33" s="7"/>
      <c r="R33" s="7"/>
      <c r="S33" s="7"/>
      <c r="T33" s="7"/>
      <c r="U33" s="7"/>
    </row>
    <row r="34" customFormat="false" ht="15" hidden="false" customHeight="false" outlineLevel="0" collapsed="false">
      <c r="A34" s="7" t="s">
        <v>6</v>
      </c>
      <c r="B34" s="7" t="s">
        <v>325</v>
      </c>
      <c r="C34" s="7" t="s">
        <v>24</v>
      </c>
      <c r="D34" s="7" t="s">
        <v>326</v>
      </c>
      <c r="E34" s="7" t="s">
        <v>327</v>
      </c>
      <c r="F34" s="7" t="s">
        <v>328</v>
      </c>
      <c r="G34" s="7" t="s">
        <v>329</v>
      </c>
      <c r="H34" s="7" t="s">
        <v>149</v>
      </c>
      <c r="I34" s="10" t="n">
        <v>800</v>
      </c>
      <c r="J34" s="7" t="s">
        <v>69</v>
      </c>
      <c r="K34" s="7" t="s">
        <v>157</v>
      </c>
      <c r="L34" s="7" t="s">
        <v>330</v>
      </c>
      <c r="M34" s="7" t="s">
        <v>331</v>
      </c>
      <c r="N34" s="7" t="s">
        <v>332</v>
      </c>
      <c r="O34" s="7" t="s">
        <v>333</v>
      </c>
      <c r="P34" s="7" t="s">
        <v>334</v>
      </c>
      <c r="Q34" s="7"/>
      <c r="R34" s="7"/>
      <c r="S34" s="7"/>
      <c r="T34" s="7"/>
      <c r="U34" s="7"/>
    </row>
    <row r="35" customFormat="false" ht="15" hidden="false" customHeight="false" outlineLevel="0" collapsed="false">
      <c r="A35" s="7" t="s">
        <v>6</v>
      </c>
      <c r="B35" s="7" t="s">
        <v>335</v>
      </c>
      <c r="C35" s="7" t="s">
        <v>24</v>
      </c>
      <c r="D35" s="7" t="s">
        <v>336</v>
      </c>
      <c r="E35" s="7" t="s">
        <v>337</v>
      </c>
      <c r="F35" s="7" t="s">
        <v>338</v>
      </c>
      <c r="G35" s="7" t="s">
        <v>339</v>
      </c>
      <c r="H35" s="7" t="s">
        <v>174</v>
      </c>
      <c r="I35" s="10" t="n">
        <v>500</v>
      </c>
      <c r="J35" s="7" t="s">
        <v>69</v>
      </c>
      <c r="K35" s="7" t="s">
        <v>340</v>
      </c>
      <c r="L35" s="7" t="s">
        <v>341</v>
      </c>
      <c r="M35" s="7" t="s">
        <v>321</v>
      </c>
      <c r="N35" s="7" t="s">
        <v>342</v>
      </c>
      <c r="O35" s="7" t="s">
        <v>343</v>
      </c>
      <c r="P35" s="7" t="s">
        <v>344</v>
      </c>
      <c r="Q35" s="7"/>
      <c r="R35" s="7"/>
      <c r="S35" s="7"/>
      <c r="T35" s="7"/>
      <c r="U35" s="7"/>
    </row>
    <row r="36" customFormat="false" ht="15" hidden="false" customHeight="false" outlineLevel="0" collapsed="false">
      <c r="A36" s="7" t="s">
        <v>6</v>
      </c>
      <c r="B36" s="7" t="s">
        <v>345</v>
      </c>
      <c r="C36" s="7" t="s">
        <v>25</v>
      </c>
      <c r="D36" s="7" t="s">
        <v>346</v>
      </c>
      <c r="E36" s="7" t="s">
        <v>347</v>
      </c>
      <c r="F36" s="7" t="s">
        <v>348</v>
      </c>
      <c r="G36" s="7" t="s">
        <v>349</v>
      </c>
      <c r="H36" s="7" t="s">
        <v>68</v>
      </c>
      <c r="I36" s="10" t="n">
        <v>1500</v>
      </c>
      <c r="J36" s="7" t="s">
        <v>350</v>
      </c>
      <c r="K36" s="7"/>
      <c r="L36" s="7" t="s">
        <v>351</v>
      </c>
      <c r="M36" s="7" t="s">
        <v>352</v>
      </c>
      <c r="N36" s="7" t="s">
        <v>353</v>
      </c>
      <c r="O36" s="7" t="s">
        <v>354</v>
      </c>
      <c r="P36" s="7" t="s">
        <v>355</v>
      </c>
      <c r="Q36" s="7"/>
      <c r="R36" s="7"/>
      <c r="S36" s="7"/>
      <c r="T36" s="7"/>
      <c r="U36" s="7"/>
    </row>
    <row r="37" customFormat="false" ht="15" hidden="false" customHeight="false" outlineLevel="0" collapsed="false">
      <c r="A37" s="7" t="s">
        <v>6</v>
      </c>
      <c r="B37" s="7" t="s">
        <v>356</v>
      </c>
      <c r="C37" s="7" t="s">
        <v>25</v>
      </c>
      <c r="D37" s="7" t="s">
        <v>357</v>
      </c>
      <c r="E37" s="7" t="s">
        <v>358</v>
      </c>
      <c r="F37" s="7" t="s">
        <v>359</v>
      </c>
      <c r="G37" s="7" t="s">
        <v>360</v>
      </c>
      <c r="H37" s="7" t="s">
        <v>68</v>
      </c>
      <c r="I37" s="10" t="n">
        <v>2000</v>
      </c>
      <c r="J37" s="7" t="s">
        <v>69</v>
      </c>
      <c r="K37" s="7" t="s">
        <v>285</v>
      </c>
      <c r="L37" s="7" t="s">
        <v>361</v>
      </c>
      <c r="M37" s="7" t="s">
        <v>362</v>
      </c>
      <c r="N37" s="7" t="s">
        <v>363</v>
      </c>
      <c r="O37" s="7" t="s">
        <v>364</v>
      </c>
      <c r="P37" s="7" t="s">
        <v>365</v>
      </c>
      <c r="Q37" s="7"/>
      <c r="R37" s="7"/>
      <c r="S37" s="7"/>
      <c r="T37" s="7"/>
      <c r="U37" s="7"/>
    </row>
    <row r="38" customFormat="false" ht="15" hidden="false" customHeight="false" outlineLevel="0" collapsed="false">
      <c r="A38" s="7" t="s">
        <v>6</v>
      </c>
      <c r="B38" s="7" t="s">
        <v>366</v>
      </c>
      <c r="C38" s="7" t="s">
        <v>25</v>
      </c>
      <c r="D38" s="7" t="s">
        <v>367</v>
      </c>
      <c r="E38" s="7" t="s">
        <v>368</v>
      </c>
      <c r="F38" s="7" t="s">
        <v>78</v>
      </c>
      <c r="G38" s="7" t="s">
        <v>369</v>
      </c>
      <c r="H38" s="7" t="s">
        <v>68</v>
      </c>
      <c r="I38" s="10" t="n">
        <v>1800</v>
      </c>
      <c r="J38" s="7" t="s">
        <v>350</v>
      </c>
      <c r="K38" s="7"/>
      <c r="L38" s="7" t="s">
        <v>370</v>
      </c>
      <c r="M38" s="7" t="s">
        <v>371</v>
      </c>
      <c r="N38" s="7" t="s">
        <v>372</v>
      </c>
      <c r="O38" s="7" t="s">
        <v>373</v>
      </c>
      <c r="P38" s="7" t="s">
        <v>374</v>
      </c>
      <c r="Q38" s="7"/>
      <c r="R38" s="7"/>
      <c r="S38" s="7"/>
      <c r="T38" s="7"/>
      <c r="U38" s="7"/>
    </row>
    <row r="39" customFormat="false" ht="15" hidden="false" customHeight="false" outlineLevel="0" collapsed="false">
      <c r="A39" s="7" t="s">
        <v>6</v>
      </c>
      <c r="B39" s="7" t="s">
        <v>375</v>
      </c>
      <c r="C39" s="7" t="s">
        <v>25</v>
      </c>
      <c r="D39" s="7" t="s">
        <v>346</v>
      </c>
      <c r="E39" s="7" t="s">
        <v>347</v>
      </c>
      <c r="F39" s="7" t="s">
        <v>348</v>
      </c>
      <c r="G39" s="7" t="s">
        <v>376</v>
      </c>
      <c r="H39" s="7" t="s">
        <v>68</v>
      </c>
      <c r="I39" s="10" t="n">
        <v>1000</v>
      </c>
      <c r="J39" s="7" t="s">
        <v>377</v>
      </c>
      <c r="K39" s="7"/>
      <c r="L39" s="7" t="s">
        <v>378</v>
      </c>
      <c r="M39" s="7" t="s">
        <v>379</v>
      </c>
      <c r="N39" s="7" t="s">
        <v>380</v>
      </c>
      <c r="O39" s="7" t="s">
        <v>381</v>
      </c>
      <c r="P39" s="7" t="s">
        <v>382</v>
      </c>
      <c r="Q39" s="7"/>
      <c r="R39" s="7"/>
      <c r="S39" s="7"/>
      <c r="T39" s="7"/>
      <c r="U39" s="7"/>
    </row>
    <row r="40" customFormat="false" ht="15" hidden="false" customHeight="false" outlineLevel="0" collapsed="false">
      <c r="A40" s="7" t="s">
        <v>6</v>
      </c>
      <c r="B40" s="7" t="s">
        <v>383</v>
      </c>
      <c r="C40" s="7" t="s">
        <v>25</v>
      </c>
      <c r="D40" s="7" t="s">
        <v>384</v>
      </c>
      <c r="E40" s="7" t="s">
        <v>249</v>
      </c>
      <c r="F40" s="7" t="s">
        <v>250</v>
      </c>
      <c r="G40" s="7" t="s">
        <v>385</v>
      </c>
      <c r="H40" s="7" t="s">
        <v>68</v>
      </c>
      <c r="I40" s="10" t="n">
        <v>4000</v>
      </c>
      <c r="J40" s="7" t="s">
        <v>386</v>
      </c>
      <c r="K40" s="7"/>
      <c r="L40" s="7" t="s">
        <v>387</v>
      </c>
      <c r="M40" s="7" t="s">
        <v>388</v>
      </c>
      <c r="N40" s="7" t="s">
        <v>389</v>
      </c>
      <c r="O40" s="7" t="s">
        <v>390</v>
      </c>
      <c r="P40" s="7" t="s">
        <v>391</v>
      </c>
      <c r="Q40" s="7"/>
      <c r="R40" s="7"/>
      <c r="S40" s="7"/>
      <c r="T40" s="7"/>
      <c r="U40" s="7"/>
    </row>
    <row r="41" customFormat="false" ht="15" hidden="false" customHeight="false" outlineLevel="0" collapsed="false">
      <c r="A41" s="7" t="s">
        <v>6</v>
      </c>
      <c r="B41" s="7" t="s">
        <v>392</v>
      </c>
      <c r="C41" s="7" t="s">
        <v>25</v>
      </c>
      <c r="D41" s="7" t="s">
        <v>393</v>
      </c>
      <c r="E41" s="7" t="s">
        <v>394</v>
      </c>
      <c r="F41" s="7" t="s">
        <v>78</v>
      </c>
      <c r="G41" s="7" t="s">
        <v>395</v>
      </c>
      <c r="H41" s="7" t="s">
        <v>68</v>
      </c>
      <c r="I41" s="10" t="n">
        <v>1200</v>
      </c>
      <c r="J41" s="7" t="s">
        <v>377</v>
      </c>
      <c r="K41" s="7"/>
      <c r="L41" s="7" t="s">
        <v>396</v>
      </c>
      <c r="M41" s="7" t="s">
        <v>397</v>
      </c>
      <c r="N41" s="7" t="s">
        <v>398</v>
      </c>
      <c r="O41" s="7" t="s">
        <v>399</v>
      </c>
      <c r="P41" s="7" t="s">
        <v>400</v>
      </c>
      <c r="Q41" s="7"/>
      <c r="R41" s="7"/>
      <c r="S41" s="7"/>
      <c r="T41" s="7"/>
      <c r="U41" s="7"/>
    </row>
    <row r="42" customFormat="false" ht="15" hidden="false" customHeight="false" outlineLevel="0" collapsed="false">
      <c r="A42" s="7" t="s">
        <v>6</v>
      </c>
      <c r="B42" s="7" t="s">
        <v>401</v>
      </c>
      <c r="C42" s="7" t="s">
        <v>25</v>
      </c>
      <c r="D42" s="7" t="s">
        <v>402</v>
      </c>
      <c r="E42" s="7" t="s">
        <v>347</v>
      </c>
      <c r="F42" s="7" t="s">
        <v>348</v>
      </c>
      <c r="G42" s="7" t="s">
        <v>403</v>
      </c>
      <c r="H42" s="7" t="s">
        <v>68</v>
      </c>
      <c r="I42" s="10" t="n">
        <v>2300</v>
      </c>
      <c r="J42" s="7" t="s">
        <v>350</v>
      </c>
      <c r="K42" s="7"/>
      <c r="L42" s="7" t="s">
        <v>404</v>
      </c>
      <c r="M42" s="7" t="s">
        <v>405</v>
      </c>
      <c r="N42" s="7" t="s">
        <v>406</v>
      </c>
      <c r="O42" s="7" t="s">
        <v>407</v>
      </c>
      <c r="P42" s="7" t="s">
        <v>408</v>
      </c>
      <c r="Q42" s="7"/>
      <c r="R42" s="7"/>
      <c r="S42" s="7"/>
      <c r="T42" s="7"/>
      <c r="U42" s="7"/>
    </row>
    <row r="43" customFormat="false" ht="15" hidden="false" customHeight="false" outlineLevel="0" collapsed="false">
      <c r="A43" s="7" t="s">
        <v>6</v>
      </c>
      <c r="B43" s="7" t="s">
        <v>409</v>
      </c>
      <c r="C43" s="7" t="s">
        <v>25</v>
      </c>
      <c r="D43" s="7" t="s">
        <v>410</v>
      </c>
      <c r="E43" s="7" t="s">
        <v>411</v>
      </c>
      <c r="F43" s="7" t="s">
        <v>137</v>
      </c>
      <c r="G43" s="7" t="s">
        <v>412</v>
      </c>
      <c r="H43" s="7" t="s">
        <v>68</v>
      </c>
      <c r="I43" s="10" t="n">
        <v>3300</v>
      </c>
      <c r="J43" s="7" t="s">
        <v>350</v>
      </c>
      <c r="K43" s="7"/>
      <c r="L43" s="7" t="s">
        <v>413</v>
      </c>
      <c r="M43" s="7" t="s">
        <v>414</v>
      </c>
      <c r="N43" s="7" t="s">
        <v>415</v>
      </c>
      <c r="O43" s="7" t="s">
        <v>416</v>
      </c>
      <c r="P43" s="7" t="s">
        <v>417</v>
      </c>
      <c r="Q43" s="7"/>
      <c r="R43" s="7"/>
      <c r="S43" s="7"/>
      <c r="T43" s="7"/>
      <c r="U43" s="7"/>
    </row>
    <row r="44" customFormat="false" ht="15" hidden="false" customHeight="false" outlineLevel="0" collapsed="false">
      <c r="A44" s="7" t="s">
        <v>6</v>
      </c>
      <c r="B44" s="7" t="s">
        <v>418</v>
      </c>
      <c r="C44" s="7" t="s">
        <v>25</v>
      </c>
      <c r="D44" s="7" t="s">
        <v>419</v>
      </c>
      <c r="E44" s="7" t="s">
        <v>420</v>
      </c>
      <c r="F44" s="7" t="s">
        <v>78</v>
      </c>
      <c r="G44" s="7" t="s">
        <v>421</v>
      </c>
      <c r="H44" s="7" t="s">
        <v>68</v>
      </c>
      <c r="I44" s="10" t="n">
        <v>3500</v>
      </c>
      <c r="J44" s="7" t="s">
        <v>377</v>
      </c>
      <c r="K44" s="7"/>
      <c r="L44" s="7" t="s">
        <v>422</v>
      </c>
      <c r="M44" s="7" t="s">
        <v>414</v>
      </c>
      <c r="N44" s="7" t="s">
        <v>423</v>
      </c>
      <c r="O44" s="7" t="s">
        <v>424</v>
      </c>
      <c r="P44" s="7" t="s">
        <v>425</v>
      </c>
      <c r="Q44" s="7"/>
      <c r="R44" s="7"/>
      <c r="S44" s="7"/>
      <c r="T44" s="7"/>
      <c r="U44" s="7"/>
    </row>
    <row r="45" customFormat="false" ht="15" hidden="false" customHeight="false" outlineLevel="0" collapsed="false">
      <c r="A45" s="7" t="s">
        <v>6</v>
      </c>
      <c r="B45" s="7" t="s">
        <v>426</v>
      </c>
      <c r="C45" s="7" t="s">
        <v>25</v>
      </c>
      <c r="D45" s="7" t="s">
        <v>410</v>
      </c>
      <c r="E45" s="7" t="s">
        <v>427</v>
      </c>
      <c r="F45" s="7" t="s">
        <v>428</v>
      </c>
      <c r="G45" s="7" t="s">
        <v>429</v>
      </c>
      <c r="H45" s="7" t="s">
        <v>68</v>
      </c>
      <c r="I45" s="10" t="n">
        <v>3000</v>
      </c>
      <c r="J45" s="7" t="s">
        <v>386</v>
      </c>
      <c r="K45" s="7"/>
      <c r="L45" s="7" t="s">
        <v>430</v>
      </c>
      <c r="M45" s="7" t="s">
        <v>414</v>
      </c>
      <c r="N45" s="7" t="s">
        <v>431</v>
      </c>
      <c r="O45" s="7" t="s">
        <v>432</v>
      </c>
      <c r="P45" s="7" t="s">
        <v>433</v>
      </c>
      <c r="Q45" s="7"/>
      <c r="R45" s="7"/>
      <c r="S45" s="7"/>
      <c r="T45" s="7"/>
      <c r="U45" s="7"/>
    </row>
    <row r="46" customFormat="false" ht="15" hidden="false" customHeight="false" outlineLevel="0" collapsed="false">
      <c r="A46" s="7" t="s">
        <v>6</v>
      </c>
      <c r="B46" s="7" t="s">
        <v>434</v>
      </c>
      <c r="C46" s="7" t="s">
        <v>25</v>
      </c>
      <c r="D46" s="7" t="s">
        <v>435</v>
      </c>
      <c r="E46" s="7" t="s">
        <v>112</v>
      </c>
      <c r="F46" s="7" t="s">
        <v>113</v>
      </c>
      <c r="G46" s="7" t="s">
        <v>436</v>
      </c>
      <c r="H46" s="7" t="s">
        <v>149</v>
      </c>
      <c r="I46" s="10" t="n">
        <v>1500</v>
      </c>
      <c r="J46" s="7" t="s">
        <v>69</v>
      </c>
      <c r="K46" s="7" t="s">
        <v>437</v>
      </c>
      <c r="L46" s="7" t="s">
        <v>438</v>
      </c>
      <c r="M46" s="7" t="s">
        <v>439</v>
      </c>
      <c r="N46" s="7" t="s">
        <v>440</v>
      </c>
      <c r="O46" s="7" t="s">
        <v>441</v>
      </c>
      <c r="P46" s="7" t="s">
        <v>442</v>
      </c>
      <c r="Q46" s="7"/>
      <c r="R46" s="7"/>
      <c r="S46" s="7"/>
      <c r="T46" s="7"/>
      <c r="U46" s="7"/>
    </row>
    <row r="47" customFormat="false" ht="15" hidden="false" customHeight="false" outlineLevel="0" collapsed="false">
      <c r="A47" s="7" t="s">
        <v>6</v>
      </c>
      <c r="B47" s="7" t="s">
        <v>443</v>
      </c>
      <c r="C47" s="7" t="s">
        <v>25</v>
      </c>
      <c r="D47" s="7" t="s">
        <v>444</v>
      </c>
      <c r="E47" s="7" t="s">
        <v>445</v>
      </c>
      <c r="F47" s="7" t="s">
        <v>250</v>
      </c>
      <c r="G47" s="7" t="s">
        <v>446</v>
      </c>
      <c r="H47" s="7" t="s">
        <v>149</v>
      </c>
      <c r="I47" s="10" t="n">
        <v>2000</v>
      </c>
      <c r="J47" s="7" t="s">
        <v>69</v>
      </c>
      <c r="K47" s="7" t="s">
        <v>252</v>
      </c>
      <c r="L47" s="7" t="s">
        <v>447</v>
      </c>
      <c r="M47" s="7" t="s">
        <v>448</v>
      </c>
      <c r="N47" s="7" t="s">
        <v>449</v>
      </c>
      <c r="O47" s="7" t="s">
        <v>450</v>
      </c>
      <c r="P47" s="7" t="s">
        <v>451</v>
      </c>
      <c r="Q47" s="7"/>
      <c r="R47" s="7"/>
      <c r="S47" s="7"/>
      <c r="T47" s="7"/>
      <c r="U47" s="7"/>
    </row>
    <row r="48" customFormat="false" ht="15" hidden="false" customHeight="false" outlineLevel="0" collapsed="false">
      <c r="A48" s="7" t="s">
        <v>6</v>
      </c>
      <c r="B48" s="7" t="s">
        <v>452</v>
      </c>
      <c r="C48" s="7" t="s">
        <v>25</v>
      </c>
      <c r="D48" s="7" t="s">
        <v>453</v>
      </c>
      <c r="E48" s="7" t="s">
        <v>454</v>
      </c>
      <c r="F48" s="7" t="s">
        <v>455</v>
      </c>
      <c r="G48" s="7" t="s">
        <v>456</v>
      </c>
      <c r="H48" s="7" t="s">
        <v>149</v>
      </c>
      <c r="I48" s="10" t="n">
        <v>3000</v>
      </c>
      <c r="J48" s="7" t="s">
        <v>69</v>
      </c>
      <c r="K48" s="7" t="s">
        <v>457</v>
      </c>
      <c r="L48" s="7" t="s">
        <v>458</v>
      </c>
      <c r="M48" s="7" t="s">
        <v>448</v>
      </c>
      <c r="N48" s="7" t="s">
        <v>459</v>
      </c>
      <c r="O48" s="7" t="s">
        <v>460</v>
      </c>
      <c r="P48" s="7" t="s">
        <v>461</v>
      </c>
      <c r="Q48" s="7"/>
      <c r="R48" s="7"/>
      <c r="S48" s="7"/>
      <c r="T48" s="7"/>
      <c r="U48" s="7"/>
    </row>
    <row r="49" customFormat="false" ht="15" hidden="false" customHeight="false" outlineLevel="0" collapsed="false">
      <c r="A49" s="7" t="s">
        <v>6</v>
      </c>
      <c r="B49" s="7" t="s">
        <v>462</v>
      </c>
      <c r="C49" s="7" t="s">
        <v>25</v>
      </c>
      <c r="D49" s="7" t="s">
        <v>463</v>
      </c>
      <c r="E49" s="7" t="s">
        <v>347</v>
      </c>
      <c r="F49" s="7" t="s">
        <v>348</v>
      </c>
      <c r="G49" s="7" t="s">
        <v>464</v>
      </c>
      <c r="H49" s="7" t="s">
        <v>149</v>
      </c>
      <c r="I49" s="10" t="n">
        <v>1000</v>
      </c>
      <c r="J49" s="7" t="s">
        <v>69</v>
      </c>
      <c r="K49" s="7" t="s">
        <v>465</v>
      </c>
      <c r="L49" s="7" t="s">
        <v>466</v>
      </c>
      <c r="M49" s="7" t="s">
        <v>467</v>
      </c>
      <c r="N49" s="7" t="s">
        <v>468</v>
      </c>
      <c r="O49" s="7" t="s">
        <v>469</v>
      </c>
      <c r="P49" s="7" t="s">
        <v>470</v>
      </c>
      <c r="Q49" s="7"/>
      <c r="R49" s="7"/>
      <c r="S49" s="7"/>
      <c r="T49" s="7"/>
      <c r="U49" s="7"/>
    </row>
    <row r="50" customFormat="false" ht="15" hidden="false" customHeight="false" outlineLevel="0" collapsed="false">
      <c r="A50" s="7" t="s">
        <v>6</v>
      </c>
      <c r="B50" s="7" t="s">
        <v>471</v>
      </c>
      <c r="C50" s="7" t="s">
        <v>25</v>
      </c>
      <c r="D50" s="7" t="s">
        <v>346</v>
      </c>
      <c r="E50" s="7" t="s">
        <v>394</v>
      </c>
      <c r="F50" s="7" t="s">
        <v>78</v>
      </c>
      <c r="G50" s="7" t="s">
        <v>472</v>
      </c>
      <c r="H50" s="7" t="s">
        <v>149</v>
      </c>
      <c r="I50" s="10" t="n">
        <v>1000</v>
      </c>
      <c r="J50" s="7" t="s">
        <v>350</v>
      </c>
      <c r="K50" s="7"/>
      <c r="L50" s="7" t="s">
        <v>473</v>
      </c>
      <c r="M50" s="7" t="s">
        <v>474</v>
      </c>
      <c r="N50" s="7" t="s">
        <v>475</v>
      </c>
      <c r="O50" s="7" t="s">
        <v>354</v>
      </c>
      <c r="P50" s="7" t="s">
        <v>476</v>
      </c>
      <c r="Q50" s="7"/>
      <c r="R50" s="7"/>
      <c r="S50" s="7"/>
      <c r="T50" s="7"/>
      <c r="U50" s="7"/>
    </row>
    <row r="51" customFormat="false" ht="15" hidden="false" customHeight="false" outlineLevel="0" collapsed="false">
      <c r="A51" s="7" t="s">
        <v>6</v>
      </c>
      <c r="B51" s="7" t="s">
        <v>477</v>
      </c>
      <c r="C51" s="7" t="s">
        <v>25</v>
      </c>
      <c r="D51" s="7" t="s">
        <v>478</v>
      </c>
      <c r="E51" s="7" t="s">
        <v>479</v>
      </c>
      <c r="F51" s="7" t="s">
        <v>480</v>
      </c>
      <c r="G51" s="7" t="s">
        <v>481</v>
      </c>
      <c r="H51" s="7" t="s">
        <v>149</v>
      </c>
      <c r="I51" s="10" t="n">
        <v>1200</v>
      </c>
      <c r="J51" s="7" t="s">
        <v>350</v>
      </c>
      <c r="K51" s="7"/>
      <c r="L51" s="7" t="s">
        <v>482</v>
      </c>
      <c r="M51" s="7" t="s">
        <v>483</v>
      </c>
      <c r="N51" s="7" t="s">
        <v>484</v>
      </c>
      <c r="O51" s="7" t="s">
        <v>485</v>
      </c>
      <c r="P51" s="7" t="s">
        <v>486</v>
      </c>
      <c r="Q51" s="7"/>
      <c r="R51" s="7"/>
      <c r="S51" s="7"/>
      <c r="T51" s="7"/>
      <c r="U51" s="7"/>
    </row>
    <row r="52" customFormat="false" ht="15" hidden="false" customHeight="false" outlineLevel="0" collapsed="false">
      <c r="A52" s="7" t="s">
        <v>6</v>
      </c>
      <c r="B52" s="7" t="s">
        <v>487</v>
      </c>
      <c r="C52" s="7" t="s">
        <v>25</v>
      </c>
      <c r="D52" s="7" t="s">
        <v>488</v>
      </c>
      <c r="E52" s="7" t="s">
        <v>489</v>
      </c>
      <c r="F52" s="7" t="s">
        <v>348</v>
      </c>
      <c r="G52" s="7" t="s">
        <v>490</v>
      </c>
      <c r="H52" s="7" t="s">
        <v>149</v>
      </c>
      <c r="I52" s="10" t="n">
        <v>1700</v>
      </c>
      <c r="J52" s="7" t="s">
        <v>377</v>
      </c>
      <c r="K52" s="7"/>
      <c r="L52" s="7" t="s">
        <v>491</v>
      </c>
      <c r="M52" s="7" t="s">
        <v>492</v>
      </c>
      <c r="N52" s="7" t="s">
        <v>493</v>
      </c>
      <c r="O52" s="7" t="s">
        <v>494</v>
      </c>
      <c r="P52" s="7" t="s">
        <v>495</v>
      </c>
      <c r="Q52" s="7"/>
      <c r="R52" s="7"/>
      <c r="S52" s="7"/>
      <c r="T52" s="7"/>
      <c r="U52" s="7"/>
    </row>
    <row r="53" customFormat="false" ht="15" hidden="false" customHeight="false" outlineLevel="0" collapsed="false">
      <c r="A53" s="7" t="s">
        <v>6</v>
      </c>
      <c r="B53" s="7" t="s">
        <v>496</v>
      </c>
      <c r="C53" s="7" t="s">
        <v>25</v>
      </c>
      <c r="D53" s="7" t="s">
        <v>497</v>
      </c>
      <c r="E53" s="7" t="s">
        <v>112</v>
      </c>
      <c r="F53" s="7" t="s">
        <v>113</v>
      </c>
      <c r="G53" s="7" t="s">
        <v>498</v>
      </c>
      <c r="H53" s="7" t="s">
        <v>149</v>
      </c>
      <c r="I53" s="10" t="n">
        <v>4500</v>
      </c>
      <c r="J53" s="7" t="s">
        <v>69</v>
      </c>
      <c r="K53" s="7" t="s">
        <v>499</v>
      </c>
      <c r="L53" s="7" t="s">
        <v>500</v>
      </c>
      <c r="M53" s="7" t="s">
        <v>448</v>
      </c>
      <c r="N53" s="7" t="s">
        <v>501</v>
      </c>
      <c r="O53" s="7" t="s">
        <v>502</v>
      </c>
      <c r="P53" s="7" t="s">
        <v>503</v>
      </c>
      <c r="Q53" s="7"/>
      <c r="R53" s="7"/>
      <c r="S53" s="7"/>
      <c r="T53" s="7"/>
      <c r="U53" s="7"/>
    </row>
    <row r="54" customFormat="false" ht="15" hidden="false" customHeight="false" outlineLevel="0" collapsed="false">
      <c r="A54" s="7" t="s">
        <v>6</v>
      </c>
      <c r="B54" s="7" t="s">
        <v>504</v>
      </c>
      <c r="C54" s="7" t="s">
        <v>25</v>
      </c>
      <c r="D54" s="7" t="s">
        <v>505</v>
      </c>
      <c r="E54" s="7" t="s">
        <v>65</v>
      </c>
      <c r="F54" s="7" t="s">
        <v>66</v>
      </c>
      <c r="G54" s="7" t="s">
        <v>506</v>
      </c>
      <c r="H54" s="7" t="s">
        <v>149</v>
      </c>
      <c r="I54" s="10" t="n">
        <v>2000</v>
      </c>
      <c r="J54" s="7" t="s">
        <v>69</v>
      </c>
      <c r="K54" s="7" t="s">
        <v>507</v>
      </c>
      <c r="L54" s="7" t="s">
        <v>508</v>
      </c>
      <c r="M54" s="7" t="s">
        <v>509</v>
      </c>
      <c r="N54" s="7" t="s">
        <v>510</v>
      </c>
      <c r="O54" s="7" t="s">
        <v>511</v>
      </c>
      <c r="P54" s="7" t="s">
        <v>512</v>
      </c>
      <c r="Q54" s="7"/>
      <c r="R54" s="7"/>
      <c r="S54" s="7"/>
      <c r="T54" s="7"/>
      <c r="U54" s="7"/>
    </row>
    <row r="55" customFormat="false" ht="15" hidden="false" customHeight="false" outlineLevel="0" collapsed="false">
      <c r="A55" s="7" t="s">
        <v>6</v>
      </c>
      <c r="B55" s="7" t="s">
        <v>513</v>
      </c>
      <c r="C55" s="7" t="s">
        <v>25</v>
      </c>
      <c r="D55" s="7" t="s">
        <v>514</v>
      </c>
      <c r="E55" s="7" t="s">
        <v>515</v>
      </c>
      <c r="F55" s="7" t="s">
        <v>428</v>
      </c>
      <c r="G55" s="7" t="s">
        <v>516</v>
      </c>
      <c r="H55" s="7" t="s">
        <v>149</v>
      </c>
      <c r="I55" s="10" t="n">
        <v>1000</v>
      </c>
      <c r="J55" s="7" t="s">
        <v>517</v>
      </c>
      <c r="K55" s="7"/>
      <c r="L55" s="7" t="s">
        <v>518</v>
      </c>
      <c r="M55" s="7" t="s">
        <v>519</v>
      </c>
      <c r="N55" s="7" t="s">
        <v>520</v>
      </c>
      <c r="O55" s="7" t="s">
        <v>521</v>
      </c>
      <c r="P55" s="7" t="s">
        <v>522</v>
      </c>
      <c r="Q55" s="7"/>
      <c r="R55" s="7"/>
      <c r="S55" s="7"/>
      <c r="T55" s="7"/>
      <c r="U55" s="7"/>
    </row>
    <row r="56" customFormat="false" ht="15" hidden="false" customHeight="false" outlineLevel="0" collapsed="false">
      <c r="A56" s="7" t="s">
        <v>6</v>
      </c>
      <c r="B56" s="7" t="s">
        <v>523</v>
      </c>
      <c r="C56" s="7" t="s">
        <v>25</v>
      </c>
      <c r="D56" s="7" t="s">
        <v>524</v>
      </c>
      <c r="E56" s="7" t="s">
        <v>525</v>
      </c>
      <c r="F56" s="7" t="s">
        <v>348</v>
      </c>
      <c r="G56" s="7" t="s">
        <v>526</v>
      </c>
      <c r="H56" s="7" t="s">
        <v>149</v>
      </c>
      <c r="I56" s="10" t="n">
        <v>4000</v>
      </c>
      <c r="J56" s="7" t="s">
        <v>350</v>
      </c>
      <c r="K56" s="7"/>
      <c r="L56" s="7" t="s">
        <v>527</v>
      </c>
      <c r="M56" s="7" t="s">
        <v>528</v>
      </c>
      <c r="N56" s="7" t="s">
        <v>529</v>
      </c>
      <c r="O56" s="7" t="s">
        <v>530</v>
      </c>
      <c r="P56" s="7" t="s">
        <v>531</v>
      </c>
      <c r="Q56" s="7"/>
      <c r="R56" s="7"/>
      <c r="S56" s="7"/>
      <c r="T56" s="7"/>
      <c r="U56" s="7"/>
    </row>
    <row r="57" customFormat="false" ht="15" hidden="false" customHeight="false" outlineLevel="0" collapsed="false">
      <c r="A57" s="7" t="s">
        <v>6</v>
      </c>
      <c r="B57" s="7" t="s">
        <v>532</v>
      </c>
      <c r="C57" s="7" t="s">
        <v>25</v>
      </c>
      <c r="D57" s="7" t="s">
        <v>533</v>
      </c>
      <c r="E57" s="7" t="s">
        <v>347</v>
      </c>
      <c r="F57" s="7" t="s">
        <v>348</v>
      </c>
      <c r="G57" s="7" t="s">
        <v>534</v>
      </c>
      <c r="H57" s="7" t="s">
        <v>149</v>
      </c>
      <c r="I57" s="10" t="n">
        <v>2000</v>
      </c>
      <c r="J57" s="7" t="s">
        <v>350</v>
      </c>
      <c r="K57" s="7"/>
      <c r="L57" s="7" t="s">
        <v>535</v>
      </c>
      <c r="M57" s="7" t="s">
        <v>536</v>
      </c>
      <c r="N57" s="7" t="s">
        <v>537</v>
      </c>
      <c r="O57" s="7" t="s">
        <v>538</v>
      </c>
      <c r="P57" s="7" t="s">
        <v>417</v>
      </c>
      <c r="Q57" s="7"/>
      <c r="R57" s="7"/>
      <c r="S57" s="7"/>
      <c r="T57" s="7"/>
      <c r="U57" s="7"/>
    </row>
    <row r="58" customFormat="false" ht="15" hidden="false" customHeight="false" outlineLevel="0" collapsed="false">
      <c r="A58" s="7" t="s">
        <v>6</v>
      </c>
      <c r="B58" s="7" t="s">
        <v>539</v>
      </c>
      <c r="C58" s="7" t="s">
        <v>25</v>
      </c>
      <c r="D58" s="7" t="s">
        <v>540</v>
      </c>
      <c r="E58" s="7" t="s">
        <v>154</v>
      </c>
      <c r="F58" s="7" t="s">
        <v>155</v>
      </c>
      <c r="G58" s="7" t="s">
        <v>541</v>
      </c>
      <c r="H58" s="7" t="s">
        <v>149</v>
      </c>
      <c r="I58" s="10" t="n">
        <v>1000</v>
      </c>
      <c r="J58" s="7" t="s">
        <v>69</v>
      </c>
      <c r="K58" s="7" t="s">
        <v>184</v>
      </c>
      <c r="L58" s="7" t="s">
        <v>542</v>
      </c>
      <c r="M58" s="7" t="s">
        <v>543</v>
      </c>
      <c r="N58" s="7" t="s">
        <v>544</v>
      </c>
      <c r="O58" s="7" t="s">
        <v>545</v>
      </c>
      <c r="P58" s="7" t="s">
        <v>546</v>
      </c>
      <c r="Q58" s="7"/>
      <c r="R58" s="7"/>
      <c r="S58" s="7"/>
      <c r="T58" s="7"/>
      <c r="U58" s="7"/>
    </row>
    <row r="59" customFormat="false" ht="15" hidden="false" customHeight="false" outlineLevel="0" collapsed="false">
      <c r="A59" s="7" t="s">
        <v>6</v>
      </c>
      <c r="B59" s="7" t="s">
        <v>547</v>
      </c>
      <c r="C59" s="7" t="s">
        <v>25</v>
      </c>
      <c r="D59" s="7" t="s">
        <v>548</v>
      </c>
      <c r="E59" s="7" t="s">
        <v>549</v>
      </c>
      <c r="F59" s="7" t="s">
        <v>147</v>
      </c>
      <c r="G59" s="7" t="s">
        <v>550</v>
      </c>
      <c r="H59" s="7" t="s">
        <v>149</v>
      </c>
      <c r="I59" s="10" t="n">
        <v>1400</v>
      </c>
      <c r="J59" s="7" t="s">
        <v>377</v>
      </c>
      <c r="K59" s="7"/>
      <c r="L59" s="7" t="s">
        <v>551</v>
      </c>
      <c r="M59" s="7" t="s">
        <v>552</v>
      </c>
      <c r="N59" s="7" t="s">
        <v>553</v>
      </c>
      <c r="O59" s="7" t="s">
        <v>554</v>
      </c>
      <c r="P59" s="7" t="s">
        <v>555</v>
      </c>
      <c r="Q59" s="7"/>
      <c r="R59" s="7"/>
      <c r="S59" s="7"/>
      <c r="T59" s="7"/>
      <c r="U59" s="7"/>
    </row>
    <row r="60" customFormat="false" ht="15" hidden="false" customHeight="false" outlineLevel="0" collapsed="false">
      <c r="A60" s="7" t="s">
        <v>6</v>
      </c>
      <c r="B60" s="7" t="s">
        <v>556</v>
      </c>
      <c r="C60" s="7" t="s">
        <v>25</v>
      </c>
      <c r="D60" s="7" t="s">
        <v>453</v>
      </c>
      <c r="E60" s="7" t="s">
        <v>557</v>
      </c>
      <c r="F60" s="7" t="s">
        <v>78</v>
      </c>
      <c r="G60" s="7" t="s">
        <v>558</v>
      </c>
      <c r="H60" s="7" t="s">
        <v>149</v>
      </c>
      <c r="I60" s="10" t="n">
        <v>3000</v>
      </c>
      <c r="J60" s="7" t="s">
        <v>69</v>
      </c>
      <c r="K60" s="7" t="s">
        <v>559</v>
      </c>
      <c r="L60" s="7" t="s">
        <v>560</v>
      </c>
      <c r="M60" s="7" t="s">
        <v>448</v>
      </c>
      <c r="N60" s="7" t="s">
        <v>561</v>
      </c>
      <c r="O60" s="7" t="s">
        <v>562</v>
      </c>
      <c r="P60" s="7" t="s">
        <v>563</v>
      </c>
      <c r="Q60" s="7"/>
      <c r="R60" s="7"/>
      <c r="S60" s="7"/>
      <c r="T60" s="7"/>
      <c r="U60" s="7"/>
    </row>
    <row r="61" customFormat="false" ht="15" hidden="false" customHeight="false" outlineLevel="0" collapsed="false">
      <c r="A61" s="7" t="s">
        <v>6</v>
      </c>
      <c r="B61" s="7" t="s">
        <v>564</v>
      </c>
      <c r="C61" s="7" t="s">
        <v>25</v>
      </c>
      <c r="D61" s="7" t="s">
        <v>565</v>
      </c>
      <c r="E61" s="7" t="s">
        <v>358</v>
      </c>
      <c r="F61" s="7" t="s">
        <v>359</v>
      </c>
      <c r="G61" s="7" t="s">
        <v>566</v>
      </c>
      <c r="H61" s="7" t="s">
        <v>174</v>
      </c>
      <c r="I61" s="10" t="n">
        <v>1300</v>
      </c>
      <c r="J61" s="7" t="s">
        <v>350</v>
      </c>
      <c r="K61" s="7"/>
      <c r="L61" s="7" t="s">
        <v>567</v>
      </c>
      <c r="M61" s="7" t="s">
        <v>528</v>
      </c>
      <c r="N61" s="7" t="s">
        <v>568</v>
      </c>
      <c r="O61" s="7" t="s">
        <v>485</v>
      </c>
      <c r="P61" s="7" t="s">
        <v>417</v>
      </c>
      <c r="Q61" s="7"/>
      <c r="R61" s="7"/>
      <c r="S61" s="7"/>
      <c r="T61" s="7"/>
      <c r="U61" s="7"/>
    </row>
    <row r="62" customFormat="false" ht="15" hidden="false" customHeight="false" outlineLevel="0" collapsed="false">
      <c r="A62" s="7" t="s">
        <v>6</v>
      </c>
      <c r="B62" s="7" t="s">
        <v>569</v>
      </c>
      <c r="C62" s="7" t="s">
        <v>25</v>
      </c>
      <c r="D62" s="7" t="s">
        <v>570</v>
      </c>
      <c r="E62" s="7" t="s">
        <v>154</v>
      </c>
      <c r="F62" s="7" t="s">
        <v>155</v>
      </c>
      <c r="G62" s="7" t="s">
        <v>571</v>
      </c>
      <c r="H62" s="7" t="s">
        <v>174</v>
      </c>
      <c r="I62" s="10" t="n">
        <v>600</v>
      </c>
      <c r="J62" s="7" t="s">
        <v>69</v>
      </c>
      <c r="K62" s="7" t="s">
        <v>107</v>
      </c>
      <c r="L62" s="7" t="s">
        <v>572</v>
      </c>
      <c r="M62" s="7" t="s">
        <v>573</v>
      </c>
      <c r="N62" s="7" t="s">
        <v>574</v>
      </c>
      <c r="O62" s="7" t="s">
        <v>575</v>
      </c>
      <c r="P62" s="7" t="s">
        <v>451</v>
      </c>
      <c r="Q62" s="7"/>
      <c r="R62" s="7"/>
      <c r="S62" s="7"/>
      <c r="T62" s="7"/>
      <c r="U62" s="7"/>
    </row>
    <row r="63" customFormat="false" ht="15" hidden="false" customHeight="false" outlineLevel="0" collapsed="false">
      <c r="A63" s="7" t="s">
        <v>6</v>
      </c>
      <c r="B63" s="7" t="s">
        <v>576</v>
      </c>
      <c r="C63" s="7" t="s">
        <v>25</v>
      </c>
      <c r="D63" s="7" t="s">
        <v>577</v>
      </c>
      <c r="E63" s="7" t="s">
        <v>154</v>
      </c>
      <c r="F63" s="7" t="s">
        <v>155</v>
      </c>
      <c r="G63" s="7" t="s">
        <v>578</v>
      </c>
      <c r="H63" s="7" t="s">
        <v>174</v>
      </c>
      <c r="I63" s="10" t="n">
        <v>700</v>
      </c>
      <c r="J63" s="7" t="s">
        <v>69</v>
      </c>
      <c r="K63" s="7" t="s">
        <v>80</v>
      </c>
      <c r="L63" s="7" t="s">
        <v>579</v>
      </c>
      <c r="M63" s="7" t="s">
        <v>580</v>
      </c>
      <c r="N63" s="7" t="s">
        <v>581</v>
      </c>
      <c r="O63" s="7" t="s">
        <v>582</v>
      </c>
      <c r="P63" s="7" t="s">
        <v>417</v>
      </c>
      <c r="Q63" s="7"/>
      <c r="R63" s="7"/>
      <c r="S63" s="7"/>
      <c r="T63" s="7"/>
      <c r="U63" s="7"/>
    </row>
    <row r="64" customFormat="false" ht="15" hidden="false" customHeight="false" outlineLevel="0" collapsed="false">
      <c r="A64" s="7" t="s">
        <v>6</v>
      </c>
      <c r="B64" s="7" t="s">
        <v>583</v>
      </c>
      <c r="C64" s="7" t="s">
        <v>25</v>
      </c>
      <c r="D64" s="7" t="s">
        <v>463</v>
      </c>
      <c r="E64" s="7" t="s">
        <v>249</v>
      </c>
      <c r="F64" s="7" t="s">
        <v>250</v>
      </c>
      <c r="G64" s="7" t="s">
        <v>584</v>
      </c>
      <c r="H64" s="7" t="s">
        <v>174</v>
      </c>
      <c r="I64" s="10" t="n">
        <v>800</v>
      </c>
      <c r="J64" s="7" t="s">
        <v>69</v>
      </c>
      <c r="K64" s="7" t="s">
        <v>107</v>
      </c>
      <c r="L64" s="7" t="s">
        <v>585</v>
      </c>
      <c r="M64" s="7" t="s">
        <v>586</v>
      </c>
      <c r="N64" s="7" t="s">
        <v>587</v>
      </c>
      <c r="O64" s="7" t="s">
        <v>575</v>
      </c>
      <c r="P64" s="7" t="s">
        <v>451</v>
      </c>
      <c r="Q64" s="7"/>
      <c r="R64" s="7"/>
      <c r="S64" s="7"/>
      <c r="T64" s="7"/>
      <c r="U64" s="7"/>
    </row>
    <row r="65" customFormat="false" ht="15" hidden="false" customHeight="false" outlineLevel="0" collapsed="false">
      <c r="A65" s="7" t="s">
        <v>6</v>
      </c>
      <c r="B65" s="7" t="s">
        <v>588</v>
      </c>
      <c r="C65" s="7" t="s">
        <v>25</v>
      </c>
      <c r="D65" s="7" t="s">
        <v>589</v>
      </c>
      <c r="E65" s="7" t="s">
        <v>112</v>
      </c>
      <c r="F65" s="7" t="s">
        <v>113</v>
      </c>
      <c r="G65" s="7" t="s">
        <v>590</v>
      </c>
      <c r="H65" s="7" t="s">
        <v>174</v>
      </c>
      <c r="I65" s="10" t="n">
        <v>600</v>
      </c>
      <c r="J65" s="7" t="s">
        <v>69</v>
      </c>
      <c r="K65" s="7" t="s">
        <v>591</v>
      </c>
      <c r="L65" s="7" t="s">
        <v>592</v>
      </c>
      <c r="M65" s="7" t="s">
        <v>593</v>
      </c>
      <c r="N65" s="7" t="s">
        <v>594</v>
      </c>
      <c r="O65" s="7" t="s">
        <v>595</v>
      </c>
      <c r="P65" s="7" t="s">
        <v>596</v>
      </c>
      <c r="Q65" s="7"/>
      <c r="R65" s="7"/>
      <c r="S65" s="7"/>
      <c r="T65" s="7"/>
      <c r="U65" s="7"/>
    </row>
    <row r="66" customFormat="false" ht="15" hidden="false" customHeight="false" outlineLevel="0" collapsed="false">
      <c r="A66" s="7" t="s">
        <v>6</v>
      </c>
      <c r="B66" s="7" t="s">
        <v>597</v>
      </c>
      <c r="C66" s="7" t="s">
        <v>25</v>
      </c>
      <c r="D66" s="7" t="s">
        <v>598</v>
      </c>
      <c r="E66" s="7" t="s">
        <v>599</v>
      </c>
      <c r="F66" s="7" t="s">
        <v>600</v>
      </c>
      <c r="G66" s="7" t="s">
        <v>601</v>
      </c>
      <c r="H66" s="7" t="s">
        <v>174</v>
      </c>
      <c r="I66" s="10" t="n">
        <v>1200</v>
      </c>
      <c r="J66" s="7" t="s">
        <v>350</v>
      </c>
      <c r="K66" s="7"/>
      <c r="L66" s="7" t="s">
        <v>602</v>
      </c>
      <c r="M66" s="7" t="s">
        <v>603</v>
      </c>
      <c r="N66" s="7" t="s">
        <v>604</v>
      </c>
      <c r="O66" s="7" t="s">
        <v>605</v>
      </c>
      <c r="P66" s="7" t="s">
        <v>606</v>
      </c>
      <c r="Q66" s="7"/>
      <c r="R66" s="7"/>
      <c r="S66" s="7"/>
      <c r="T66" s="7"/>
      <c r="U66" s="7"/>
    </row>
    <row r="67" customFormat="false" ht="15" hidden="false" customHeight="false" outlineLevel="0" collapsed="false">
      <c r="A67" s="7" t="s">
        <v>6</v>
      </c>
      <c r="B67" s="7" t="s">
        <v>607</v>
      </c>
      <c r="C67" s="7" t="s">
        <v>25</v>
      </c>
      <c r="D67" s="7" t="s">
        <v>608</v>
      </c>
      <c r="E67" s="7" t="s">
        <v>609</v>
      </c>
      <c r="F67" s="7" t="s">
        <v>610</v>
      </c>
      <c r="G67" s="7" t="s">
        <v>611</v>
      </c>
      <c r="H67" s="7" t="s">
        <v>174</v>
      </c>
      <c r="I67" s="10" t="n">
        <v>1400</v>
      </c>
      <c r="J67" s="7" t="s">
        <v>377</v>
      </c>
      <c r="K67" s="7"/>
      <c r="L67" s="7" t="s">
        <v>612</v>
      </c>
      <c r="M67" s="7" t="s">
        <v>613</v>
      </c>
      <c r="N67" s="7" t="s">
        <v>614</v>
      </c>
      <c r="O67" s="7" t="s">
        <v>615</v>
      </c>
      <c r="P67" s="7" t="s">
        <v>616</v>
      </c>
      <c r="Q67" s="7"/>
      <c r="R67" s="7"/>
      <c r="S67" s="7"/>
      <c r="T67" s="7"/>
      <c r="U67" s="7"/>
    </row>
    <row r="68" customFormat="false" ht="15" hidden="false" customHeight="false" outlineLevel="0" collapsed="false">
      <c r="A68" s="7" t="s">
        <v>6</v>
      </c>
      <c r="B68" s="7" t="s">
        <v>617</v>
      </c>
      <c r="C68" s="7" t="s">
        <v>25</v>
      </c>
      <c r="D68" s="7" t="s">
        <v>618</v>
      </c>
      <c r="E68" s="7" t="s">
        <v>154</v>
      </c>
      <c r="F68" s="7" t="s">
        <v>155</v>
      </c>
      <c r="G68" s="7" t="s">
        <v>619</v>
      </c>
      <c r="H68" s="7" t="s">
        <v>174</v>
      </c>
      <c r="I68" s="10" t="n">
        <v>600</v>
      </c>
      <c r="J68" s="7" t="s">
        <v>69</v>
      </c>
      <c r="K68" s="7" t="s">
        <v>285</v>
      </c>
      <c r="L68" s="7" t="s">
        <v>620</v>
      </c>
      <c r="M68" s="7" t="s">
        <v>621</v>
      </c>
      <c r="N68" s="7" t="s">
        <v>622</v>
      </c>
      <c r="O68" s="7" t="s">
        <v>623</v>
      </c>
      <c r="P68" s="7" t="s">
        <v>624</v>
      </c>
      <c r="Q68" s="7"/>
      <c r="R68" s="7"/>
      <c r="S68" s="7"/>
      <c r="T68" s="7"/>
      <c r="U68" s="7"/>
    </row>
    <row r="69" customFormat="false" ht="15" hidden="false" customHeight="false" outlineLevel="0" collapsed="false">
      <c r="A69" s="7" t="s">
        <v>6</v>
      </c>
      <c r="B69" s="7" t="s">
        <v>625</v>
      </c>
      <c r="C69" s="7" t="s">
        <v>25</v>
      </c>
      <c r="D69" s="7" t="s">
        <v>463</v>
      </c>
      <c r="E69" s="7" t="s">
        <v>249</v>
      </c>
      <c r="F69" s="7" t="s">
        <v>250</v>
      </c>
      <c r="G69" s="7" t="s">
        <v>626</v>
      </c>
      <c r="H69" s="7" t="s">
        <v>174</v>
      </c>
      <c r="I69" s="10" t="n">
        <v>900</v>
      </c>
      <c r="J69" s="7" t="s">
        <v>69</v>
      </c>
      <c r="K69" s="7" t="s">
        <v>627</v>
      </c>
      <c r="L69" s="7" t="s">
        <v>628</v>
      </c>
      <c r="M69" s="7" t="s">
        <v>629</v>
      </c>
      <c r="N69" s="7" t="s">
        <v>630</v>
      </c>
      <c r="O69" s="7" t="s">
        <v>631</v>
      </c>
      <c r="P69" s="7" t="s">
        <v>632</v>
      </c>
      <c r="Q69" s="7"/>
      <c r="R69" s="7"/>
      <c r="S69" s="7"/>
      <c r="T69" s="7"/>
      <c r="U69" s="7"/>
    </row>
    <row r="70" customFormat="false" ht="15" hidden="false" customHeight="false" outlineLevel="0" collapsed="false">
      <c r="A70" s="7" t="s">
        <v>6</v>
      </c>
      <c r="B70" s="7" t="s">
        <v>633</v>
      </c>
      <c r="C70" s="7" t="s">
        <v>25</v>
      </c>
      <c r="D70" s="7" t="s">
        <v>634</v>
      </c>
      <c r="E70" s="7" t="s">
        <v>635</v>
      </c>
      <c r="F70" s="7" t="s">
        <v>338</v>
      </c>
      <c r="G70" s="7" t="s">
        <v>636</v>
      </c>
      <c r="H70" s="7" t="s">
        <v>174</v>
      </c>
      <c r="I70" s="10" t="n">
        <v>600</v>
      </c>
      <c r="J70" s="7" t="s">
        <v>69</v>
      </c>
      <c r="K70" s="7" t="s">
        <v>637</v>
      </c>
      <c r="L70" s="7" t="s">
        <v>638</v>
      </c>
      <c r="M70" s="7" t="s">
        <v>639</v>
      </c>
      <c r="N70" s="7" t="s">
        <v>640</v>
      </c>
      <c r="O70" s="7" t="s">
        <v>641</v>
      </c>
      <c r="P70" s="7" t="s">
        <v>451</v>
      </c>
      <c r="Q70" s="7"/>
      <c r="R70" s="7"/>
      <c r="S70" s="7"/>
      <c r="T70" s="7"/>
      <c r="U70" s="7"/>
    </row>
    <row r="71" customFormat="false" ht="15" hidden="false" customHeight="false" outlineLevel="0" collapsed="false">
      <c r="A71" s="7" t="s">
        <v>6</v>
      </c>
      <c r="B71" s="7" t="s">
        <v>642</v>
      </c>
      <c r="C71" s="7" t="s">
        <v>25</v>
      </c>
      <c r="D71" s="7" t="s">
        <v>643</v>
      </c>
      <c r="E71" s="7" t="s">
        <v>154</v>
      </c>
      <c r="F71" s="7" t="s">
        <v>155</v>
      </c>
      <c r="G71" s="7" t="s">
        <v>644</v>
      </c>
      <c r="H71" s="7" t="s">
        <v>174</v>
      </c>
      <c r="I71" s="10" t="n">
        <v>1000</v>
      </c>
      <c r="J71" s="7" t="s">
        <v>350</v>
      </c>
      <c r="K71" s="7"/>
      <c r="L71" s="7" t="s">
        <v>645</v>
      </c>
      <c r="M71" s="7" t="s">
        <v>528</v>
      </c>
      <c r="N71" s="7" t="s">
        <v>646</v>
      </c>
      <c r="O71" s="7" t="s">
        <v>485</v>
      </c>
      <c r="P71" s="7" t="s">
        <v>647</v>
      </c>
      <c r="Q71" s="7"/>
      <c r="R71" s="7"/>
      <c r="S71" s="7"/>
      <c r="T71" s="7"/>
      <c r="U71" s="7"/>
    </row>
    <row r="72" customFormat="false" ht="15" hidden="false" customHeight="false" outlineLevel="0" collapsed="false">
      <c r="A72" s="7" t="s">
        <v>6</v>
      </c>
      <c r="B72" s="7" t="s">
        <v>648</v>
      </c>
      <c r="C72" s="7" t="s">
        <v>25</v>
      </c>
      <c r="D72" s="7" t="s">
        <v>649</v>
      </c>
      <c r="E72" s="7" t="s">
        <v>650</v>
      </c>
      <c r="F72" s="7" t="s">
        <v>348</v>
      </c>
      <c r="G72" s="7" t="s">
        <v>651</v>
      </c>
      <c r="H72" s="7" t="s">
        <v>174</v>
      </c>
      <c r="I72" s="10" t="n">
        <v>700</v>
      </c>
      <c r="J72" s="7" t="s">
        <v>69</v>
      </c>
      <c r="K72" s="7" t="s">
        <v>627</v>
      </c>
      <c r="L72" s="7" t="s">
        <v>652</v>
      </c>
      <c r="M72" s="7" t="s">
        <v>653</v>
      </c>
      <c r="N72" s="7" t="s">
        <v>654</v>
      </c>
      <c r="O72" s="7" t="s">
        <v>655</v>
      </c>
      <c r="P72" s="7" t="s">
        <v>656</v>
      </c>
      <c r="Q72" s="7"/>
      <c r="R72" s="7"/>
      <c r="S72" s="7"/>
      <c r="T72" s="7"/>
      <c r="U72" s="7"/>
    </row>
    <row r="73" customFormat="false" ht="15" hidden="false" customHeight="false" outlineLevel="0" collapsed="false">
      <c r="A73" s="7" t="s">
        <v>6</v>
      </c>
      <c r="B73" s="7" t="s">
        <v>657</v>
      </c>
      <c r="C73" s="7" t="s">
        <v>25</v>
      </c>
      <c r="D73" s="7" t="s">
        <v>658</v>
      </c>
      <c r="E73" s="7" t="s">
        <v>154</v>
      </c>
      <c r="F73" s="7" t="s">
        <v>155</v>
      </c>
      <c r="G73" s="7" t="s">
        <v>659</v>
      </c>
      <c r="H73" s="7" t="s">
        <v>258</v>
      </c>
      <c r="I73" s="10" t="n">
        <v>400</v>
      </c>
      <c r="J73" s="7" t="s">
        <v>350</v>
      </c>
      <c r="K73" s="7"/>
      <c r="L73" s="7" t="s">
        <v>660</v>
      </c>
      <c r="M73" s="7" t="s">
        <v>661</v>
      </c>
      <c r="N73" s="7" t="s">
        <v>662</v>
      </c>
      <c r="O73" s="7" t="s">
        <v>485</v>
      </c>
      <c r="P73" s="7" t="s">
        <v>417</v>
      </c>
      <c r="Q73" s="7"/>
      <c r="R73" s="7"/>
      <c r="S73" s="7"/>
      <c r="T73" s="7"/>
      <c r="U73" s="7"/>
    </row>
    <row r="74" customFormat="false" ht="15" hidden="false" customHeight="false" outlineLevel="0" collapsed="false">
      <c r="A74" s="7" t="s">
        <v>6</v>
      </c>
      <c r="B74" s="7" t="s">
        <v>663</v>
      </c>
      <c r="C74" s="7" t="s">
        <v>25</v>
      </c>
      <c r="D74" s="7" t="s">
        <v>664</v>
      </c>
      <c r="E74" s="7" t="s">
        <v>665</v>
      </c>
      <c r="F74" s="7" t="s">
        <v>105</v>
      </c>
      <c r="G74" s="7" t="s">
        <v>666</v>
      </c>
      <c r="H74" s="7" t="s">
        <v>258</v>
      </c>
      <c r="I74" s="10" t="n">
        <v>350</v>
      </c>
      <c r="J74" s="7" t="s">
        <v>350</v>
      </c>
      <c r="K74" s="7"/>
      <c r="L74" s="7" t="s">
        <v>667</v>
      </c>
      <c r="M74" s="7" t="s">
        <v>439</v>
      </c>
      <c r="N74" s="7" t="s">
        <v>668</v>
      </c>
      <c r="O74" s="7" t="s">
        <v>669</v>
      </c>
      <c r="P74" s="7" t="s">
        <v>670</v>
      </c>
      <c r="Q74" s="7"/>
      <c r="R74" s="7"/>
      <c r="S74" s="7"/>
      <c r="T74" s="7"/>
      <c r="U74" s="7"/>
    </row>
    <row r="75" customFormat="false" ht="15" hidden="false" customHeight="false" outlineLevel="0" collapsed="false">
      <c r="A75" s="7" t="s">
        <v>6</v>
      </c>
      <c r="B75" s="7" t="s">
        <v>671</v>
      </c>
      <c r="C75" s="7" t="s">
        <v>25</v>
      </c>
      <c r="D75" s="7" t="s">
        <v>672</v>
      </c>
      <c r="E75" s="7" t="s">
        <v>171</v>
      </c>
      <c r="F75" s="7" t="s">
        <v>172</v>
      </c>
      <c r="G75" s="7" t="s">
        <v>673</v>
      </c>
      <c r="H75" s="7" t="s">
        <v>258</v>
      </c>
      <c r="I75" s="10" t="n">
        <v>400</v>
      </c>
      <c r="J75" s="7" t="s">
        <v>350</v>
      </c>
      <c r="K75" s="7"/>
      <c r="L75" s="7" t="s">
        <v>674</v>
      </c>
      <c r="M75" s="7" t="s">
        <v>639</v>
      </c>
      <c r="N75" s="7" t="s">
        <v>675</v>
      </c>
      <c r="O75" s="7" t="s">
        <v>485</v>
      </c>
      <c r="P75" s="7" t="s">
        <v>676</v>
      </c>
      <c r="Q75" s="7"/>
      <c r="R75" s="7"/>
      <c r="S75" s="7"/>
      <c r="T75" s="7"/>
      <c r="U75" s="7"/>
    </row>
    <row r="76" customFormat="false" ht="15" hidden="false" customHeight="false" outlineLevel="0" collapsed="false">
      <c r="A76" s="7" t="s">
        <v>6</v>
      </c>
      <c r="B76" s="7" t="s">
        <v>677</v>
      </c>
      <c r="C76" s="7" t="s">
        <v>25</v>
      </c>
      <c r="D76" s="7" t="s">
        <v>678</v>
      </c>
      <c r="E76" s="7" t="s">
        <v>347</v>
      </c>
      <c r="F76" s="7" t="s">
        <v>348</v>
      </c>
      <c r="G76" s="7" t="s">
        <v>679</v>
      </c>
      <c r="H76" s="7" t="s">
        <v>258</v>
      </c>
      <c r="I76" s="10" t="n">
        <v>300</v>
      </c>
      <c r="J76" s="7" t="s">
        <v>69</v>
      </c>
      <c r="K76" s="7" t="s">
        <v>139</v>
      </c>
      <c r="L76" s="7" t="s">
        <v>680</v>
      </c>
      <c r="M76" s="7" t="s">
        <v>681</v>
      </c>
      <c r="N76" s="7" t="s">
        <v>682</v>
      </c>
      <c r="O76" s="7" t="s">
        <v>683</v>
      </c>
      <c r="P76" s="7" t="s">
        <v>451</v>
      </c>
      <c r="Q76" s="7"/>
      <c r="R76" s="7"/>
      <c r="S76" s="7"/>
      <c r="T76" s="7"/>
      <c r="U76" s="7"/>
    </row>
    <row r="77" customFormat="false" ht="15" hidden="false" customHeight="false" outlineLevel="0" collapsed="false">
      <c r="A77" s="7" t="s">
        <v>6</v>
      </c>
      <c r="B77" s="7" t="s">
        <v>684</v>
      </c>
      <c r="C77" s="7" t="s">
        <v>28</v>
      </c>
      <c r="D77" s="7" t="s">
        <v>685</v>
      </c>
      <c r="E77" s="7" t="s">
        <v>154</v>
      </c>
      <c r="F77" s="7" t="s">
        <v>155</v>
      </c>
      <c r="G77" s="7" t="s">
        <v>686</v>
      </c>
      <c r="H77" s="7" t="s">
        <v>68</v>
      </c>
      <c r="I77" s="10" t="n">
        <v>5000</v>
      </c>
      <c r="J77" s="7" t="s">
        <v>69</v>
      </c>
      <c r="K77" s="7" t="s">
        <v>139</v>
      </c>
      <c r="L77" s="7" t="s">
        <v>687</v>
      </c>
      <c r="M77" s="7" t="s">
        <v>688</v>
      </c>
      <c r="N77" s="7" t="s">
        <v>689</v>
      </c>
      <c r="O77" s="7" t="s">
        <v>690</v>
      </c>
      <c r="P77" s="7" t="s">
        <v>691</v>
      </c>
      <c r="Q77" s="7"/>
      <c r="R77" s="7"/>
      <c r="S77" s="7"/>
      <c r="T77" s="7"/>
      <c r="U77" s="7"/>
    </row>
    <row r="78" customFormat="false" ht="15" hidden="false" customHeight="false" outlineLevel="0" collapsed="false">
      <c r="A78" s="7" t="s">
        <v>6</v>
      </c>
      <c r="B78" s="7" t="s">
        <v>692</v>
      </c>
      <c r="C78" s="7" t="s">
        <v>28</v>
      </c>
      <c r="D78" s="7" t="s">
        <v>693</v>
      </c>
      <c r="E78" s="7" t="s">
        <v>694</v>
      </c>
      <c r="F78" s="7" t="s">
        <v>190</v>
      </c>
      <c r="G78" s="7" t="s">
        <v>695</v>
      </c>
      <c r="H78" s="7" t="s">
        <v>68</v>
      </c>
      <c r="I78" s="10" t="n">
        <v>5000</v>
      </c>
      <c r="J78" s="7" t="s">
        <v>69</v>
      </c>
      <c r="K78" s="7" t="s">
        <v>696</v>
      </c>
      <c r="L78" s="7" t="s">
        <v>697</v>
      </c>
      <c r="M78" s="7" t="s">
        <v>698</v>
      </c>
      <c r="N78" s="7" t="s">
        <v>699</v>
      </c>
      <c r="O78" s="7" t="s">
        <v>700</v>
      </c>
      <c r="P78" s="7" t="s">
        <v>701</v>
      </c>
      <c r="Q78" s="7"/>
      <c r="R78" s="7"/>
      <c r="S78" s="7"/>
      <c r="T78" s="7"/>
      <c r="U78" s="7"/>
    </row>
    <row r="79" customFormat="false" ht="15" hidden="false" customHeight="false" outlineLevel="0" collapsed="false">
      <c r="A79" s="7" t="s">
        <v>6</v>
      </c>
      <c r="B79" s="7" t="s">
        <v>702</v>
      </c>
      <c r="C79" s="7" t="s">
        <v>28</v>
      </c>
      <c r="D79" s="7" t="s">
        <v>703</v>
      </c>
      <c r="E79" s="7" t="s">
        <v>704</v>
      </c>
      <c r="F79" s="7" t="s">
        <v>296</v>
      </c>
      <c r="G79" s="7" t="s">
        <v>705</v>
      </c>
      <c r="H79" s="7" t="s">
        <v>68</v>
      </c>
      <c r="I79" s="10" t="n">
        <v>9000</v>
      </c>
      <c r="J79" s="7" t="s">
        <v>69</v>
      </c>
      <c r="K79" s="7" t="s">
        <v>559</v>
      </c>
      <c r="L79" s="7" t="s">
        <v>706</v>
      </c>
      <c r="M79" s="7" t="s">
        <v>707</v>
      </c>
      <c r="N79" s="7" t="s">
        <v>708</v>
      </c>
      <c r="O79" s="7" t="s">
        <v>709</v>
      </c>
      <c r="P79" s="7" t="s">
        <v>710</v>
      </c>
      <c r="Q79" s="7"/>
      <c r="R79" s="7"/>
      <c r="S79" s="7"/>
      <c r="T79" s="7"/>
      <c r="U79" s="7"/>
    </row>
    <row r="80" customFormat="false" ht="15" hidden="false" customHeight="false" outlineLevel="0" collapsed="false">
      <c r="A80" s="7" t="s">
        <v>6</v>
      </c>
      <c r="B80" s="7" t="s">
        <v>711</v>
      </c>
      <c r="C80" s="7" t="s">
        <v>28</v>
      </c>
      <c r="D80" s="7" t="s">
        <v>712</v>
      </c>
      <c r="E80" s="7" t="s">
        <v>713</v>
      </c>
      <c r="F80" s="7" t="s">
        <v>155</v>
      </c>
      <c r="G80" s="7" t="s">
        <v>714</v>
      </c>
      <c r="H80" s="7" t="s">
        <v>68</v>
      </c>
      <c r="I80" s="10" t="n">
        <v>3500</v>
      </c>
      <c r="J80" s="7" t="s">
        <v>69</v>
      </c>
      <c r="K80" s="7" t="s">
        <v>715</v>
      </c>
      <c r="L80" s="7" t="s">
        <v>716</v>
      </c>
      <c r="M80" s="7" t="s">
        <v>717</v>
      </c>
      <c r="N80" s="7" t="s">
        <v>718</v>
      </c>
      <c r="O80" s="7" t="s">
        <v>719</v>
      </c>
      <c r="P80" s="7" t="s">
        <v>720</v>
      </c>
      <c r="Q80" s="7"/>
      <c r="R80" s="7"/>
      <c r="S80" s="7"/>
      <c r="T80" s="7"/>
      <c r="U80" s="7"/>
    </row>
    <row r="81" customFormat="false" ht="15" hidden="false" customHeight="false" outlineLevel="0" collapsed="false">
      <c r="A81" s="7" t="s">
        <v>6</v>
      </c>
      <c r="B81" s="7" t="s">
        <v>721</v>
      </c>
      <c r="C81" s="7" t="s">
        <v>28</v>
      </c>
      <c r="D81" s="7" t="s">
        <v>722</v>
      </c>
      <c r="E81" s="7" t="s">
        <v>723</v>
      </c>
      <c r="F81" s="7" t="s">
        <v>105</v>
      </c>
      <c r="G81" s="7" t="s">
        <v>724</v>
      </c>
      <c r="H81" s="7" t="s">
        <v>68</v>
      </c>
      <c r="I81" s="10" t="n">
        <v>900</v>
      </c>
      <c r="J81" s="7" t="s">
        <v>69</v>
      </c>
      <c r="K81" s="7" t="s">
        <v>725</v>
      </c>
      <c r="L81" s="7" t="s">
        <v>726</v>
      </c>
      <c r="M81" s="7" t="s">
        <v>727</v>
      </c>
      <c r="N81" s="7" t="s">
        <v>728</v>
      </c>
      <c r="O81" s="7" t="s">
        <v>729</v>
      </c>
      <c r="P81" s="7" t="s">
        <v>730</v>
      </c>
      <c r="Q81" s="7"/>
      <c r="R81" s="7"/>
      <c r="S81" s="7"/>
      <c r="T81" s="7"/>
      <c r="U81" s="7"/>
    </row>
    <row r="82" customFormat="false" ht="15" hidden="false" customHeight="false" outlineLevel="0" collapsed="false">
      <c r="A82" s="7" t="s">
        <v>6</v>
      </c>
      <c r="B82" s="7" t="s">
        <v>731</v>
      </c>
      <c r="C82" s="7" t="s">
        <v>28</v>
      </c>
      <c r="D82" s="7" t="s">
        <v>732</v>
      </c>
      <c r="E82" s="7" t="s">
        <v>249</v>
      </c>
      <c r="F82" s="7" t="s">
        <v>250</v>
      </c>
      <c r="G82" s="7" t="s">
        <v>733</v>
      </c>
      <c r="H82" s="7" t="s">
        <v>68</v>
      </c>
      <c r="I82" s="10" t="n">
        <v>2000</v>
      </c>
      <c r="J82" s="7" t="s">
        <v>69</v>
      </c>
      <c r="K82" s="7" t="s">
        <v>734</v>
      </c>
      <c r="L82" s="7" t="s">
        <v>735</v>
      </c>
      <c r="M82" s="7" t="s">
        <v>736</v>
      </c>
      <c r="N82" s="7" t="s">
        <v>737</v>
      </c>
      <c r="O82" s="7" t="s">
        <v>738</v>
      </c>
      <c r="P82" s="7" t="s">
        <v>739</v>
      </c>
      <c r="Q82" s="7"/>
      <c r="R82" s="7"/>
      <c r="S82" s="7"/>
      <c r="T82" s="7"/>
      <c r="U82" s="7"/>
    </row>
    <row r="83" customFormat="false" ht="15" hidden="false" customHeight="false" outlineLevel="0" collapsed="false">
      <c r="A83" s="7" t="s">
        <v>6</v>
      </c>
      <c r="B83" s="7" t="s">
        <v>740</v>
      </c>
      <c r="C83" s="7" t="s">
        <v>28</v>
      </c>
      <c r="D83" s="7" t="s">
        <v>741</v>
      </c>
      <c r="E83" s="7" t="s">
        <v>154</v>
      </c>
      <c r="F83" s="7" t="s">
        <v>155</v>
      </c>
      <c r="G83" s="7" t="s">
        <v>742</v>
      </c>
      <c r="H83" s="7" t="s">
        <v>68</v>
      </c>
      <c r="I83" s="10"/>
      <c r="J83" s="7" t="s">
        <v>69</v>
      </c>
      <c r="K83" s="7" t="s">
        <v>743</v>
      </c>
      <c r="L83" s="7"/>
      <c r="M83" s="7" t="s">
        <v>744</v>
      </c>
      <c r="N83" s="7" t="s">
        <v>745</v>
      </c>
      <c r="O83" s="7" t="s">
        <v>746</v>
      </c>
      <c r="P83" s="7" t="s">
        <v>747</v>
      </c>
      <c r="Q83" s="7"/>
      <c r="R83" s="7"/>
      <c r="S83" s="7"/>
      <c r="T83" s="7"/>
      <c r="U83" s="7"/>
    </row>
    <row r="84" customFormat="false" ht="15" hidden="false" customHeight="false" outlineLevel="0" collapsed="false">
      <c r="A84" s="7" t="s">
        <v>6</v>
      </c>
      <c r="B84" s="7" t="s">
        <v>748</v>
      </c>
      <c r="C84" s="7" t="s">
        <v>28</v>
      </c>
      <c r="D84" s="7" t="s">
        <v>749</v>
      </c>
      <c r="E84" s="7" t="s">
        <v>479</v>
      </c>
      <c r="F84" s="7" t="s">
        <v>480</v>
      </c>
      <c r="G84" s="7" t="s">
        <v>750</v>
      </c>
      <c r="H84" s="7" t="s">
        <v>68</v>
      </c>
      <c r="I84" s="10" t="n">
        <v>7000</v>
      </c>
      <c r="J84" s="7" t="s">
        <v>69</v>
      </c>
      <c r="K84" s="7" t="s">
        <v>751</v>
      </c>
      <c r="L84" s="7" t="s">
        <v>752</v>
      </c>
      <c r="M84" s="7" t="s">
        <v>753</v>
      </c>
      <c r="N84" s="7" t="s">
        <v>754</v>
      </c>
      <c r="O84" s="7" t="s">
        <v>755</v>
      </c>
      <c r="P84" s="7" t="s">
        <v>756</v>
      </c>
      <c r="Q84" s="7"/>
      <c r="R84" s="7"/>
      <c r="S84" s="7"/>
      <c r="T84" s="7"/>
      <c r="U84" s="7"/>
    </row>
    <row r="85" customFormat="false" ht="15" hidden="false" customHeight="false" outlineLevel="0" collapsed="false">
      <c r="A85" s="7" t="s">
        <v>6</v>
      </c>
      <c r="B85" s="7" t="s">
        <v>757</v>
      </c>
      <c r="C85" s="7" t="s">
        <v>28</v>
      </c>
      <c r="D85" s="7" t="s">
        <v>758</v>
      </c>
      <c r="E85" s="7" t="s">
        <v>759</v>
      </c>
      <c r="F85" s="7" t="s">
        <v>760</v>
      </c>
      <c r="G85" s="7" t="s">
        <v>761</v>
      </c>
      <c r="H85" s="7" t="s">
        <v>68</v>
      </c>
      <c r="I85" s="10" t="n">
        <v>900</v>
      </c>
      <c r="J85" s="7" t="s">
        <v>69</v>
      </c>
      <c r="K85" s="7" t="s">
        <v>762</v>
      </c>
      <c r="L85" s="7" t="s">
        <v>763</v>
      </c>
      <c r="M85" s="7" t="s">
        <v>764</v>
      </c>
      <c r="N85" s="7" t="s">
        <v>765</v>
      </c>
      <c r="O85" s="7" t="s">
        <v>766</v>
      </c>
      <c r="P85" s="7" t="s">
        <v>767</v>
      </c>
      <c r="Q85" s="7"/>
      <c r="R85" s="7"/>
      <c r="S85" s="7"/>
      <c r="T85" s="7"/>
      <c r="U85" s="7"/>
    </row>
    <row r="86" customFormat="false" ht="15" hidden="false" customHeight="false" outlineLevel="0" collapsed="false">
      <c r="A86" s="7" t="s">
        <v>6</v>
      </c>
      <c r="B86" s="7" t="s">
        <v>768</v>
      </c>
      <c r="C86" s="7" t="s">
        <v>28</v>
      </c>
      <c r="D86" s="7" t="s">
        <v>722</v>
      </c>
      <c r="E86" s="7" t="s">
        <v>479</v>
      </c>
      <c r="F86" s="7" t="s">
        <v>480</v>
      </c>
      <c r="G86" s="7" t="s">
        <v>769</v>
      </c>
      <c r="H86" s="7" t="s">
        <v>68</v>
      </c>
      <c r="I86" s="10" t="n">
        <v>900</v>
      </c>
      <c r="J86" s="7" t="s">
        <v>69</v>
      </c>
      <c r="K86" s="7" t="s">
        <v>770</v>
      </c>
      <c r="L86" s="7" t="s">
        <v>771</v>
      </c>
      <c r="M86" s="7" t="s">
        <v>772</v>
      </c>
      <c r="N86" s="7" t="s">
        <v>773</v>
      </c>
      <c r="O86" s="7" t="s">
        <v>774</v>
      </c>
      <c r="P86" s="7" t="s">
        <v>775</v>
      </c>
      <c r="Q86" s="7"/>
      <c r="R86" s="7"/>
      <c r="S86" s="7"/>
      <c r="T86" s="7"/>
      <c r="U86" s="7"/>
    </row>
    <row r="87" customFormat="false" ht="15" hidden="false" customHeight="false" outlineLevel="0" collapsed="false">
      <c r="A87" s="7" t="s">
        <v>6</v>
      </c>
      <c r="B87" s="7" t="s">
        <v>776</v>
      </c>
      <c r="C87" s="7" t="s">
        <v>28</v>
      </c>
      <c r="D87" s="7" t="s">
        <v>777</v>
      </c>
      <c r="E87" s="7" t="s">
        <v>778</v>
      </c>
      <c r="F87" s="7" t="s">
        <v>779</v>
      </c>
      <c r="G87" s="7" t="s">
        <v>780</v>
      </c>
      <c r="H87" s="7" t="s">
        <v>68</v>
      </c>
      <c r="I87" s="10" t="n">
        <v>10000</v>
      </c>
      <c r="J87" s="7" t="s">
        <v>69</v>
      </c>
      <c r="K87" s="7" t="s">
        <v>781</v>
      </c>
      <c r="L87" s="7" t="s">
        <v>782</v>
      </c>
      <c r="M87" s="7" t="s">
        <v>783</v>
      </c>
      <c r="N87" s="7" t="s">
        <v>784</v>
      </c>
      <c r="O87" s="7" t="s">
        <v>785</v>
      </c>
      <c r="P87" s="7" t="s">
        <v>786</v>
      </c>
      <c r="Q87" s="7"/>
      <c r="R87" s="7"/>
      <c r="S87" s="7"/>
      <c r="T87" s="7"/>
      <c r="U87" s="7"/>
    </row>
    <row r="88" customFormat="false" ht="15" hidden="false" customHeight="false" outlineLevel="0" collapsed="false">
      <c r="A88" s="7" t="s">
        <v>6</v>
      </c>
      <c r="B88" s="7" t="s">
        <v>787</v>
      </c>
      <c r="C88" s="7" t="s">
        <v>28</v>
      </c>
      <c r="D88" s="7" t="s">
        <v>788</v>
      </c>
      <c r="E88" s="7" t="s">
        <v>154</v>
      </c>
      <c r="F88" s="7" t="s">
        <v>155</v>
      </c>
      <c r="G88" s="7" t="s">
        <v>789</v>
      </c>
      <c r="H88" s="7" t="s">
        <v>68</v>
      </c>
      <c r="I88" s="10" t="n">
        <v>2500</v>
      </c>
      <c r="J88" s="7" t="s">
        <v>69</v>
      </c>
      <c r="K88" s="7" t="s">
        <v>790</v>
      </c>
      <c r="L88" s="7" t="s">
        <v>791</v>
      </c>
      <c r="M88" s="7" t="s">
        <v>792</v>
      </c>
      <c r="N88" s="7" t="s">
        <v>793</v>
      </c>
      <c r="O88" s="7" t="s">
        <v>794</v>
      </c>
      <c r="P88" s="7" t="s">
        <v>795</v>
      </c>
      <c r="Q88" s="7"/>
      <c r="R88" s="7"/>
      <c r="S88" s="7"/>
      <c r="T88" s="7"/>
      <c r="U88" s="7"/>
    </row>
    <row r="89" customFormat="false" ht="15" hidden="false" customHeight="false" outlineLevel="0" collapsed="false">
      <c r="A89" s="7" t="s">
        <v>6</v>
      </c>
      <c r="B89" s="7" t="s">
        <v>796</v>
      </c>
      <c r="C89" s="7" t="s">
        <v>28</v>
      </c>
      <c r="D89" s="7" t="s">
        <v>703</v>
      </c>
      <c r="E89" s="7" t="s">
        <v>797</v>
      </c>
      <c r="F89" s="7" t="s">
        <v>78</v>
      </c>
      <c r="G89" s="7" t="s">
        <v>798</v>
      </c>
      <c r="H89" s="7" t="s">
        <v>149</v>
      </c>
      <c r="I89" s="10" t="n">
        <v>5000</v>
      </c>
      <c r="J89" s="7" t="s">
        <v>69</v>
      </c>
      <c r="K89" s="7" t="s">
        <v>799</v>
      </c>
      <c r="L89" s="7" t="s">
        <v>800</v>
      </c>
      <c r="M89" s="7" t="s">
        <v>801</v>
      </c>
      <c r="N89" s="7" t="s">
        <v>802</v>
      </c>
      <c r="O89" s="7" t="s">
        <v>803</v>
      </c>
      <c r="P89" s="7" t="s">
        <v>804</v>
      </c>
      <c r="Q89" s="7"/>
      <c r="R89" s="7"/>
      <c r="S89" s="7"/>
      <c r="T89" s="7"/>
      <c r="U89" s="7"/>
    </row>
    <row r="90" customFormat="false" ht="15" hidden="false" customHeight="false" outlineLevel="0" collapsed="false">
      <c r="A90" s="7" t="s">
        <v>6</v>
      </c>
      <c r="B90" s="7" t="s">
        <v>805</v>
      </c>
      <c r="C90" s="7" t="s">
        <v>28</v>
      </c>
      <c r="D90" s="7" t="s">
        <v>806</v>
      </c>
      <c r="E90" s="7" t="s">
        <v>807</v>
      </c>
      <c r="F90" s="7" t="s">
        <v>760</v>
      </c>
      <c r="G90" s="7" t="s">
        <v>808</v>
      </c>
      <c r="H90" s="7" t="s">
        <v>149</v>
      </c>
      <c r="I90" s="10" t="n">
        <v>400</v>
      </c>
      <c r="J90" s="7" t="s">
        <v>69</v>
      </c>
      <c r="K90" s="7" t="s">
        <v>809</v>
      </c>
      <c r="L90" s="7" t="s">
        <v>810</v>
      </c>
      <c r="M90" s="7" t="s">
        <v>811</v>
      </c>
      <c r="N90" s="7" t="s">
        <v>812</v>
      </c>
      <c r="O90" s="7" t="s">
        <v>813</v>
      </c>
      <c r="P90" s="7" t="s">
        <v>814</v>
      </c>
      <c r="Q90" s="7"/>
      <c r="R90" s="7"/>
      <c r="S90" s="7"/>
      <c r="T90" s="7"/>
      <c r="U90" s="7"/>
    </row>
    <row r="91" customFormat="false" ht="15" hidden="false" customHeight="false" outlineLevel="0" collapsed="false">
      <c r="A91" s="7" t="s">
        <v>6</v>
      </c>
      <c r="B91" s="7" t="s">
        <v>815</v>
      </c>
      <c r="C91" s="7" t="s">
        <v>28</v>
      </c>
      <c r="D91" s="7" t="s">
        <v>816</v>
      </c>
      <c r="E91" s="7" t="s">
        <v>817</v>
      </c>
      <c r="F91" s="7" t="s">
        <v>215</v>
      </c>
      <c r="G91" s="7" t="s">
        <v>818</v>
      </c>
      <c r="H91" s="7" t="s">
        <v>149</v>
      </c>
      <c r="I91" s="10" t="n">
        <v>1100</v>
      </c>
      <c r="J91" s="7" t="s">
        <v>69</v>
      </c>
      <c r="K91" s="7" t="s">
        <v>819</v>
      </c>
      <c r="L91" s="7" t="s">
        <v>820</v>
      </c>
      <c r="M91" s="7" t="s">
        <v>821</v>
      </c>
      <c r="N91" s="7" t="s">
        <v>822</v>
      </c>
      <c r="O91" s="7" t="s">
        <v>823</v>
      </c>
      <c r="P91" s="7" t="s">
        <v>824</v>
      </c>
      <c r="Q91" s="7"/>
      <c r="R91" s="7"/>
      <c r="S91" s="7"/>
      <c r="T91" s="7"/>
      <c r="U91" s="7"/>
    </row>
    <row r="92" customFormat="false" ht="15" hidden="false" customHeight="false" outlineLevel="0" collapsed="false">
      <c r="A92" s="7" t="s">
        <v>6</v>
      </c>
      <c r="B92" s="7" t="s">
        <v>825</v>
      </c>
      <c r="C92" s="7" t="s">
        <v>28</v>
      </c>
      <c r="D92" s="7" t="s">
        <v>826</v>
      </c>
      <c r="E92" s="7" t="s">
        <v>827</v>
      </c>
      <c r="F92" s="7" t="s">
        <v>480</v>
      </c>
      <c r="G92" s="7" t="s">
        <v>828</v>
      </c>
      <c r="H92" s="7" t="s">
        <v>149</v>
      </c>
      <c r="I92" s="10" t="n">
        <v>1000</v>
      </c>
      <c r="J92" s="7" t="s">
        <v>69</v>
      </c>
      <c r="K92" s="7" t="s">
        <v>819</v>
      </c>
      <c r="L92" s="7" t="s">
        <v>829</v>
      </c>
      <c r="M92" s="7" t="s">
        <v>736</v>
      </c>
      <c r="N92" s="7" t="s">
        <v>830</v>
      </c>
      <c r="O92" s="7" t="s">
        <v>831</v>
      </c>
      <c r="P92" s="7" t="s">
        <v>832</v>
      </c>
      <c r="Q92" s="7"/>
      <c r="R92" s="7"/>
      <c r="S92" s="7"/>
      <c r="T92" s="7"/>
      <c r="U92" s="7"/>
    </row>
    <row r="93" customFormat="false" ht="15" hidden="false" customHeight="false" outlineLevel="0" collapsed="false">
      <c r="A93" s="7" t="s">
        <v>6</v>
      </c>
      <c r="B93" s="7" t="s">
        <v>833</v>
      </c>
      <c r="C93" s="7" t="s">
        <v>28</v>
      </c>
      <c r="D93" s="7" t="s">
        <v>834</v>
      </c>
      <c r="E93" s="7" t="s">
        <v>835</v>
      </c>
      <c r="F93" s="7" t="s">
        <v>348</v>
      </c>
      <c r="G93" s="7" t="s">
        <v>836</v>
      </c>
      <c r="H93" s="7" t="s">
        <v>149</v>
      </c>
      <c r="I93" s="10" t="n">
        <v>3000</v>
      </c>
      <c r="J93" s="7" t="s">
        <v>69</v>
      </c>
      <c r="K93" s="7" t="s">
        <v>837</v>
      </c>
      <c r="L93" s="7" t="s">
        <v>838</v>
      </c>
      <c r="M93" s="7" t="s">
        <v>839</v>
      </c>
      <c r="N93" s="7" t="s">
        <v>840</v>
      </c>
      <c r="O93" s="7" t="s">
        <v>841</v>
      </c>
      <c r="P93" s="7" t="s">
        <v>842</v>
      </c>
      <c r="Q93" s="7"/>
      <c r="R93" s="7"/>
      <c r="S93" s="7"/>
      <c r="T93" s="7"/>
      <c r="U93" s="7"/>
    </row>
    <row r="94" customFormat="false" ht="15" hidden="false" customHeight="false" outlineLevel="0" collapsed="false">
      <c r="A94" s="7" t="s">
        <v>6</v>
      </c>
      <c r="B94" s="7" t="s">
        <v>843</v>
      </c>
      <c r="C94" s="7" t="s">
        <v>28</v>
      </c>
      <c r="D94" s="7" t="s">
        <v>741</v>
      </c>
      <c r="E94" s="7" t="s">
        <v>844</v>
      </c>
      <c r="F94" s="7" t="s">
        <v>222</v>
      </c>
      <c r="G94" s="7" t="s">
        <v>845</v>
      </c>
      <c r="H94" s="7" t="s">
        <v>149</v>
      </c>
      <c r="I94" s="10" t="n">
        <v>1100</v>
      </c>
      <c r="J94" s="7" t="s">
        <v>69</v>
      </c>
      <c r="K94" s="7" t="s">
        <v>507</v>
      </c>
      <c r="L94" s="7" t="s">
        <v>846</v>
      </c>
      <c r="M94" s="7" t="s">
        <v>847</v>
      </c>
      <c r="N94" s="7" t="s">
        <v>848</v>
      </c>
      <c r="O94" s="7" t="s">
        <v>849</v>
      </c>
      <c r="P94" s="7" t="s">
        <v>850</v>
      </c>
      <c r="Q94" s="7"/>
      <c r="R94" s="7"/>
      <c r="S94" s="7"/>
      <c r="T94" s="7"/>
      <c r="U94" s="7"/>
    </row>
    <row r="95" customFormat="false" ht="15" hidden="false" customHeight="false" outlineLevel="0" collapsed="false">
      <c r="A95" s="7" t="s">
        <v>6</v>
      </c>
      <c r="B95" s="7" t="s">
        <v>851</v>
      </c>
      <c r="C95" s="7" t="s">
        <v>28</v>
      </c>
      <c r="D95" s="7" t="s">
        <v>852</v>
      </c>
      <c r="E95" s="7" t="s">
        <v>853</v>
      </c>
      <c r="F95" s="7" t="s">
        <v>854</v>
      </c>
      <c r="G95" s="7" t="s">
        <v>855</v>
      </c>
      <c r="H95" s="7" t="s">
        <v>149</v>
      </c>
      <c r="I95" s="10" t="n">
        <v>1300</v>
      </c>
      <c r="J95" s="7" t="s">
        <v>69</v>
      </c>
      <c r="K95" s="7"/>
      <c r="L95" s="7" t="s">
        <v>856</v>
      </c>
      <c r="M95" s="7" t="s">
        <v>857</v>
      </c>
      <c r="N95" s="7" t="s">
        <v>858</v>
      </c>
      <c r="O95" s="7" t="s">
        <v>859</v>
      </c>
      <c r="P95" s="7" t="s">
        <v>860</v>
      </c>
      <c r="Q95" s="7"/>
      <c r="R95" s="7"/>
      <c r="S95" s="7"/>
      <c r="T95" s="7"/>
      <c r="U95" s="7"/>
    </row>
    <row r="96" customFormat="false" ht="15" hidden="false" customHeight="false" outlineLevel="0" collapsed="false">
      <c r="A96" s="7" t="s">
        <v>6</v>
      </c>
      <c r="B96" s="7" t="s">
        <v>861</v>
      </c>
      <c r="C96" s="7" t="s">
        <v>28</v>
      </c>
      <c r="D96" s="7" t="s">
        <v>862</v>
      </c>
      <c r="E96" s="7" t="s">
        <v>863</v>
      </c>
      <c r="F96" s="7" t="s">
        <v>78</v>
      </c>
      <c r="G96" s="7" t="s">
        <v>864</v>
      </c>
      <c r="H96" s="7" t="s">
        <v>149</v>
      </c>
      <c r="I96" s="10" t="n">
        <v>4000</v>
      </c>
      <c r="J96" s="7" t="s">
        <v>69</v>
      </c>
      <c r="K96" s="7" t="s">
        <v>865</v>
      </c>
      <c r="L96" s="7" t="s">
        <v>866</v>
      </c>
      <c r="M96" s="7" t="s">
        <v>867</v>
      </c>
      <c r="N96" s="7" t="s">
        <v>868</v>
      </c>
      <c r="O96" s="7" t="s">
        <v>869</v>
      </c>
      <c r="P96" s="7" t="s">
        <v>870</v>
      </c>
      <c r="Q96" s="7"/>
      <c r="R96" s="7"/>
      <c r="S96" s="7"/>
      <c r="T96" s="7"/>
      <c r="U96" s="7"/>
    </row>
    <row r="97" customFormat="false" ht="15" hidden="false" customHeight="false" outlineLevel="0" collapsed="false">
      <c r="A97" s="7" t="s">
        <v>6</v>
      </c>
      <c r="B97" s="7" t="s">
        <v>871</v>
      </c>
      <c r="C97" s="7" t="s">
        <v>28</v>
      </c>
      <c r="D97" s="7" t="s">
        <v>703</v>
      </c>
      <c r="E97" s="7" t="s">
        <v>872</v>
      </c>
      <c r="F97" s="7" t="s">
        <v>222</v>
      </c>
      <c r="G97" s="7" t="s">
        <v>873</v>
      </c>
      <c r="H97" s="7" t="s">
        <v>149</v>
      </c>
      <c r="I97" s="10" t="n">
        <v>5000</v>
      </c>
      <c r="J97" s="7" t="s">
        <v>69</v>
      </c>
      <c r="K97" s="7" t="s">
        <v>715</v>
      </c>
      <c r="L97" s="7" t="s">
        <v>874</v>
      </c>
      <c r="M97" s="7" t="s">
        <v>707</v>
      </c>
      <c r="N97" s="7" t="s">
        <v>875</v>
      </c>
      <c r="O97" s="7" t="s">
        <v>876</v>
      </c>
      <c r="P97" s="7" t="s">
        <v>877</v>
      </c>
      <c r="Q97" s="7"/>
      <c r="R97" s="7"/>
      <c r="S97" s="7"/>
      <c r="T97" s="7"/>
      <c r="U97" s="7"/>
    </row>
    <row r="98" customFormat="false" ht="15" hidden="false" customHeight="false" outlineLevel="0" collapsed="false">
      <c r="A98" s="7" t="s">
        <v>6</v>
      </c>
      <c r="B98" s="7" t="s">
        <v>878</v>
      </c>
      <c r="C98" s="7" t="s">
        <v>28</v>
      </c>
      <c r="D98" s="7" t="s">
        <v>879</v>
      </c>
      <c r="E98" s="7" t="s">
        <v>146</v>
      </c>
      <c r="F98" s="7" t="s">
        <v>147</v>
      </c>
      <c r="G98" s="7" t="s">
        <v>880</v>
      </c>
      <c r="H98" s="7" t="s">
        <v>149</v>
      </c>
      <c r="I98" s="10" t="n">
        <v>1200</v>
      </c>
      <c r="J98" s="7" t="s">
        <v>69</v>
      </c>
      <c r="K98" s="7" t="s">
        <v>881</v>
      </c>
      <c r="L98" s="7" t="s">
        <v>882</v>
      </c>
      <c r="M98" s="7" t="s">
        <v>736</v>
      </c>
      <c r="N98" s="7" t="s">
        <v>883</v>
      </c>
      <c r="O98" s="7" t="s">
        <v>884</v>
      </c>
      <c r="P98" s="7" t="s">
        <v>885</v>
      </c>
      <c r="Q98" s="7"/>
      <c r="R98" s="7"/>
      <c r="S98" s="7"/>
      <c r="T98" s="7"/>
      <c r="U98" s="7"/>
    </row>
    <row r="99" customFormat="false" ht="15" hidden="false" customHeight="false" outlineLevel="0" collapsed="false">
      <c r="A99" s="7" t="s">
        <v>6</v>
      </c>
      <c r="B99" s="7" t="s">
        <v>886</v>
      </c>
      <c r="C99" s="7" t="s">
        <v>28</v>
      </c>
      <c r="D99" s="7" t="s">
        <v>887</v>
      </c>
      <c r="E99" s="7" t="s">
        <v>264</v>
      </c>
      <c r="F99" s="7" t="s">
        <v>250</v>
      </c>
      <c r="G99" s="7" t="s">
        <v>888</v>
      </c>
      <c r="H99" s="7" t="s">
        <v>149</v>
      </c>
      <c r="I99" s="10" t="n">
        <v>1000</v>
      </c>
      <c r="J99" s="7" t="s">
        <v>69</v>
      </c>
      <c r="K99" s="7" t="s">
        <v>889</v>
      </c>
      <c r="L99" s="7" t="s">
        <v>890</v>
      </c>
      <c r="M99" s="7" t="s">
        <v>772</v>
      </c>
      <c r="N99" s="7" t="s">
        <v>891</v>
      </c>
      <c r="O99" s="7" t="s">
        <v>892</v>
      </c>
      <c r="P99" s="7" t="s">
        <v>893</v>
      </c>
      <c r="Q99" s="7"/>
      <c r="R99" s="7"/>
      <c r="S99" s="7"/>
      <c r="T99" s="7"/>
      <c r="U99" s="7"/>
    </row>
    <row r="100" customFormat="false" ht="15" hidden="false" customHeight="false" outlineLevel="0" collapsed="false">
      <c r="A100" s="7" t="s">
        <v>6</v>
      </c>
      <c r="B100" s="7" t="s">
        <v>894</v>
      </c>
      <c r="C100" s="7" t="s">
        <v>28</v>
      </c>
      <c r="D100" s="7" t="s">
        <v>895</v>
      </c>
      <c r="E100" s="7" t="s">
        <v>896</v>
      </c>
      <c r="F100" s="7" t="s">
        <v>348</v>
      </c>
      <c r="G100" s="7" t="s">
        <v>897</v>
      </c>
      <c r="H100" s="7" t="s">
        <v>149</v>
      </c>
      <c r="I100" s="10" t="n">
        <v>1200</v>
      </c>
      <c r="J100" s="7" t="s">
        <v>69</v>
      </c>
      <c r="K100" s="7" t="s">
        <v>898</v>
      </c>
      <c r="L100" s="7" t="s">
        <v>899</v>
      </c>
      <c r="M100" s="7" t="s">
        <v>900</v>
      </c>
      <c r="N100" s="7" t="s">
        <v>901</v>
      </c>
      <c r="O100" s="7" t="s">
        <v>902</v>
      </c>
      <c r="P100" s="7" t="s">
        <v>850</v>
      </c>
      <c r="Q100" s="7"/>
      <c r="R100" s="7"/>
      <c r="S100" s="7"/>
      <c r="T100" s="7"/>
      <c r="U100" s="7"/>
    </row>
    <row r="101" customFormat="false" ht="15" hidden="false" customHeight="false" outlineLevel="0" collapsed="false">
      <c r="A101" s="7" t="s">
        <v>6</v>
      </c>
      <c r="B101" s="7" t="s">
        <v>903</v>
      </c>
      <c r="C101" s="7" t="s">
        <v>28</v>
      </c>
      <c r="D101" s="7" t="s">
        <v>904</v>
      </c>
      <c r="E101" s="7" t="s">
        <v>112</v>
      </c>
      <c r="F101" s="7" t="s">
        <v>113</v>
      </c>
      <c r="G101" s="7" t="s">
        <v>905</v>
      </c>
      <c r="H101" s="7" t="s">
        <v>174</v>
      </c>
      <c r="I101" s="10" t="n">
        <v>900</v>
      </c>
      <c r="J101" s="7" t="s">
        <v>69</v>
      </c>
      <c r="K101" s="7" t="s">
        <v>906</v>
      </c>
      <c r="L101" s="7" t="s">
        <v>907</v>
      </c>
      <c r="M101" s="7" t="s">
        <v>736</v>
      </c>
      <c r="N101" s="7" t="s">
        <v>908</v>
      </c>
      <c r="O101" s="7" t="s">
        <v>909</v>
      </c>
      <c r="P101" s="7" t="s">
        <v>910</v>
      </c>
      <c r="Q101" s="7"/>
      <c r="R101" s="7"/>
      <c r="S101" s="7"/>
      <c r="T101" s="7"/>
      <c r="U101" s="7"/>
    </row>
    <row r="102" customFormat="false" ht="15" hidden="false" customHeight="false" outlineLevel="0" collapsed="false">
      <c r="A102" s="7" t="s">
        <v>6</v>
      </c>
      <c r="B102" s="7" t="s">
        <v>911</v>
      </c>
      <c r="C102" s="7" t="s">
        <v>28</v>
      </c>
      <c r="D102" s="7" t="s">
        <v>912</v>
      </c>
      <c r="E102" s="7" t="s">
        <v>913</v>
      </c>
      <c r="F102" s="7" t="s">
        <v>455</v>
      </c>
      <c r="G102" s="7" t="s">
        <v>914</v>
      </c>
      <c r="H102" s="7" t="s">
        <v>174</v>
      </c>
      <c r="I102" s="10" t="n">
        <v>800</v>
      </c>
      <c r="J102" s="7" t="s">
        <v>69</v>
      </c>
      <c r="K102" s="7" t="s">
        <v>252</v>
      </c>
      <c r="L102" s="7" t="s">
        <v>915</v>
      </c>
      <c r="M102" s="7" t="s">
        <v>698</v>
      </c>
      <c r="N102" s="7" t="s">
        <v>916</v>
      </c>
      <c r="O102" s="7" t="s">
        <v>917</v>
      </c>
      <c r="P102" s="7" t="s">
        <v>918</v>
      </c>
      <c r="Q102" s="7"/>
      <c r="R102" s="7"/>
      <c r="S102" s="7"/>
      <c r="T102" s="7"/>
      <c r="U102" s="7"/>
    </row>
    <row r="103" customFormat="false" ht="15" hidden="false" customHeight="false" outlineLevel="0" collapsed="false">
      <c r="A103" s="7" t="s">
        <v>6</v>
      </c>
      <c r="B103" s="7" t="s">
        <v>919</v>
      </c>
      <c r="C103" s="7" t="s">
        <v>28</v>
      </c>
      <c r="D103" s="7" t="s">
        <v>920</v>
      </c>
      <c r="E103" s="7" t="s">
        <v>921</v>
      </c>
      <c r="F103" s="7" t="s">
        <v>215</v>
      </c>
      <c r="G103" s="7" t="s">
        <v>922</v>
      </c>
      <c r="H103" s="7" t="s">
        <v>174</v>
      </c>
      <c r="I103" s="10" t="n">
        <v>1000</v>
      </c>
      <c r="J103" s="7" t="s">
        <v>69</v>
      </c>
      <c r="K103" s="7"/>
      <c r="L103" s="7" t="s">
        <v>923</v>
      </c>
      <c r="M103" s="7" t="s">
        <v>924</v>
      </c>
      <c r="N103" s="7" t="s">
        <v>925</v>
      </c>
      <c r="O103" s="7" t="s">
        <v>926</v>
      </c>
      <c r="P103" s="7" t="s">
        <v>927</v>
      </c>
      <c r="Q103" s="7"/>
      <c r="R103" s="7"/>
      <c r="S103" s="7"/>
      <c r="T103" s="7"/>
      <c r="U103" s="7"/>
    </row>
    <row r="104" customFormat="false" ht="15" hidden="false" customHeight="false" outlineLevel="0" collapsed="false">
      <c r="A104" s="7" t="s">
        <v>6</v>
      </c>
      <c r="B104" s="7" t="s">
        <v>928</v>
      </c>
      <c r="C104" s="7" t="s">
        <v>28</v>
      </c>
      <c r="D104" s="7" t="s">
        <v>929</v>
      </c>
      <c r="E104" s="7" t="s">
        <v>146</v>
      </c>
      <c r="F104" s="7" t="s">
        <v>147</v>
      </c>
      <c r="G104" s="7" t="s">
        <v>930</v>
      </c>
      <c r="H104" s="7" t="s">
        <v>174</v>
      </c>
      <c r="I104" s="10" t="n">
        <v>500</v>
      </c>
      <c r="J104" s="7" t="s">
        <v>69</v>
      </c>
      <c r="K104" s="7" t="s">
        <v>931</v>
      </c>
      <c r="L104" s="7" t="s">
        <v>932</v>
      </c>
      <c r="M104" s="7" t="s">
        <v>736</v>
      </c>
      <c r="N104" s="7" t="s">
        <v>933</v>
      </c>
      <c r="O104" s="7" t="s">
        <v>934</v>
      </c>
      <c r="P104" s="7" t="s">
        <v>935</v>
      </c>
      <c r="Q104" s="7"/>
      <c r="R104" s="7"/>
      <c r="S104" s="7"/>
      <c r="T104" s="7"/>
      <c r="U104" s="7"/>
    </row>
    <row r="105" customFormat="false" ht="15" hidden="false" customHeight="false" outlineLevel="0" collapsed="false">
      <c r="A105" s="7" t="s">
        <v>6</v>
      </c>
      <c r="B105" s="7" t="s">
        <v>936</v>
      </c>
      <c r="C105" s="7" t="s">
        <v>28</v>
      </c>
      <c r="D105" s="7" t="s">
        <v>937</v>
      </c>
      <c r="E105" s="7" t="s">
        <v>337</v>
      </c>
      <c r="F105" s="7" t="s">
        <v>338</v>
      </c>
      <c r="G105" s="7" t="s">
        <v>938</v>
      </c>
      <c r="H105" s="7" t="s">
        <v>174</v>
      </c>
      <c r="I105" s="10" t="n">
        <v>400</v>
      </c>
      <c r="J105" s="7" t="s">
        <v>69</v>
      </c>
      <c r="K105" s="7" t="s">
        <v>939</v>
      </c>
      <c r="L105" s="7" t="s">
        <v>940</v>
      </c>
      <c r="M105" s="7" t="s">
        <v>727</v>
      </c>
      <c r="N105" s="7" t="s">
        <v>941</v>
      </c>
      <c r="O105" s="7" t="s">
        <v>942</v>
      </c>
      <c r="P105" s="7" t="s">
        <v>943</v>
      </c>
      <c r="Q105" s="7"/>
      <c r="R105" s="7"/>
      <c r="S105" s="7"/>
      <c r="T105" s="7"/>
      <c r="U105" s="7"/>
    </row>
    <row r="106" customFormat="false" ht="15" hidden="false" customHeight="false" outlineLevel="0" collapsed="false">
      <c r="A106" s="7" t="s">
        <v>6</v>
      </c>
      <c r="B106" s="7" t="s">
        <v>944</v>
      </c>
      <c r="C106" s="7" t="s">
        <v>28</v>
      </c>
      <c r="D106" s="7" t="s">
        <v>945</v>
      </c>
      <c r="E106" s="7" t="s">
        <v>445</v>
      </c>
      <c r="F106" s="7" t="s">
        <v>250</v>
      </c>
      <c r="G106" s="7" t="s">
        <v>946</v>
      </c>
      <c r="H106" s="7" t="s">
        <v>174</v>
      </c>
      <c r="I106" s="10" t="n">
        <v>1500</v>
      </c>
      <c r="J106" s="7" t="s">
        <v>69</v>
      </c>
      <c r="K106" s="7"/>
      <c r="L106" s="7" t="s">
        <v>947</v>
      </c>
      <c r="M106" s="7" t="s">
        <v>948</v>
      </c>
      <c r="N106" s="7" t="s">
        <v>949</v>
      </c>
      <c r="O106" s="7" t="s">
        <v>950</v>
      </c>
      <c r="P106" s="7" t="s">
        <v>951</v>
      </c>
      <c r="Q106" s="7"/>
      <c r="R106" s="7"/>
      <c r="S106" s="7"/>
      <c r="T106" s="7"/>
      <c r="U106" s="7"/>
    </row>
    <row r="107" customFormat="false" ht="15" hidden="false" customHeight="false" outlineLevel="0" collapsed="false">
      <c r="A107" s="7" t="s">
        <v>6</v>
      </c>
      <c r="B107" s="7" t="s">
        <v>952</v>
      </c>
      <c r="C107" s="7" t="s">
        <v>28</v>
      </c>
      <c r="D107" s="7" t="s">
        <v>912</v>
      </c>
      <c r="E107" s="7" t="s">
        <v>953</v>
      </c>
      <c r="F107" s="7" t="s">
        <v>954</v>
      </c>
      <c r="G107" s="7" t="s">
        <v>955</v>
      </c>
      <c r="H107" s="7" t="s">
        <v>174</v>
      </c>
      <c r="I107" s="10" t="n">
        <v>600</v>
      </c>
      <c r="J107" s="7" t="s">
        <v>69</v>
      </c>
      <c r="K107" s="7"/>
      <c r="L107" s="7" t="s">
        <v>956</v>
      </c>
      <c r="M107" s="7" t="s">
        <v>957</v>
      </c>
      <c r="N107" s="7" t="s">
        <v>958</v>
      </c>
      <c r="O107" s="7" t="s">
        <v>959</v>
      </c>
      <c r="P107" s="7" t="s">
        <v>850</v>
      </c>
      <c r="Q107" s="7"/>
      <c r="R107" s="7"/>
      <c r="S107" s="7"/>
      <c r="T107" s="7"/>
      <c r="U107" s="7"/>
    </row>
    <row r="108" customFormat="false" ht="15" hidden="false" customHeight="false" outlineLevel="0" collapsed="false">
      <c r="A108" s="7" t="s">
        <v>6</v>
      </c>
      <c r="B108" s="7" t="s">
        <v>960</v>
      </c>
      <c r="C108" s="7" t="s">
        <v>28</v>
      </c>
      <c r="D108" s="7" t="s">
        <v>961</v>
      </c>
      <c r="E108" s="7" t="s">
        <v>962</v>
      </c>
      <c r="F108" s="7" t="s">
        <v>250</v>
      </c>
      <c r="G108" s="7" t="s">
        <v>963</v>
      </c>
      <c r="H108" s="7" t="s">
        <v>174</v>
      </c>
      <c r="I108" s="10" t="n">
        <v>600</v>
      </c>
      <c r="J108" s="7" t="s">
        <v>69</v>
      </c>
      <c r="K108" s="7" t="s">
        <v>964</v>
      </c>
      <c r="L108" s="7" t="s">
        <v>965</v>
      </c>
      <c r="M108" s="7" t="s">
        <v>772</v>
      </c>
      <c r="N108" s="7" t="s">
        <v>966</v>
      </c>
      <c r="O108" s="7" t="s">
        <v>967</v>
      </c>
      <c r="P108" s="7" t="s">
        <v>968</v>
      </c>
      <c r="Q108" s="7"/>
      <c r="R108" s="7"/>
      <c r="S108" s="7"/>
      <c r="T108" s="7"/>
      <c r="U108" s="7"/>
    </row>
    <row r="109" customFormat="false" ht="15" hidden="false" customHeight="false" outlineLevel="0" collapsed="false">
      <c r="A109" s="7" t="s">
        <v>6</v>
      </c>
      <c r="B109" s="7" t="s">
        <v>969</v>
      </c>
      <c r="C109" s="7" t="s">
        <v>28</v>
      </c>
      <c r="D109" s="7" t="s">
        <v>912</v>
      </c>
      <c r="E109" s="7" t="s">
        <v>970</v>
      </c>
      <c r="F109" s="7" t="s">
        <v>250</v>
      </c>
      <c r="G109" s="7" t="s">
        <v>971</v>
      </c>
      <c r="H109" s="7" t="s">
        <v>174</v>
      </c>
      <c r="I109" s="10" t="n">
        <v>700</v>
      </c>
      <c r="J109" s="7" t="s">
        <v>69</v>
      </c>
      <c r="K109" s="7" t="s">
        <v>972</v>
      </c>
      <c r="L109" s="7" t="s">
        <v>973</v>
      </c>
      <c r="M109" s="7" t="s">
        <v>772</v>
      </c>
      <c r="N109" s="7" t="s">
        <v>974</v>
      </c>
      <c r="O109" s="7" t="s">
        <v>975</v>
      </c>
      <c r="P109" s="7" t="s">
        <v>976</v>
      </c>
      <c r="Q109" s="7"/>
      <c r="R109" s="7"/>
      <c r="S109" s="7"/>
      <c r="T109" s="7"/>
      <c r="U109" s="7"/>
    </row>
    <row r="110" customFormat="false" ht="15" hidden="false" customHeight="false" outlineLevel="0" collapsed="false">
      <c r="A110" s="7" t="s">
        <v>6</v>
      </c>
      <c r="B110" s="7" t="s">
        <v>977</v>
      </c>
      <c r="C110" s="7" t="s">
        <v>28</v>
      </c>
      <c r="D110" s="7" t="s">
        <v>912</v>
      </c>
      <c r="E110" s="7" t="s">
        <v>978</v>
      </c>
      <c r="F110" s="7" t="s">
        <v>155</v>
      </c>
      <c r="G110" s="7" t="s">
        <v>979</v>
      </c>
      <c r="H110" s="7" t="s">
        <v>174</v>
      </c>
      <c r="I110" s="10" t="n">
        <v>700</v>
      </c>
      <c r="J110" s="7" t="s">
        <v>69</v>
      </c>
      <c r="K110" s="7" t="s">
        <v>980</v>
      </c>
      <c r="L110" s="7" t="s">
        <v>981</v>
      </c>
      <c r="M110" s="7" t="s">
        <v>772</v>
      </c>
      <c r="N110" s="7" t="s">
        <v>982</v>
      </c>
      <c r="O110" s="7" t="s">
        <v>983</v>
      </c>
      <c r="P110" s="7" t="s">
        <v>984</v>
      </c>
      <c r="Q110" s="7"/>
      <c r="R110" s="7"/>
      <c r="S110" s="7"/>
      <c r="T110" s="7"/>
      <c r="U110" s="7"/>
    </row>
    <row r="111" customFormat="false" ht="15" hidden="false" customHeight="false" outlineLevel="0" collapsed="false">
      <c r="A111" s="7" t="s">
        <v>6</v>
      </c>
      <c r="B111" s="7" t="s">
        <v>985</v>
      </c>
      <c r="C111" s="7" t="s">
        <v>28</v>
      </c>
      <c r="D111" s="7" t="s">
        <v>741</v>
      </c>
      <c r="E111" s="7" t="s">
        <v>986</v>
      </c>
      <c r="F111" s="7" t="s">
        <v>215</v>
      </c>
      <c r="G111" s="7" t="s">
        <v>987</v>
      </c>
      <c r="H111" s="7" t="s">
        <v>174</v>
      </c>
      <c r="I111" s="10" t="n">
        <v>1000</v>
      </c>
      <c r="J111" s="7" t="s">
        <v>69</v>
      </c>
      <c r="K111" s="7" t="s">
        <v>988</v>
      </c>
      <c r="L111" s="7" t="s">
        <v>989</v>
      </c>
      <c r="M111" s="7" t="s">
        <v>990</v>
      </c>
      <c r="N111" s="7" t="s">
        <v>991</v>
      </c>
      <c r="O111" s="7" t="s">
        <v>992</v>
      </c>
      <c r="P111" s="7" t="s">
        <v>850</v>
      </c>
      <c r="Q111" s="7"/>
      <c r="R111" s="7"/>
      <c r="S111" s="7"/>
      <c r="T111" s="7"/>
      <c r="U111" s="7"/>
    </row>
    <row r="112" customFormat="false" ht="15" hidden="false" customHeight="false" outlineLevel="0" collapsed="false">
      <c r="A112" s="7" t="s">
        <v>6</v>
      </c>
      <c r="B112" s="7" t="s">
        <v>993</v>
      </c>
      <c r="C112" s="7" t="s">
        <v>28</v>
      </c>
      <c r="D112" s="7" t="s">
        <v>961</v>
      </c>
      <c r="E112" s="7" t="s">
        <v>986</v>
      </c>
      <c r="F112" s="7" t="s">
        <v>215</v>
      </c>
      <c r="G112" s="7" t="s">
        <v>994</v>
      </c>
      <c r="H112" s="7" t="s">
        <v>174</v>
      </c>
      <c r="I112" s="10" t="n">
        <v>500</v>
      </c>
      <c r="J112" s="7" t="s">
        <v>69</v>
      </c>
      <c r="K112" s="7" t="s">
        <v>995</v>
      </c>
      <c r="L112" s="7" t="s">
        <v>996</v>
      </c>
      <c r="M112" s="7" t="s">
        <v>772</v>
      </c>
      <c r="N112" s="7" t="s">
        <v>997</v>
      </c>
      <c r="O112" s="7" t="s">
        <v>998</v>
      </c>
      <c r="P112" s="7" t="s">
        <v>999</v>
      </c>
      <c r="Q112" s="7"/>
      <c r="R112" s="7"/>
      <c r="S112" s="7"/>
      <c r="T112" s="7"/>
      <c r="U112" s="7"/>
    </row>
    <row r="113" customFormat="false" ht="15" hidden="false" customHeight="false" outlineLevel="0" collapsed="false">
      <c r="A113" s="7" t="s">
        <v>6</v>
      </c>
      <c r="B113" s="7" t="s">
        <v>1000</v>
      </c>
      <c r="C113" s="7" t="s">
        <v>28</v>
      </c>
      <c r="D113" s="7" t="s">
        <v>1001</v>
      </c>
      <c r="E113" s="7" t="s">
        <v>264</v>
      </c>
      <c r="F113" s="7" t="s">
        <v>250</v>
      </c>
      <c r="G113" s="7" t="s">
        <v>1002</v>
      </c>
      <c r="H113" s="7" t="s">
        <v>174</v>
      </c>
      <c r="I113" s="10" t="n">
        <v>600</v>
      </c>
      <c r="J113" s="7" t="s">
        <v>69</v>
      </c>
      <c r="K113" s="7" t="s">
        <v>1003</v>
      </c>
      <c r="L113" s="7" t="s">
        <v>1004</v>
      </c>
      <c r="M113" s="7" t="s">
        <v>1005</v>
      </c>
      <c r="N113" s="7" t="s">
        <v>1006</v>
      </c>
      <c r="O113" s="7" t="s">
        <v>1007</v>
      </c>
      <c r="P113" s="7" t="s">
        <v>1008</v>
      </c>
      <c r="Q113" s="7"/>
      <c r="R113" s="7"/>
      <c r="S113" s="7"/>
      <c r="T113" s="7"/>
      <c r="U113" s="7"/>
    </row>
    <row r="114" customFormat="false" ht="15" hidden="false" customHeight="false" outlineLevel="0" collapsed="false">
      <c r="A114" s="7" t="s">
        <v>6</v>
      </c>
      <c r="B114" s="7" t="s">
        <v>1009</v>
      </c>
      <c r="C114" s="7" t="s">
        <v>28</v>
      </c>
      <c r="D114" s="7" t="s">
        <v>961</v>
      </c>
      <c r="E114" s="7" t="s">
        <v>1010</v>
      </c>
      <c r="F114" s="7" t="s">
        <v>88</v>
      </c>
      <c r="G114" s="7" t="s">
        <v>1011</v>
      </c>
      <c r="H114" s="7" t="s">
        <v>174</v>
      </c>
      <c r="I114" s="10" t="n">
        <v>800</v>
      </c>
      <c r="J114" s="7" t="s">
        <v>69</v>
      </c>
      <c r="K114" s="7" t="s">
        <v>1012</v>
      </c>
      <c r="L114" s="7" t="s">
        <v>1013</v>
      </c>
      <c r="M114" s="7" t="s">
        <v>1014</v>
      </c>
      <c r="N114" s="7" t="s">
        <v>1015</v>
      </c>
      <c r="O114" s="7" t="s">
        <v>1016</v>
      </c>
      <c r="P114" s="7" t="s">
        <v>1017</v>
      </c>
      <c r="Q114" s="7"/>
      <c r="R114" s="7"/>
      <c r="S114" s="7"/>
      <c r="T114" s="7"/>
      <c r="U114" s="7"/>
    </row>
    <row r="115" customFormat="false" ht="15" hidden="false" customHeight="false" outlineLevel="0" collapsed="false">
      <c r="A115" s="7" t="s">
        <v>6</v>
      </c>
      <c r="B115" s="7" t="s">
        <v>1018</v>
      </c>
      <c r="C115" s="7" t="s">
        <v>28</v>
      </c>
      <c r="D115" s="7" t="s">
        <v>1019</v>
      </c>
      <c r="E115" s="7" t="s">
        <v>1020</v>
      </c>
      <c r="F115" s="7" t="s">
        <v>172</v>
      </c>
      <c r="G115" s="7" t="s">
        <v>1021</v>
      </c>
      <c r="H115" s="7" t="s">
        <v>174</v>
      </c>
      <c r="I115" s="10" t="n">
        <v>600</v>
      </c>
      <c r="J115" s="7" t="s">
        <v>69</v>
      </c>
      <c r="K115" s="7"/>
      <c r="L115" s="7" t="s">
        <v>1022</v>
      </c>
      <c r="M115" s="7" t="s">
        <v>1023</v>
      </c>
      <c r="N115" s="7" t="s">
        <v>1024</v>
      </c>
      <c r="O115" s="7" t="s">
        <v>1025</v>
      </c>
      <c r="P115" s="7" t="s">
        <v>1026</v>
      </c>
      <c r="Q115" s="7"/>
      <c r="R115" s="7"/>
      <c r="S115" s="7"/>
      <c r="T115" s="7"/>
      <c r="U115" s="7"/>
    </row>
    <row r="116" customFormat="false" ht="15" hidden="false" customHeight="false" outlineLevel="0" collapsed="false">
      <c r="A116" s="7" t="s">
        <v>6</v>
      </c>
      <c r="B116" s="7" t="s">
        <v>1027</v>
      </c>
      <c r="C116" s="7" t="s">
        <v>28</v>
      </c>
      <c r="D116" s="7" t="s">
        <v>1028</v>
      </c>
      <c r="E116" s="7" t="s">
        <v>1029</v>
      </c>
      <c r="F116" s="7" t="s">
        <v>1030</v>
      </c>
      <c r="G116" s="7" t="s">
        <v>1031</v>
      </c>
      <c r="H116" s="7" t="s">
        <v>174</v>
      </c>
      <c r="I116" s="10" t="n">
        <v>600</v>
      </c>
      <c r="J116" s="7" t="s">
        <v>69</v>
      </c>
      <c r="K116" s="7" t="s">
        <v>1032</v>
      </c>
      <c r="L116" s="7" t="s">
        <v>1033</v>
      </c>
      <c r="M116" s="7" t="s">
        <v>1034</v>
      </c>
      <c r="N116" s="7" t="s">
        <v>1035</v>
      </c>
      <c r="O116" s="7" t="s">
        <v>1036</v>
      </c>
      <c r="P116" s="7" t="s">
        <v>999</v>
      </c>
      <c r="Q116" s="7"/>
      <c r="R116" s="7"/>
      <c r="S116" s="7"/>
      <c r="T116" s="7"/>
      <c r="U116" s="7"/>
    </row>
    <row r="117" customFormat="false" ht="15" hidden="false" customHeight="false" outlineLevel="0" collapsed="false">
      <c r="A117" s="7" t="s">
        <v>6</v>
      </c>
      <c r="B117" s="7" t="s">
        <v>1037</v>
      </c>
      <c r="C117" s="7" t="s">
        <v>28</v>
      </c>
      <c r="D117" s="7" t="s">
        <v>1038</v>
      </c>
      <c r="E117" s="7" t="s">
        <v>454</v>
      </c>
      <c r="F117" s="7" t="s">
        <v>190</v>
      </c>
      <c r="G117" s="7" t="s">
        <v>1039</v>
      </c>
      <c r="H117" s="7" t="s">
        <v>174</v>
      </c>
      <c r="I117" s="10" t="n">
        <v>600</v>
      </c>
      <c r="J117" s="7" t="s">
        <v>69</v>
      </c>
      <c r="K117" s="7" t="s">
        <v>1040</v>
      </c>
      <c r="L117" s="7" t="s">
        <v>1041</v>
      </c>
      <c r="M117" s="7" t="s">
        <v>1042</v>
      </c>
      <c r="N117" s="7" t="s">
        <v>1043</v>
      </c>
      <c r="O117" s="7" t="s">
        <v>1044</v>
      </c>
      <c r="P117" s="7" t="s">
        <v>1045</v>
      </c>
      <c r="Q117" s="7"/>
      <c r="R117" s="7"/>
      <c r="S117" s="7"/>
      <c r="T117" s="7"/>
      <c r="U117" s="7"/>
    </row>
    <row r="118" customFormat="false" ht="15" hidden="false" customHeight="false" outlineLevel="0" collapsed="false">
      <c r="A118" s="7" t="s">
        <v>6</v>
      </c>
      <c r="B118" s="7" t="s">
        <v>1046</v>
      </c>
      <c r="C118" s="7" t="s">
        <v>28</v>
      </c>
      <c r="D118" s="7" t="s">
        <v>929</v>
      </c>
      <c r="E118" s="7" t="s">
        <v>1047</v>
      </c>
      <c r="F118" s="7" t="s">
        <v>600</v>
      </c>
      <c r="G118" s="7" t="s">
        <v>1048</v>
      </c>
      <c r="H118" s="7" t="s">
        <v>174</v>
      </c>
      <c r="I118" s="10" t="n">
        <v>700</v>
      </c>
      <c r="J118" s="7" t="s">
        <v>69</v>
      </c>
      <c r="K118" s="7" t="s">
        <v>1032</v>
      </c>
      <c r="L118" s="7" t="s">
        <v>1049</v>
      </c>
      <c r="M118" s="7" t="s">
        <v>736</v>
      </c>
      <c r="N118" s="7" t="s">
        <v>1050</v>
      </c>
      <c r="O118" s="7" t="s">
        <v>1051</v>
      </c>
      <c r="P118" s="7" t="s">
        <v>1052</v>
      </c>
      <c r="Q118" s="7"/>
      <c r="R118" s="7"/>
      <c r="S118" s="7"/>
      <c r="T118" s="7"/>
      <c r="U118" s="7"/>
    </row>
    <row r="119" customFormat="false" ht="15" hidden="false" customHeight="false" outlineLevel="0" collapsed="false">
      <c r="A119" s="7" t="s">
        <v>6</v>
      </c>
      <c r="B119" s="7" t="s">
        <v>1053</v>
      </c>
      <c r="C119" s="7" t="s">
        <v>28</v>
      </c>
      <c r="D119" s="7" t="s">
        <v>961</v>
      </c>
      <c r="E119" s="7" t="s">
        <v>1054</v>
      </c>
      <c r="F119" s="7" t="s">
        <v>348</v>
      </c>
      <c r="G119" s="7" t="s">
        <v>1055</v>
      </c>
      <c r="H119" s="7" t="s">
        <v>258</v>
      </c>
      <c r="I119" s="10" t="n">
        <v>300</v>
      </c>
      <c r="J119" s="7" t="s">
        <v>69</v>
      </c>
      <c r="K119" s="7" t="s">
        <v>1056</v>
      </c>
      <c r="L119" s="7" t="s">
        <v>1057</v>
      </c>
      <c r="M119" s="7" t="s">
        <v>1058</v>
      </c>
      <c r="N119" s="7" t="s">
        <v>1059</v>
      </c>
      <c r="O119" s="7" t="s">
        <v>1060</v>
      </c>
      <c r="P119" s="7" t="s">
        <v>747</v>
      </c>
      <c r="Q119" s="7"/>
      <c r="R119" s="7"/>
      <c r="S119" s="7"/>
      <c r="T119" s="7"/>
      <c r="U119" s="7"/>
    </row>
    <row r="120" customFormat="false" ht="15" hidden="false" customHeight="false" outlineLevel="0" collapsed="false">
      <c r="A120" s="7" t="s">
        <v>6</v>
      </c>
      <c r="B120" s="7" t="s">
        <v>1061</v>
      </c>
      <c r="C120" s="7" t="s">
        <v>28</v>
      </c>
      <c r="D120" s="7" t="s">
        <v>912</v>
      </c>
      <c r="E120" s="7" t="s">
        <v>189</v>
      </c>
      <c r="F120" s="7" t="s">
        <v>190</v>
      </c>
      <c r="G120" s="7" t="s">
        <v>1062</v>
      </c>
      <c r="H120" s="7" t="s">
        <v>258</v>
      </c>
      <c r="I120" s="10" t="n">
        <v>300</v>
      </c>
      <c r="J120" s="7" t="s">
        <v>69</v>
      </c>
      <c r="K120" s="7"/>
      <c r="L120" s="7" t="s">
        <v>1063</v>
      </c>
      <c r="M120" s="7" t="s">
        <v>900</v>
      </c>
      <c r="N120" s="7" t="s">
        <v>1064</v>
      </c>
      <c r="O120" s="7" t="s">
        <v>1065</v>
      </c>
      <c r="P120" s="7" t="s">
        <v>999</v>
      </c>
      <c r="Q120" s="7"/>
      <c r="R120" s="7"/>
      <c r="S120" s="7"/>
      <c r="T120" s="7"/>
      <c r="U120" s="7"/>
    </row>
    <row r="121" customFormat="false" ht="15" hidden="false" customHeight="false" outlineLevel="0" collapsed="false">
      <c r="A121" s="7" t="s">
        <v>6</v>
      </c>
      <c r="B121" s="7" t="s">
        <v>1066</v>
      </c>
      <c r="C121" s="7" t="s">
        <v>28</v>
      </c>
      <c r="D121" s="7" t="s">
        <v>929</v>
      </c>
      <c r="E121" s="7" t="s">
        <v>445</v>
      </c>
      <c r="F121" s="7" t="s">
        <v>250</v>
      </c>
      <c r="G121" s="7" t="s">
        <v>1067</v>
      </c>
      <c r="H121" s="7" t="s">
        <v>258</v>
      </c>
      <c r="I121" s="10" t="n">
        <v>400</v>
      </c>
      <c r="J121" s="7" t="s">
        <v>69</v>
      </c>
      <c r="K121" s="7"/>
      <c r="L121" s="7" t="s">
        <v>1068</v>
      </c>
      <c r="M121" s="7" t="s">
        <v>736</v>
      </c>
      <c r="N121" s="7" t="s">
        <v>1069</v>
      </c>
      <c r="O121" s="7" t="s">
        <v>1070</v>
      </c>
      <c r="P121" s="7" t="s">
        <v>1071</v>
      </c>
      <c r="Q121" s="7"/>
      <c r="R121" s="7"/>
      <c r="S121" s="7"/>
      <c r="T121" s="7"/>
      <c r="U121" s="7"/>
    </row>
    <row r="122" customFormat="false" ht="15" hidden="false" customHeight="false" outlineLevel="0" collapsed="false">
      <c r="A122" s="7" t="s">
        <v>6</v>
      </c>
      <c r="B122" s="7" t="s">
        <v>1072</v>
      </c>
      <c r="C122" s="7" t="s">
        <v>28</v>
      </c>
      <c r="D122" s="7" t="s">
        <v>912</v>
      </c>
      <c r="E122" s="7" t="s">
        <v>970</v>
      </c>
      <c r="F122" s="7" t="s">
        <v>250</v>
      </c>
      <c r="G122" s="7" t="s">
        <v>1073</v>
      </c>
      <c r="H122" s="7" t="s">
        <v>258</v>
      </c>
      <c r="I122" s="10" t="n">
        <v>300</v>
      </c>
      <c r="J122" s="7" t="s">
        <v>69</v>
      </c>
      <c r="K122" s="7"/>
      <c r="L122" s="7" t="s">
        <v>1074</v>
      </c>
      <c r="M122" s="7" t="s">
        <v>772</v>
      </c>
      <c r="N122" s="7" t="s">
        <v>1075</v>
      </c>
      <c r="O122" s="7" t="s">
        <v>1076</v>
      </c>
      <c r="P122" s="7" t="s">
        <v>1077</v>
      </c>
      <c r="Q122" s="7"/>
      <c r="R122" s="7"/>
      <c r="S122" s="7"/>
      <c r="T122" s="7"/>
      <c r="U122" s="7"/>
    </row>
    <row r="123" customFormat="false" ht="15" hidden="false" customHeight="false" outlineLevel="0" collapsed="false">
      <c r="A123" s="7" t="s">
        <v>6</v>
      </c>
      <c r="B123" s="7" t="s">
        <v>1078</v>
      </c>
      <c r="C123" s="7" t="s">
        <v>28</v>
      </c>
      <c r="D123" s="7" t="s">
        <v>1079</v>
      </c>
      <c r="E123" s="7" t="s">
        <v>1080</v>
      </c>
      <c r="F123" s="7" t="s">
        <v>1081</v>
      </c>
      <c r="G123" s="7" t="s">
        <v>1082</v>
      </c>
      <c r="H123" s="7" t="s">
        <v>258</v>
      </c>
      <c r="I123" s="10" t="n">
        <v>250</v>
      </c>
      <c r="J123" s="7" t="s">
        <v>69</v>
      </c>
      <c r="K123" s="7" t="s">
        <v>1083</v>
      </c>
      <c r="L123" s="7" t="s">
        <v>1084</v>
      </c>
      <c r="M123" s="7" t="s">
        <v>772</v>
      </c>
      <c r="N123" s="7" t="s">
        <v>1085</v>
      </c>
      <c r="O123" s="7" t="s">
        <v>1086</v>
      </c>
      <c r="P123" s="7" t="s">
        <v>1087</v>
      </c>
      <c r="Q123" s="7"/>
      <c r="R123" s="7"/>
      <c r="S123" s="7"/>
      <c r="T123" s="7"/>
      <c r="U123" s="7"/>
    </row>
    <row r="124" customFormat="false" ht="15" hidden="false" customHeight="false" outlineLevel="0" collapsed="false">
      <c r="A124" s="7" t="s">
        <v>6</v>
      </c>
      <c r="B124" s="7" t="s">
        <v>1088</v>
      </c>
      <c r="C124" s="7" t="s">
        <v>28</v>
      </c>
      <c r="D124" s="7" t="s">
        <v>1089</v>
      </c>
      <c r="E124" s="7" t="s">
        <v>1090</v>
      </c>
      <c r="F124" s="7" t="s">
        <v>163</v>
      </c>
      <c r="G124" s="7" t="s">
        <v>1091</v>
      </c>
      <c r="H124" s="7" t="s">
        <v>258</v>
      </c>
      <c r="I124" s="10" t="n">
        <v>200</v>
      </c>
      <c r="J124" s="7" t="s">
        <v>69</v>
      </c>
      <c r="K124" s="7"/>
      <c r="L124" s="7" t="s">
        <v>1092</v>
      </c>
      <c r="M124" s="7" t="s">
        <v>1093</v>
      </c>
      <c r="N124" s="7" t="s">
        <v>1094</v>
      </c>
      <c r="O124" s="7" t="s">
        <v>1095</v>
      </c>
      <c r="P124" s="7" t="s">
        <v>943</v>
      </c>
      <c r="Q124" s="7"/>
      <c r="R124" s="7"/>
      <c r="S124" s="7"/>
      <c r="T124" s="7"/>
      <c r="U124" s="7"/>
    </row>
    <row r="125" customFormat="false" ht="15" hidden="false" customHeight="false" outlineLevel="0" collapsed="false">
      <c r="A125" s="7" t="s">
        <v>6</v>
      </c>
      <c r="B125" s="7" t="s">
        <v>1096</v>
      </c>
      <c r="C125" s="7" t="s">
        <v>28</v>
      </c>
      <c r="D125" s="7" t="s">
        <v>961</v>
      </c>
      <c r="E125" s="7" t="s">
        <v>1097</v>
      </c>
      <c r="F125" s="7" t="s">
        <v>113</v>
      </c>
      <c r="G125" s="7" t="s">
        <v>1098</v>
      </c>
      <c r="H125" s="7" t="s">
        <v>258</v>
      </c>
      <c r="I125" s="10" t="n">
        <v>400</v>
      </c>
      <c r="J125" s="7" t="s">
        <v>69</v>
      </c>
      <c r="K125" s="7" t="s">
        <v>1099</v>
      </c>
      <c r="L125" s="7" t="s">
        <v>1100</v>
      </c>
      <c r="M125" s="7" t="s">
        <v>847</v>
      </c>
      <c r="N125" s="7" t="s">
        <v>1101</v>
      </c>
      <c r="O125" s="7" t="s">
        <v>1102</v>
      </c>
      <c r="P125" s="7" t="s">
        <v>1045</v>
      </c>
      <c r="Q125" s="7"/>
      <c r="R125" s="7"/>
      <c r="S125" s="7"/>
      <c r="T125" s="7"/>
      <c r="U125" s="7"/>
    </row>
    <row r="126" customFormat="false" ht="15" hidden="false" customHeight="false" outlineLevel="0" collapsed="false">
      <c r="A126" s="7" t="s">
        <v>6</v>
      </c>
      <c r="B126" s="7" t="s">
        <v>1103</v>
      </c>
      <c r="C126" s="7" t="s">
        <v>29</v>
      </c>
      <c r="D126" s="7" t="s">
        <v>1104</v>
      </c>
      <c r="E126" s="7" t="s">
        <v>1105</v>
      </c>
      <c r="F126" s="7" t="s">
        <v>1106</v>
      </c>
      <c r="G126" s="7" t="s">
        <v>1107</v>
      </c>
      <c r="H126" s="7" t="s">
        <v>68</v>
      </c>
      <c r="I126" s="10" t="n">
        <v>1000</v>
      </c>
      <c r="J126" s="7" t="s">
        <v>69</v>
      </c>
      <c r="K126" s="7" t="s">
        <v>837</v>
      </c>
      <c r="L126" s="7" t="s">
        <v>1108</v>
      </c>
      <c r="M126" s="7" t="s">
        <v>1109</v>
      </c>
      <c r="N126" s="7" t="s">
        <v>1110</v>
      </c>
      <c r="O126" s="7" t="s">
        <v>1111</v>
      </c>
      <c r="P126" s="7" t="s">
        <v>1112</v>
      </c>
      <c r="Q126" s="7"/>
      <c r="R126" s="7"/>
      <c r="S126" s="7"/>
      <c r="T126" s="7"/>
      <c r="U126" s="7"/>
    </row>
    <row r="127" customFormat="false" ht="15" hidden="false" customHeight="false" outlineLevel="0" collapsed="false">
      <c r="A127" s="7" t="s">
        <v>6</v>
      </c>
      <c r="B127" s="7" t="s">
        <v>1113</v>
      </c>
      <c r="C127" s="7" t="s">
        <v>29</v>
      </c>
      <c r="D127" s="7" t="s">
        <v>1114</v>
      </c>
      <c r="E127" s="7" t="s">
        <v>1115</v>
      </c>
      <c r="F127" s="7" t="s">
        <v>1116</v>
      </c>
      <c r="G127" s="7" t="s">
        <v>1117</v>
      </c>
      <c r="H127" s="7" t="s">
        <v>68</v>
      </c>
      <c r="I127" s="10" t="n">
        <v>3000</v>
      </c>
      <c r="J127" s="7" t="s">
        <v>69</v>
      </c>
      <c r="K127" s="7" t="s">
        <v>1118</v>
      </c>
      <c r="L127" s="7" t="s">
        <v>1119</v>
      </c>
      <c r="M127" s="7" t="s">
        <v>1120</v>
      </c>
      <c r="N127" s="7" t="s">
        <v>1121</v>
      </c>
      <c r="O127" s="7" t="s">
        <v>1122</v>
      </c>
      <c r="P127" s="7" t="s">
        <v>1123</v>
      </c>
      <c r="Q127" s="7"/>
      <c r="R127" s="7"/>
      <c r="S127" s="7"/>
      <c r="T127" s="7"/>
      <c r="U127" s="7"/>
    </row>
    <row r="128" customFormat="false" ht="15" hidden="false" customHeight="false" outlineLevel="0" collapsed="false">
      <c r="A128" s="7" t="s">
        <v>6</v>
      </c>
      <c r="B128" s="7" t="s">
        <v>1124</v>
      </c>
      <c r="C128" s="7" t="s">
        <v>29</v>
      </c>
      <c r="D128" s="7" t="s">
        <v>1125</v>
      </c>
      <c r="E128" s="7" t="s">
        <v>112</v>
      </c>
      <c r="F128" s="7" t="s">
        <v>113</v>
      </c>
      <c r="G128" s="7" t="s">
        <v>1126</v>
      </c>
      <c r="H128" s="7" t="s">
        <v>149</v>
      </c>
      <c r="I128" s="10" t="n">
        <v>2500</v>
      </c>
      <c r="J128" s="7" t="s">
        <v>69</v>
      </c>
      <c r="K128" s="7" t="s">
        <v>1127</v>
      </c>
      <c r="L128" s="7" t="s">
        <v>1128</v>
      </c>
      <c r="M128" s="7" t="s">
        <v>1129</v>
      </c>
      <c r="N128" s="7" t="s">
        <v>1130</v>
      </c>
      <c r="O128" s="7" t="s">
        <v>1131</v>
      </c>
      <c r="P128" s="7" t="s">
        <v>1132</v>
      </c>
      <c r="Q128" s="7"/>
      <c r="R128" s="7"/>
      <c r="S128" s="7"/>
      <c r="T128" s="7"/>
      <c r="U128" s="7"/>
    </row>
    <row r="129" customFormat="false" ht="15" hidden="false" customHeight="false" outlineLevel="0" collapsed="false">
      <c r="A129" s="7" t="s">
        <v>6</v>
      </c>
      <c r="B129" s="7" t="s">
        <v>1133</v>
      </c>
      <c r="C129" s="7" t="s">
        <v>29</v>
      </c>
      <c r="D129" s="7" t="s">
        <v>1134</v>
      </c>
      <c r="E129" s="7" t="s">
        <v>154</v>
      </c>
      <c r="F129" s="7" t="s">
        <v>155</v>
      </c>
      <c r="G129" s="7" t="s">
        <v>1135</v>
      </c>
      <c r="H129" s="7" t="s">
        <v>149</v>
      </c>
      <c r="I129" s="10" t="n">
        <v>1500</v>
      </c>
      <c r="J129" s="7" t="s">
        <v>69</v>
      </c>
      <c r="K129" s="7" t="s">
        <v>1032</v>
      </c>
      <c r="L129" s="7" t="s">
        <v>1136</v>
      </c>
      <c r="M129" s="7" t="s">
        <v>1120</v>
      </c>
      <c r="N129" s="7" t="s">
        <v>1137</v>
      </c>
      <c r="O129" s="7" t="s">
        <v>1138</v>
      </c>
      <c r="P129" s="7" t="s">
        <v>1139</v>
      </c>
      <c r="Q129" s="7"/>
      <c r="R129" s="7"/>
      <c r="S129" s="7"/>
      <c r="T129" s="7"/>
      <c r="U129" s="7"/>
    </row>
    <row r="130" customFormat="false" ht="15" hidden="false" customHeight="false" outlineLevel="0" collapsed="false">
      <c r="A130" s="7" t="s">
        <v>6</v>
      </c>
      <c r="B130" s="7" t="s">
        <v>1140</v>
      </c>
      <c r="C130" s="7" t="s">
        <v>29</v>
      </c>
      <c r="D130" s="7" t="s">
        <v>1141</v>
      </c>
      <c r="E130" s="7" t="s">
        <v>154</v>
      </c>
      <c r="F130" s="7" t="s">
        <v>155</v>
      </c>
      <c r="G130" s="7" t="s">
        <v>1142</v>
      </c>
      <c r="H130" s="7" t="s">
        <v>149</v>
      </c>
      <c r="I130" s="10" t="n">
        <v>1800</v>
      </c>
      <c r="J130" s="7" t="s">
        <v>69</v>
      </c>
      <c r="K130" s="7" t="s">
        <v>1143</v>
      </c>
      <c r="L130" s="7" t="s">
        <v>1144</v>
      </c>
      <c r="M130" s="7" t="s">
        <v>1129</v>
      </c>
      <c r="N130" s="7" t="s">
        <v>1145</v>
      </c>
      <c r="O130" s="7" t="s">
        <v>1146</v>
      </c>
      <c r="P130" s="7" t="s">
        <v>1139</v>
      </c>
      <c r="Q130" s="7"/>
      <c r="R130" s="7"/>
      <c r="S130" s="7"/>
      <c r="T130" s="7"/>
      <c r="U130" s="7"/>
    </row>
    <row r="131" customFormat="false" ht="15" hidden="false" customHeight="false" outlineLevel="0" collapsed="false">
      <c r="A131" s="7" t="s">
        <v>6</v>
      </c>
      <c r="B131" s="7" t="s">
        <v>1147</v>
      </c>
      <c r="C131" s="7" t="s">
        <v>29</v>
      </c>
      <c r="D131" s="7" t="s">
        <v>1148</v>
      </c>
      <c r="E131" s="7" t="s">
        <v>154</v>
      </c>
      <c r="F131" s="7" t="s">
        <v>155</v>
      </c>
      <c r="G131" s="7" t="s">
        <v>1149</v>
      </c>
      <c r="H131" s="7" t="s">
        <v>149</v>
      </c>
      <c r="I131" s="10" t="n">
        <v>1500</v>
      </c>
      <c r="J131" s="7" t="s">
        <v>69</v>
      </c>
      <c r="K131" s="7" t="s">
        <v>1150</v>
      </c>
      <c r="L131" s="7" t="s">
        <v>1151</v>
      </c>
      <c r="M131" s="7" t="s">
        <v>1152</v>
      </c>
      <c r="N131" s="7" t="s">
        <v>1153</v>
      </c>
      <c r="O131" s="7" t="s">
        <v>1154</v>
      </c>
      <c r="P131" s="7" t="s">
        <v>1155</v>
      </c>
      <c r="Q131" s="7"/>
      <c r="R131" s="7"/>
      <c r="S131" s="7"/>
      <c r="T131" s="7"/>
      <c r="U131" s="7"/>
    </row>
    <row r="132" customFormat="false" ht="15" hidden="false" customHeight="false" outlineLevel="0" collapsed="false">
      <c r="A132" s="7" t="s">
        <v>6</v>
      </c>
      <c r="B132" s="7" t="s">
        <v>1156</v>
      </c>
      <c r="C132" s="7" t="s">
        <v>29</v>
      </c>
      <c r="D132" s="7" t="s">
        <v>1157</v>
      </c>
      <c r="E132" s="7" t="s">
        <v>1158</v>
      </c>
      <c r="F132" s="7" t="s">
        <v>222</v>
      </c>
      <c r="G132" s="7" t="s">
        <v>1159</v>
      </c>
      <c r="H132" s="7" t="s">
        <v>149</v>
      </c>
      <c r="I132" s="10" t="n">
        <v>3000</v>
      </c>
      <c r="J132" s="7" t="s">
        <v>69</v>
      </c>
      <c r="K132" s="7" t="s">
        <v>1160</v>
      </c>
      <c r="L132" s="7" t="s">
        <v>1161</v>
      </c>
      <c r="M132" s="7" t="s">
        <v>1120</v>
      </c>
      <c r="N132" s="7" t="s">
        <v>1162</v>
      </c>
      <c r="O132" s="7" t="s">
        <v>1163</v>
      </c>
      <c r="P132" s="7" t="s">
        <v>1139</v>
      </c>
      <c r="Q132" s="7"/>
      <c r="R132" s="7"/>
      <c r="S132" s="7"/>
      <c r="T132" s="7"/>
      <c r="U132" s="7"/>
    </row>
    <row r="133" customFormat="false" ht="15" hidden="false" customHeight="false" outlineLevel="0" collapsed="false">
      <c r="A133" s="7" t="s">
        <v>6</v>
      </c>
      <c r="B133" s="7" t="s">
        <v>1164</v>
      </c>
      <c r="C133" s="7" t="s">
        <v>29</v>
      </c>
      <c r="D133" s="7" t="s">
        <v>1165</v>
      </c>
      <c r="E133" s="7" t="s">
        <v>154</v>
      </c>
      <c r="F133" s="7" t="s">
        <v>155</v>
      </c>
      <c r="G133" s="7" t="s">
        <v>1166</v>
      </c>
      <c r="H133" s="7" t="s">
        <v>149</v>
      </c>
      <c r="I133" s="10" t="n">
        <v>1200</v>
      </c>
      <c r="J133" s="7" t="s">
        <v>69</v>
      </c>
      <c r="K133" s="7" t="s">
        <v>157</v>
      </c>
      <c r="L133" s="7" t="s">
        <v>1167</v>
      </c>
      <c r="M133" s="7" t="s">
        <v>1168</v>
      </c>
      <c r="N133" s="7" t="s">
        <v>1169</v>
      </c>
      <c r="O133" s="7" t="s">
        <v>1170</v>
      </c>
      <c r="P133" s="7" t="s">
        <v>1139</v>
      </c>
      <c r="Q133" s="7"/>
      <c r="R133" s="7"/>
      <c r="S133" s="7"/>
      <c r="T133" s="7"/>
      <c r="U133" s="7"/>
    </row>
    <row r="134" customFormat="false" ht="15" hidden="false" customHeight="false" outlineLevel="0" collapsed="false">
      <c r="A134" s="7" t="s">
        <v>6</v>
      </c>
      <c r="B134" s="7" t="s">
        <v>1171</v>
      </c>
      <c r="C134" s="7" t="s">
        <v>29</v>
      </c>
      <c r="D134" s="7" t="s">
        <v>1172</v>
      </c>
      <c r="E134" s="7" t="s">
        <v>347</v>
      </c>
      <c r="F134" s="7" t="s">
        <v>348</v>
      </c>
      <c r="G134" s="7" t="s">
        <v>1173</v>
      </c>
      <c r="H134" s="7" t="s">
        <v>174</v>
      </c>
      <c r="I134" s="10" t="n">
        <v>500</v>
      </c>
      <c r="J134" s="7" t="s">
        <v>69</v>
      </c>
      <c r="K134" s="7" t="s">
        <v>1174</v>
      </c>
      <c r="L134" s="7" t="s">
        <v>1175</v>
      </c>
      <c r="M134" s="7" t="s">
        <v>1120</v>
      </c>
      <c r="N134" s="7" t="s">
        <v>1176</v>
      </c>
      <c r="O134" s="7" t="s">
        <v>1177</v>
      </c>
      <c r="P134" s="7" t="s">
        <v>1139</v>
      </c>
      <c r="Q134" s="7"/>
      <c r="R134" s="7"/>
      <c r="S134" s="7"/>
      <c r="T134" s="7"/>
      <c r="U134" s="7"/>
    </row>
    <row r="135" customFormat="false" ht="15" hidden="false" customHeight="false" outlineLevel="0" collapsed="false">
      <c r="A135" s="7" t="s">
        <v>6</v>
      </c>
      <c r="B135" s="7" t="s">
        <v>1178</v>
      </c>
      <c r="C135" s="7" t="s">
        <v>29</v>
      </c>
      <c r="D135" s="7" t="s">
        <v>1179</v>
      </c>
      <c r="E135" s="7" t="s">
        <v>112</v>
      </c>
      <c r="F135" s="7" t="s">
        <v>113</v>
      </c>
      <c r="G135" s="7" t="s">
        <v>1180</v>
      </c>
      <c r="H135" s="7" t="s">
        <v>174</v>
      </c>
      <c r="I135" s="10" t="n">
        <v>3500</v>
      </c>
      <c r="J135" s="7" t="s">
        <v>69</v>
      </c>
      <c r="K135" s="7" t="s">
        <v>1181</v>
      </c>
      <c r="L135" s="7"/>
      <c r="M135" s="7" t="s">
        <v>1120</v>
      </c>
      <c r="N135" s="7" t="s">
        <v>1182</v>
      </c>
      <c r="O135" s="7" t="s">
        <v>1183</v>
      </c>
      <c r="P135" s="7" t="s">
        <v>1184</v>
      </c>
      <c r="Q135" s="7"/>
      <c r="R135" s="7"/>
      <c r="S135" s="7"/>
      <c r="T135" s="7"/>
      <c r="U135" s="7"/>
    </row>
    <row r="136" customFormat="false" ht="15" hidden="false" customHeight="false" outlineLevel="0" collapsed="false">
      <c r="A136" s="7" t="s">
        <v>6</v>
      </c>
      <c r="B136" s="7" t="s">
        <v>1185</v>
      </c>
      <c r="C136" s="7" t="s">
        <v>29</v>
      </c>
      <c r="D136" s="7" t="s">
        <v>1186</v>
      </c>
      <c r="E136" s="7" t="s">
        <v>515</v>
      </c>
      <c r="F136" s="7" t="s">
        <v>428</v>
      </c>
      <c r="G136" s="7" t="s">
        <v>1187</v>
      </c>
      <c r="H136" s="7" t="s">
        <v>174</v>
      </c>
      <c r="I136" s="10" t="n">
        <v>800</v>
      </c>
      <c r="J136" s="7" t="s">
        <v>69</v>
      </c>
      <c r="K136" s="7" t="s">
        <v>1188</v>
      </c>
      <c r="L136" s="7" t="s">
        <v>1189</v>
      </c>
      <c r="M136" s="7" t="s">
        <v>1120</v>
      </c>
      <c r="N136" s="7" t="s">
        <v>1190</v>
      </c>
      <c r="O136" s="7" t="s">
        <v>1191</v>
      </c>
      <c r="P136" s="7" t="s">
        <v>1192</v>
      </c>
      <c r="Q136" s="7"/>
      <c r="R136" s="7"/>
      <c r="S136" s="7"/>
      <c r="T136" s="7"/>
      <c r="U136" s="7"/>
    </row>
    <row r="137" customFormat="false" ht="15" hidden="false" customHeight="false" outlineLevel="0" collapsed="false">
      <c r="A137" s="7" t="s">
        <v>6</v>
      </c>
      <c r="B137" s="7" t="s">
        <v>1193</v>
      </c>
      <c r="C137" s="7" t="s">
        <v>29</v>
      </c>
      <c r="D137" s="7" t="s">
        <v>1194</v>
      </c>
      <c r="E137" s="7" t="s">
        <v>1195</v>
      </c>
      <c r="F137" s="7" t="s">
        <v>206</v>
      </c>
      <c r="G137" s="7" t="s">
        <v>1196</v>
      </c>
      <c r="H137" s="7" t="s">
        <v>174</v>
      </c>
      <c r="I137" s="10" t="n">
        <v>800</v>
      </c>
      <c r="J137" s="7" t="s">
        <v>69</v>
      </c>
      <c r="K137" s="7" t="s">
        <v>1032</v>
      </c>
      <c r="L137" s="7" t="s">
        <v>1197</v>
      </c>
      <c r="M137" s="7" t="s">
        <v>1129</v>
      </c>
      <c r="N137" s="7" t="s">
        <v>1198</v>
      </c>
      <c r="O137" s="7" t="s">
        <v>1199</v>
      </c>
      <c r="P137" s="7" t="s">
        <v>1139</v>
      </c>
      <c r="Q137" s="7"/>
      <c r="R137" s="7"/>
      <c r="S137" s="7"/>
      <c r="T137" s="7"/>
      <c r="U137" s="7"/>
    </row>
    <row r="138" customFormat="false" ht="15" hidden="false" customHeight="false" outlineLevel="0" collapsed="false">
      <c r="A138" s="7" t="s">
        <v>6</v>
      </c>
      <c r="B138" s="7" t="s">
        <v>1200</v>
      </c>
      <c r="C138" s="7" t="s">
        <v>29</v>
      </c>
      <c r="D138" s="7" t="s">
        <v>1201</v>
      </c>
      <c r="E138" s="7" t="s">
        <v>1202</v>
      </c>
      <c r="F138" s="7" t="s">
        <v>296</v>
      </c>
      <c r="G138" s="7" t="s">
        <v>1203</v>
      </c>
      <c r="H138" s="7" t="s">
        <v>174</v>
      </c>
      <c r="I138" s="10" t="n">
        <v>400</v>
      </c>
      <c r="J138" s="7" t="s">
        <v>69</v>
      </c>
      <c r="K138" s="7" t="s">
        <v>1204</v>
      </c>
      <c r="L138" s="7" t="s">
        <v>1205</v>
      </c>
      <c r="M138" s="7" t="s">
        <v>1120</v>
      </c>
      <c r="N138" s="7" t="s">
        <v>1206</v>
      </c>
      <c r="O138" s="7" t="s">
        <v>1207</v>
      </c>
      <c r="P138" s="7" t="s">
        <v>1208</v>
      </c>
      <c r="Q138" s="7"/>
      <c r="R138" s="7"/>
      <c r="S138" s="7"/>
      <c r="T138" s="7"/>
      <c r="U138" s="7"/>
    </row>
    <row r="139" customFormat="false" ht="15" hidden="false" customHeight="false" outlineLevel="0" collapsed="false">
      <c r="A139" s="7" t="s">
        <v>6</v>
      </c>
      <c r="B139" s="7" t="s">
        <v>1209</v>
      </c>
      <c r="C139" s="7" t="s">
        <v>29</v>
      </c>
      <c r="D139" s="7" t="s">
        <v>1210</v>
      </c>
      <c r="E139" s="7" t="s">
        <v>1211</v>
      </c>
      <c r="F139" s="7" t="s">
        <v>1212</v>
      </c>
      <c r="G139" s="7" t="s">
        <v>1213</v>
      </c>
      <c r="H139" s="7" t="s">
        <v>258</v>
      </c>
      <c r="I139" s="10" t="n">
        <v>500</v>
      </c>
      <c r="J139" s="7" t="s">
        <v>69</v>
      </c>
      <c r="K139" s="7" t="s">
        <v>1214</v>
      </c>
      <c r="L139" s="7"/>
      <c r="M139" s="7" t="s">
        <v>1120</v>
      </c>
      <c r="N139" s="7" t="s">
        <v>1215</v>
      </c>
      <c r="O139" s="7" t="s">
        <v>1216</v>
      </c>
      <c r="P139" s="7" t="s">
        <v>1217</v>
      </c>
      <c r="Q139" s="7"/>
      <c r="R139" s="7"/>
      <c r="S139" s="7"/>
      <c r="T139" s="7"/>
      <c r="U139" s="7"/>
    </row>
    <row r="140" customFormat="false" ht="15" hidden="false" customHeight="false" outlineLevel="0" collapsed="false">
      <c r="A140" s="7" t="s">
        <v>6</v>
      </c>
      <c r="B140" s="7" t="s">
        <v>1218</v>
      </c>
      <c r="C140" s="7" t="s">
        <v>30</v>
      </c>
      <c r="D140" s="7" t="s">
        <v>1219</v>
      </c>
      <c r="E140" s="7" t="s">
        <v>1220</v>
      </c>
      <c r="F140" s="7" t="s">
        <v>250</v>
      </c>
      <c r="G140" s="7" t="s">
        <v>1221</v>
      </c>
      <c r="H140" s="7" t="s">
        <v>149</v>
      </c>
      <c r="I140" s="10" t="n">
        <v>1500</v>
      </c>
      <c r="J140" s="7" t="s">
        <v>69</v>
      </c>
      <c r="K140" s="7" t="s">
        <v>715</v>
      </c>
      <c r="L140" s="7"/>
      <c r="M140" s="7" t="s">
        <v>1222</v>
      </c>
      <c r="N140" s="7" t="s">
        <v>1223</v>
      </c>
      <c r="O140" s="7" t="s">
        <v>1224</v>
      </c>
      <c r="P140" s="7" t="s">
        <v>1225</v>
      </c>
      <c r="Q140" s="7"/>
      <c r="R140" s="7"/>
      <c r="S140" s="7"/>
      <c r="T140" s="7"/>
      <c r="U140" s="7"/>
    </row>
    <row r="141" customFormat="false" ht="15" hidden="false" customHeight="false" outlineLevel="0" collapsed="false">
      <c r="A141" s="7" t="s">
        <v>6</v>
      </c>
      <c r="B141" s="7" t="s">
        <v>1226</v>
      </c>
      <c r="C141" s="7" t="s">
        <v>31</v>
      </c>
      <c r="D141" s="7" t="s">
        <v>1227</v>
      </c>
      <c r="E141" s="7" t="s">
        <v>112</v>
      </c>
      <c r="F141" s="7" t="s">
        <v>113</v>
      </c>
      <c r="G141" s="7" t="s">
        <v>1228</v>
      </c>
      <c r="H141" s="7" t="s">
        <v>68</v>
      </c>
      <c r="I141" s="10" t="n">
        <v>4000</v>
      </c>
      <c r="J141" s="7" t="s">
        <v>69</v>
      </c>
      <c r="K141" s="7" t="s">
        <v>1229</v>
      </c>
      <c r="L141" s="7" t="s">
        <v>1230</v>
      </c>
      <c r="M141" s="7" t="s">
        <v>1231</v>
      </c>
      <c r="N141" s="7" t="s">
        <v>1232</v>
      </c>
      <c r="O141" s="7" t="s">
        <v>1233</v>
      </c>
      <c r="P141" s="7" t="s">
        <v>1234</v>
      </c>
      <c r="Q141" s="7"/>
      <c r="R141" s="7"/>
      <c r="S141" s="7"/>
      <c r="T141" s="7"/>
      <c r="U141" s="7"/>
    </row>
    <row r="142" customFormat="false" ht="15" hidden="false" customHeight="false" outlineLevel="0" collapsed="false">
      <c r="A142" s="7" t="s">
        <v>6</v>
      </c>
      <c r="B142" s="7" t="s">
        <v>1235</v>
      </c>
      <c r="C142" s="7" t="s">
        <v>31</v>
      </c>
      <c r="D142" s="7" t="s">
        <v>1236</v>
      </c>
      <c r="E142" s="7" t="s">
        <v>1237</v>
      </c>
      <c r="F142" s="7" t="s">
        <v>105</v>
      </c>
      <c r="G142" s="7" t="s">
        <v>1238</v>
      </c>
      <c r="H142" s="7" t="s">
        <v>68</v>
      </c>
      <c r="I142" s="10" t="n">
        <v>4000</v>
      </c>
      <c r="J142" s="7" t="s">
        <v>69</v>
      </c>
      <c r="K142" s="7" t="s">
        <v>507</v>
      </c>
      <c r="L142" s="7" t="s">
        <v>1239</v>
      </c>
      <c r="M142" s="7" t="s">
        <v>1240</v>
      </c>
      <c r="N142" s="7" t="s">
        <v>1241</v>
      </c>
      <c r="O142" s="7" t="s">
        <v>269</v>
      </c>
      <c r="P142" s="7" t="s">
        <v>1242</v>
      </c>
      <c r="Q142" s="7"/>
      <c r="R142" s="7"/>
      <c r="S142" s="7"/>
      <c r="T142" s="7"/>
      <c r="U142" s="7"/>
    </row>
    <row r="143" customFormat="false" ht="15" hidden="false" customHeight="false" outlineLevel="0" collapsed="false">
      <c r="A143" s="7" t="s">
        <v>6</v>
      </c>
      <c r="B143" s="7" t="s">
        <v>1243</v>
      </c>
      <c r="C143" s="7" t="s">
        <v>31</v>
      </c>
      <c r="D143" s="7" t="s">
        <v>1244</v>
      </c>
      <c r="E143" s="7" t="s">
        <v>1245</v>
      </c>
      <c r="F143" s="7" t="s">
        <v>78</v>
      </c>
      <c r="G143" s="7" t="s">
        <v>1246</v>
      </c>
      <c r="H143" s="7" t="s">
        <v>68</v>
      </c>
      <c r="I143" s="10" t="n">
        <v>2000</v>
      </c>
      <c r="J143" s="7" t="s">
        <v>69</v>
      </c>
      <c r="K143" s="7" t="s">
        <v>139</v>
      </c>
      <c r="L143" s="7" t="s">
        <v>1247</v>
      </c>
      <c r="M143" s="7" t="s">
        <v>1240</v>
      </c>
      <c r="N143" s="7" t="s">
        <v>1248</v>
      </c>
      <c r="O143" s="7" t="s">
        <v>1249</v>
      </c>
      <c r="P143" s="7" t="s">
        <v>1250</v>
      </c>
      <c r="Q143" s="7"/>
      <c r="R143" s="7"/>
      <c r="S143" s="7"/>
      <c r="T143" s="7"/>
      <c r="U143" s="7"/>
    </row>
    <row r="144" customFormat="false" ht="15" hidden="false" customHeight="false" outlineLevel="0" collapsed="false">
      <c r="A144" s="7" t="s">
        <v>6</v>
      </c>
      <c r="B144" s="7" t="s">
        <v>1251</v>
      </c>
      <c r="C144" s="7" t="s">
        <v>31</v>
      </c>
      <c r="D144" s="7" t="s">
        <v>1252</v>
      </c>
      <c r="E144" s="7" t="s">
        <v>112</v>
      </c>
      <c r="F144" s="7" t="s">
        <v>113</v>
      </c>
      <c r="G144" s="7" t="s">
        <v>1253</v>
      </c>
      <c r="H144" s="7" t="s">
        <v>68</v>
      </c>
      <c r="I144" s="10" t="n">
        <v>6000</v>
      </c>
      <c r="J144" s="7" t="s">
        <v>69</v>
      </c>
      <c r="K144" s="7" t="s">
        <v>1254</v>
      </c>
      <c r="L144" s="7" t="s">
        <v>1255</v>
      </c>
      <c r="M144" s="7" t="s">
        <v>1256</v>
      </c>
      <c r="N144" s="7" t="s">
        <v>1257</v>
      </c>
      <c r="O144" s="7" t="s">
        <v>1258</v>
      </c>
      <c r="P144" s="7" t="s">
        <v>1259</v>
      </c>
      <c r="Q144" s="7"/>
      <c r="R144" s="7"/>
      <c r="S144" s="7"/>
      <c r="T144" s="7"/>
      <c r="U144" s="7"/>
    </row>
    <row r="145" customFormat="false" ht="15" hidden="false" customHeight="false" outlineLevel="0" collapsed="false">
      <c r="A145" s="7" t="s">
        <v>6</v>
      </c>
      <c r="B145" s="7" t="s">
        <v>1260</v>
      </c>
      <c r="C145" s="7" t="s">
        <v>31</v>
      </c>
      <c r="D145" s="7" t="s">
        <v>1261</v>
      </c>
      <c r="E145" s="7" t="s">
        <v>249</v>
      </c>
      <c r="F145" s="7" t="s">
        <v>250</v>
      </c>
      <c r="G145" s="7" t="s">
        <v>1262</v>
      </c>
      <c r="H145" s="7" t="s">
        <v>149</v>
      </c>
      <c r="I145" s="10" t="n">
        <v>1500</v>
      </c>
      <c r="J145" s="7" t="s">
        <v>69</v>
      </c>
      <c r="K145" s="7" t="s">
        <v>1263</v>
      </c>
      <c r="L145" s="7" t="s">
        <v>1264</v>
      </c>
      <c r="M145" s="7" t="s">
        <v>1240</v>
      </c>
      <c r="N145" s="7" t="s">
        <v>1265</v>
      </c>
      <c r="O145" s="7" t="s">
        <v>1266</v>
      </c>
      <c r="P145" s="7" t="s">
        <v>1267</v>
      </c>
      <c r="Q145" s="7"/>
      <c r="R145" s="7"/>
      <c r="S145" s="7"/>
      <c r="T145" s="7"/>
      <c r="U145" s="7"/>
    </row>
    <row r="146" customFormat="false" ht="15" hidden="false" customHeight="false" outlineLevel="0" collapsed="false">
      <c r="A146" s="7" t="s">
        <v>6</v>
      </c>
      <c r="B146" s="7" t="s">
        <v>1268</v>
      </c>
      <c r="C146" s="7" t="s">
        <v>31</v>
      </c>
      <c r="D146" s="7" t="s">
        <v>1269</v>
      </c>
      <c r="E146" s="7" t="s">
        <v>1115</v>
      </c>
      <c r="F146" s="7" t="s">
        <v>1116</v>
      </c>
      <c r="G146" s="7" t="s">
        <v>1270</v>
      </c>
      <c r="H146" s="7" t="s">
        <v>149</v>
      </c>
      <c r="I146" s="10" t="n">
        <v>1500</v>
      </c>
      <c r="J146" s="7" t="s">
        <v>69</v>
      </c>
      <c r="K146" s="7" t="s">
        <v>1271</v>
      </c>
      <c r="L146" s="7" t="s">
        <v>1272</v>
      </c>
      <c r="M146" s="7" t="s">
        <v>1273</v>
      </c>
      <c r="N146" s="7" t="s">
        <v>1274</v>
      </c>
      <c r="O146" s="7" t="s">
        <v>1275</v>
      </c>
      <c r="P146" s="7" t="s">
        <v>1276</v>
      </c>
      <c r="Q146" s="7"/>
      <c r="R146" s="7"/>
      <c r="S146" s="7"/>
      <c r="T146" s="7"/>
      <c r="U146" s="7"/>
    </row>
    <row r="147" customFormat="false" ht="15" hidden="false" customHeight="false" outlineLevel="0" collapsed="false">
      <c r="A147" s="7" t="s">
        <v>6</v>
      </c>
      <c r="B147" s="7" t="s">
        <v>1277</v>
      </c>
      <c r="C147" s="7" t="s">
        <v>31</v>
      </c>
      <c r="D147" s="7" t="s">
        <v>1278</v>
      </c>
      <c r="E147" s="7" t="s">
        <v>112</v>
      </c>
      <c r="F147" s="7" t="s">
        <v>113</v>
      </c>
      <c r="G147" s="7" t="s">
        <v>1279</v>
      </c>
      <c r="H147" s="7" t="s">
        <v>149</v>
      </c>
      <c r="I147" s="10" t="n">
        <v>1200</v>
      </c>
      <c r="J147" s="7" t="s">
        <v>69</v>
      </c>
      <c r="K147" s="7" t="s">
        <v>1280</v>
      </c>
      <c r="L147" s="7" t="s">
        <v>1281</v>
      </c>
      <c r="M147" s="7" t="s">
        <v>1282</v>
      </c>
      <c r="N147" s="7" t="s">
        <v>1283</v>
      </c>
      <c r="O147" s="7" t="s">
        <v>1284</v>
      </c>
      <c r="P147" s="7" t="s">
        <v>1285</v>
      </c>
      <c r="Q147" s="7"/>
      <c r="R147" s="7"/>
      <c r="S147" s="7"/>
      <c r="T147" s="7"/>
      <c r="U147" s="7"/>
    </row>
    <row r="148" customFormat="false" ht="15" hidden="false" customHeight="false" outlineLevel="0" collapsed="false">
      <c r="A148" s="7" t="s">
        <v>6</v>
      </c>
      <c r="B148" s="7" t="s">
        <v>1286</v>
      </c>
      <c r="C148" s="7" t="s">
        <v>31</v>
      </c>
      <c r="D148" s="7" t="s">
        <v>1287</v>
      </c>
      <c r="E148" s="7" t="s">
        <v>479</v>
      </c>
      <c r="F148" s="7" t="s">
        <v>480</v>
      </c>
      <c r="G148" s="7" t="s">
        <v>1288</v>
      </c>
      <c r="H148" s="7" t="s">
        <v>174</v>
      </c>
      <c r="I148" s="10" t="n">
        <v>1200</v>
      </c>
      <c r="J148" s="7" t="s">
        <v>69</v>
      </c>
      <c r="K148" s="7" t="s">
        <v>559</v>
      </c>
      <c r="L148" s="7" t="s">
        <v>1289</v>
      </c>
      <c r="M148" s="7" t="s">
        <v>1273</v>
      </c>
      <c r="N148" s="7" t="s">
        <v>1290</v>
      </c>
      <c r="O148" s="7" t="s">
        <v>1291</v>
      </c>
      <c r="P148" s="7" t="s">
        <v>1292</v>
      </c>
      <c r="Q148" s="7"/>
      <c r="R148" s="7"/>
      <c r="S148" s="7"/>
      <c r="T148" s="7"/>
      <c r="U148" s="7"/>
    </row>
    <row r="149" customFormat="false" ht="15" hidden="false" customHeight="false" outlineLevel="0" collapsed="false">
      <c r="A149" s="7" t="s">
        <v>6</v>
      </c>
      <c r="B149" s="7" t="s">
        <v>1293</v>
      </c>
      <c r="C149" s="7" t="s">
        <v>31</v>
      </c>
      <c r="D149" s="7" t="s">
        <v>1294</v>
      </c>
      <c r="E149" s="7" t="s">
        <v>112</v>
      </c>
      <c r="F149" s="7" t="s">
        <v>113</v>
      </c>
      <c r="G149" s="7" t="s">
        <v>1295</v>
      </c>
      <c r="H149" s="7" t="s">
        <v>174</v>
      </c>
      <c r="I149" s="10" t="n">
        <v>1200</v>
      </c>
      <c r="J149" s="7" t="s">
        <v>69</v>
      </c>
      <c r="K149" s="7" t="s">
        <v>1296</v>
      </c>
      <c r="L149" s="7" t="s">
        <v>1297</v>
      </c>
      <c r="M149" s="7" t="s">
        <v>1298</v>
      </c>
      <c r="N149" s="7" t="s">
        <v>1299</v>
      </c>
      <c r="O149" s="7" t="s">
        <v>1300</v>
      </c>
      <c r="P149" s="7" t="s">
        <v>1301</v>
      </c>
      <c r="Q149" s="7"/>
      <c r="R149" s="7"/>
      <c r="S149" s="7"/>
      <c r="T149" s="7"/>
      <c r="U149" s="7"/>
    </row>
    <row r="150" customFormat="false" ht="15" hidden="false" customHeight="false" outlineLevel="0" collapsed="false">
      <c r="A150" s="7" t="s">
        <v>6</v>
      </c>
      <c r="B150" s="7" t="s">
        <v>1302</v>
      </c>
      <c r="C150" s="7" t="s">
        <v>31</v>
      </c>
      <c r="D150" s="7" t="s">
        <v>1227</v>
      </c>
      <c r="E150" s="7" t="s">
        <v>112</v>
      </c>
      <c r="F150" s="7" t="s">
        <v>113</v>
      </c>
      <c r="G150" s="7" t="s">
        <v>1303</v>
      </c>
      <c r="H150" s="7" t="s">
        <v>174</v>
      </c>
      <c r="I150" s="10" t="n">
        <v>900</v>
      </c>
      <c r="J150" s="7" t="s">
        <v>69</v>
      </c>
      <c r="K150" s="7" t="s">
        <v>1304</v>
      </c>
      <c r="L150" s="7" t="s">
        <v>1305</v>
      </c>
      <c r="M150" s="7" t="s">
        <v>1273</v>
      </c>
      <c r="N150" s="7" t="s">
        <v>1306</v>
      </c>
      <c r="O150" s="7" t="s">
        <v>1307</v>
      </c>
      <c r="P150" s="7" t="s">
        <v>1308</v>
      </c>
      <c r="Q150" s="7"/>
      <c r="R150" s="7"/>
      <c r="S150" s="7"/>
      <c r="T150" s="7"/>
      <c r="U150" s="7"/>
    </row>
    <row r="151" customFormat="false" ht="15" hidden="false" customHeight="false" outlineLevel="0" collapsed="false">
      <c r="A151" s="7" t="s">
        <v>6</v>
      </c>
      <c r="B151" s="7" t="s">
        <v>1309</v>
      </c>
      <c r="C151" s="7" t="s">
        <v>31</v>
      </c>
      <c r="D151" s="7" t="s">
        <v>1310</v>
      </c>
      <c r="E151" s="7" t="s">
        <v>1311</v>
      </c>
      <c r="F151" s="7" t="s">
        <v>78</v>
      </c>
      <c r="G151" s="7" t="s">
        <v>1312</v>
      </c>
      <c r="H151" s="7" t="s">
        <v>174</v>
      </c>
      <c r="I151" s="10" t="n">
        <v>1000</v>
      </c>
      <c r="J151" s="7" t="s">
        <v>69</v>
      </c>
      <c r="K151" s="7" t="s">
        <v>1313</v>
      </c>
      <c r="L151" s="7" t="s">
        <v>1314</v>
      </c>
      <c r="M151" s="7" t="s">
        <v>1315</v>
      </c>
      <c r="N151" s="7" t="s">
        <v>1316</v>
      </c>
      <c r="O151" s="7" t="s">
        <v>1317</v>
      </c>
      <c r="P151" s="7" t="s">
        <v>1318</v>
      </c>
      <c r="Q151" s="7"/>
      <c r="R151" s="7"/>
      <c r="S151" s="7"/>
      <c r="T151" s="7"/>
      <c r="U151" s="7"/>
    </row>
    <row r="152" customFormat="false" ht="15" hidden="false" customHeight="false" outlineLevel="0" collapsed="false">
      <c r="A152" s="7" t="s">
        <v>6</v>
      </c>
      <c r="B152" s="7" t="s">
        <v>1319</v>
      </c>
      <c r="C152" s="7" t="s">
        <v>31</v>
      </c>
      <c r="D152" s="7" t="s">
        <v>1320</v>
      </c>
      <c r="E152" s="7" t="s">
        <v>1321</v>
      </c>
      <c r="F152" s="7" t="s">
        <v>78</v>
      </c>
      <c r="G152" s="7" t="s">
        <v>1322</v>
      </c>
      <c r="H152" s="7" t="s">
        <v>258</v>
      </c>
      <c r="I152" s="10" t="n">
        <v>800</v>
      </c>
      <c r="J152" s="7" t="s">
        <v>69</v>
      </c>
      <c r="K152" s="7" t="s">
        <v>1263</v>
      </c>
      <c r="L152" s="7" t="s">
        <v>1323</v>
      </c>
      <c r="M152" s="7" t="s">
        <v>1273</v>
      </c>
      <c r="N152" s="7" t="s">
        <v>1324</v>
      </c>
      <c r="O152" s="7" t="s">
        <v>1325</v>
      </c>
      <c r="P152" s="7" t="s">
        <v>1301</v>
      </c>
      <c r="Q152" s="7"/>
      <c r="R152" s="7"/>
      <c r="S152" s="7"/>
      <c r="T152" s="7"/>
      <c r="U152" s="7"/>
    </row>
    <row r="153" customFormat="false" ht="15" hidden="false" customHeight="false" outlineLevel="0" collapsed="false">
      <c r="A153" s="7" t="s">
        <v>6</v>
      </c>
      <c r="B153" s="7" t="s">
        <v>1326</v>
      </c>
      <c r="C153" s="7" t="s">
        <v>32</v>
      </c>
      <c r="D153" s="7" t="s">
        <v>1327</v>
      </c>
      <c r="E153" s="7" t="s">
        <v>1328</v>
      </c>
      <c r="F153" s="7" t="s">
        <v>78</v>
      </c>
      <c r="G153" s="7" t="s">
        <v>1329</v>
      </c>
      <c r="H153" s="7" t="s">
        <v>68</v>
      </c>
      <c r="I153" s="10" t="n">
        <v>3500</v>
      </c>
      <c r="J153" s="7" t="s">
        <v>69</v>
      </c>
      <c r="K153" s="7" t="s">
        <v>1330</v>
      </c>
      <c r="L153" s="7" t="s">
        <v>1331</v>
      </c>
      <c r="M153" s="7" t="s">
        <v>1332</v>
      </c>
      <c r="N153" s="7" t="s">
        <v>1333</v>
      </c>
      <c r="O153" s="7" t="s">
        <v>1334</v>
      </c>
      <c r="P153" s="7" t="s">
        <v>1335</v>
      </c>
      <c r="Q153" s="7"/>
      <c r="R153" s="7"/>
      <c r="S153" s="7"/>
      <c r="T153" s="7"/>
      <c r="U153" s="7"/>
    </row>
    <row r="154" customFormat="false" ht="15" hidden="false" customHeight="false" outlineLevel="0" collapsed="false">
      <c r="A154" s="7" t="s">
        <v>6</v>
      </c>
      <c r="B154" s="7" t="s">
        <v>1336</v>
      </c>
      <c r="C154" s="7" t="s">
        <v>32</v>
      </c>
      <c r="D154" s="7" t="s">
        <v>1337</v>
      </c>
      <c r="E154" s="7" t="s">
        <v>112</v>
      </c>
      <c r="F154" s="7" t="s">
        <v>113</v>
      </c>
      <c r="G154" s="7" t="s">
        <v>1338</v>
      </c>
      <c r="H154" s="7" t="s">
        <v>68</v>
      </c>
      <c r="I154" s="10" t="n">
        <v>2500</v>
      </c>
      <c r="J154" s="7" t="s">
        <v>69</v>
      </c>
      <c r="K154" s="7" t="s">
        <v>1330</v>
      </c>
      <c r="L154" s="7" t="s">
        <v>1339</v>
      </c>
      <c r="M154" s="7" t="s">
        <v>1332</v>
      </c>
      <c r="N154" s="7" t="s">
        <v>1340</v>
      </c>
      <c r="O154" s="7" t="s">
        <v>1341</v>
      </c>
      <c r="P154" s="7" t="s">
        <v>1335</v>
      </c>
      <c r="Q154" s="7"/>
      <c r="R154" s="7"/>
      <c r="S154" s="7"/>
      <c r="T154" s="7"/>
      <c r="U154" s="7"/>
    </row>
    <row r="155" customFormat="false" ht="15" hidden="false" customHeight="false" outlineLevel="0" collapsed="false">
      <c r="A155" s="7" t="s">
        <v>6</v>
      </c>
      <c r="B155" s="7" t="s">
        <v>1342</v>
      </c>
      <c r="C155" s="7" t="s">
        <v>32</v>
      </c>
      <c r="D155" s="7" t="s">
        <v>1343</v>
      </c>
      <c r="E155" s="7" t="s">
        <v>445</v>
      </c>
      <c r="F155" s="7" t="s">
        <v>250</v>
      </c>
      <c r="G155" s="7" t="s">
        <v>1344</v>
      </c>
      <c r="H155" s="7" t="s">
        <v>68</v>
      </c>
      <c r="I155" s="10" t="n">
        <v>3000</v>
      </c>
      <c r="J155" s="7" t="s">
        <v>69</v>
      </c>
      <c r="K155" s="7" t="s">
        <v>1330</v>
      </c>
      <c r="L155" s="7" t="s">
        <v>1345</v>
      </c>
      <c r="M155" s="7" t="s">
        <v>1332</v>
      </c>
      <c r="N155" s="7" t="s">
        <v>1346</v>
      </c>
      <c r="O155" s="7" t="s">
        <v>1334</v>
      </c>
      <c r="P155" s="7" t="s">
        <v>1335</v>
      </c>
      <c r="Q155" s="7"/>
      <c r="R155" s="7"/>
      <c r="S155" s="7"/>
      <c r="T155" s="7"/>
      <c r="U155" s="7"/>
    </row>
    <row r="156" customFormat="false" ht="15" hidden="false" customHeight="false" outlineLevel="0" collapsed="false">
      <c r="A156" s="7" t="s">
        <v>6</v>
      </c>
      <c r="B156" s="7" t="s">
        <v>1347</v>
      </c>
      <c r="C156" s="7" t="s">
        <v>32</v>
      </c>
      <c r="D156" s="7" t="s">
        <v>1348</v>
      </c>
      <c r="E156" s="7" t="s">
        <v>1349</v>
      </c>
      <c r="F156" s="7" t="s">
        <v>854</v>
      </c>
      <c r="G156" s="7" t="s">
        <v>1350</v>
      </c>
      <c r="H156" s="7" t="s">
        <v>68</v>
      </c>
      <c r="I156" s="10" t="n">
        <v>3000</v>
      </c>
      <c r="J156" s="7" t="s">
        <v>69</v>
      </c>
      <c r="K156" s="7" t="s">
        <v>1351</v>
      </c>
      <c r="L156" s="7" t="s">
        <v>1352</v>
      </c>
      <c r="M156" s="7" t="s">
        <v>1353</v>
      </c>
      <c r="N156" s="7" t="s">
        <v>1354</v>
      </c>
      <c r="O156" s="7" t="s">
        <v>1355</v>
      </c>
      <c r="P156" s="7" t="s">
        <v>1356</v>
      </c>
      <c r="Q156" s="7"/>
      <c r="R156" s="7"/>
      <c r="S156" s="7"/>
      <c r="T156" s="7"/>
      <c r="U156" s="7"/>
    </row>
    <row r="157" customFormat="false" ht="15" hidden="false" customHeight="false" outlineLevel="0" collapsed="false">
      <c r="A157" s="7" t="s">
        <v>6</v>
      </c>
      <c r="B157" s="7" t="s">
        <v>1357</v>
      </c>
      <c r="C157" s="7" t="s">
        <v>32</v>
      </c>
      <c r="D157" s="7" t="s">
        <v>1358</v>
      </c>
      <c r="E157" s="7" t="s">
        <v>1359</v>
      </c>
      <c r="F157" s="7" t="s">
        <v>172</v>
      </c>
      <c r="G157" s="7" t="s">
        <v>1360</v>
      </c>
      <c r="H157" s="7" t="s">
        <v>68</v>
      </c>
      <c r="I157" s="10" t="n">
        <v>3500</v>
      </c>
      <c r="J157" s="7" t="s">
        <v>69</v>
      </c>
      <c r="K157" s="7" t="s">
        <v>1361</v>
      </c>
      <c r="L157" s="7" t="s">
        <v>1362</v>
      </c>
      <c r="M157" s="7" t="s">
        <v>1332</v>
      </c>
      <c r="N157" s="7" t="s">
        <v>1363</v>
      </c>
      <c r="O157" s="7" t="s">
        <v>1334</v>
      </c>
      <c r="P157" s="7" t="s">
        <v>1364</v>
      </c>
      <c r="Q157" s="7"/>
      <c r="R157" s="7"/>
      <c r="S157" s="7"/>
      <c r="T157" s="7"/>
      <c r="U157" s="7"/>
    </row>
    <row r="158" customFormat="false" ht="15" hidden="false" customHeight="false" outlineLevel="0" collapsed="false">
      <c r="A158" s="7" t="s">
        <v>6</v>
      </c>
      <c r="B158" s="7" t="s">
        <v>1365</v>
      </c>
      <c r="C158" s="7" t="s">
        <v>32</v>
      </c>
      <c r="D158" s="7" t="s">
        <v>1366</v>
      </c>
      <c r="E158" s="7" t="s">
        <v>112</v>
      </c>
      <c r="F158" s="7" t="s">
        <v>113</v>
      </c>
      <c r="G158" s="7" t="s">
        <v>1367</v>
      </c>
      <c r="H158" s="7" t="s">
        <v>68</v>
      </c>
      <c r="I158" s="10" t="n">
        <v>3000</v>
      </c>
      <c r="J158" s="7" t="s">
        <v>69</v>
      </c>
      <c r="K158" s="7" t="s">
        <v>1368</v>
      </c>
      <c r="L158" s="7" t="s">
        <v>1369</v>
      </c>
      <c r="M158" s="7" t="s">
        <v>1370</v>
      </c>
      <c r="N158" s="7" t="s">
        <v>1371</v>
      </c>
      <c r="O158" s="7" t="s">
        <v>1372</v>
      </c>
      <c r="P158" s="7" t="s">
        <v>1373</v>
      </c>
      <c r="Q158" s="7"/>
      <c r="R158" s="7"/>
      <c r="S158" s="7"/>
      <c r="T158" s="7"/>
      <c r="U158" s="7"/>
    </row>
    <row r="159" customFormat="false" ht="15" hidden="false" customHeight="false" outlineLevel="0" collapsed="false">
      <c r="A159" s="7" t="s">
        <v>6</v>
      </c>
      <c r="B159" s="7" t="s">
        <v>1374</v>
      </c>
      <c r="C159" s="7" t="s">
        <v>32</v>
      </c>
      <c r="D159" s="7" t="s">
        <v>1375</v>
      </c>
      <c r="E159" s="7" t="s">
        <v>986</v>
      </c>
      <c r="F159" s="7" t="s">
        <v>215</v>
      </c>
      <c r="G159" s="7" t="s">
        <v>1376</v>
      </c>
      <c r="H159" s="7" t="s">
        <v>68</v>
      </c>
      <c r="I159" s="10" t="n">
        <v>2000</v>
      </c>
      <c r="J159" s="7" t="s">
        <v>69</v>
      </c>
      <c r="K159" s="7" t="s">
        <v>1361</v>
      </c>
      <c r="L159" s="7" t="s">
        <v>1377</v>
      </c>
      <c r="M159" s="7" t="s">
        <v>1332</v>
      </c>
      <c r="N159" s="7" t="s">
        <v>1378</v>
      </c>
      <c r="O159" s="7" t="s">
        <v>1379</v>
      </c>
      <c r="P159" s="7" t="s">
        <v>1364</v>
      </c>
      <c r="Q159" s="7"/>
      <c r="R159" s="7"/>
      <c r="S159" s="7"/>
      <c r="T159" s="7"/>
      <c r="U159" s="7"/>
    </row>
    <row r="160" customFormat="false" ht="15" hidden="false" customHeight="false" outlineLevel="0" collapsed="false">
      <c r="A160" s="7" t="s">
        <v>6</v>
      </c>
      <c r="B160" s="7" t="s">
        <v>1380</v>
      </c>
      <c r="C160" s="7" t="s">
        <v>32</v>
      </c>
      <c r="D160" s="7" t="s">
        <v>1381</v>
      </c>
      <c r="E160" s="7" t="s">
        <v>1382</v>
      </c>
      <c r="F160" s="7" t="s">
        <v>348</v>
      </c>
      <c r="G160" s="7" t="s">
        <v>1383</v>
      </c>
      <c r="H160" s="7" t="s">
        <v>68</v>
      </c>
      <c r="I160" s="10" t="n">
        <v>2500</v>
      </c>
      <c r="J160" s="7" t="s">
        <v>69</v>
      </c>
      <c r="K160" s="7" t="s">
        <v>1330</v>
      </c>
      <c r="L160" s="7" t="s">
        <v>1384</v>
      </c>
      <c r="M160" s="7" t="s">
        <v>1332</v>
      </c>
      <c r="N160" s="7" t="s">
        <v>1385</v>
      </c>
      <c r="O160" s="7" t="s">
        <v>1386</v>
      </c>
      <c r="P160" s="7" t="s">
        <v>1335</v>
      </c>
      <c r="Q160" s="7"/>
      <c r="R160" s="7"/>
      <c r="S160" s="7"/>
      <c r="T160" s="7"/>
      <c r="U160" s="7"/>
    </row>
    <row r="161" customFormat="false" ht="15" hidden="false" customHeight="false" outlineLevel="0" collapsed="false">
      <c r="A161" s="7" t="s">
        <v>6</v>
      </c>
      <c r="B161" s="7" t="s">
        <v>1387</v>
      </c>
      <c r="C161" s="7" t="s">
        <v>32</v>
      </c>
      <c r="D161" s="7" t="s">
        <v>1388</v>
      </c>
      <c r="E161" s="7" t="s">
        <v>1389</v>
      </c>
      <c r="F161" s="7" t="s">
        <v>78</v>
      </c>
      <c r="G161" s="7" t="s">
        <v>1390</v>
      </c>
      <c r="H161" s="7" t="s">
        <v>68</v>
      </c>
      <c r="I161" s="10" t="n">
        <v>3000</v>
      </c>
      <c r="J161" s="7" t="s">
        <v>69</v>
      </c>
      <c r="K161" s="7" t="s">
        <v>1330</v>
      </c>
      <c r="L161" s="7" t="s">
        <v>1391</v>
      </c>
      <c r="M161" s="7" t="s">
        <v>1353</v>
      </c>
      <c r="N161" s="7" t="s">
        <v>1392</v>
      </c>
      <c r="O161" s="7" t="s">
        <v>1334</v>
      </c>
      <c r="P161" s="7" t="s">
        <v>1335</v>
      </c>
      <c r="Q161" s="7"/>
      <c r="R161" s="7"/>
      <c r="S161" s="7"/>
      <c r="T161" s="7"/>
      <c r="U161" s="7"/>
    </row>
    <row r="162" customFormat="false" ht="15" hidden="false" customHeight="false" outlineLevel="0" collapsed="false">
      <c r="A162" s="7" t="s">
        <v>6</v>
      </c>
      <c r="B162" s="7" t="s">
        <v>1393</v>
      </c>
      <c r="C162" s="7" t="s">
        <v>32</v>
      </c>
      <c r="D162" s="7" t="s">
        <v>1394</v>
      </c>
      <c r="E162" s="7" t="s">
        <v>1395</v>
      </c>
      <c r="F162" s="7" t="s">
        <v>105</v>
      </c>
      <c r="G162" s="7" t="s">
        <v>1396</v>
      </c>
      <c r="H162" s="7" t="s">
        <v>68</v>
      </c>
      <c r="I162" s="10" t="n">
        <v>1200</v>
      </c>
      <c r="J162" s="7" t="s">
        <v>69</v>
      </c>
      <c r="K162" s="7" t="s">
        <v>1397</v>
      </c>
      <c r="L162" s="7"/>
      <c r="M162" s="7" t="s">
        <v>1398</v>
      </c>
      <c r="N162" s="7" t="s">
        <v>1399</v>
      </c>
      <c r="O162" s="7" t="s">
        <v>1400</v>
      </c>
      <c r="P162" s="7" t="s">
        <v>1401</v>
      </c>
      <c r="Q162" s="7"/>
      <c r="R162" s="7"/>
      <c r="S162" s="7"/>
      <c r="T162" s="7"/>
      <c r="U162" s="7"/>
    </row>
    <row r="163" customFormat="false" ht="15" hidden="false" customHeight="false" outlineLevel="0" collapsed="false">
      <c r="A163" s="7" t="s">
        <v>6</v>
      </c>
      <c r="B163" s="7" t="s">
        <v>1402</v>
      </c>
      <c r="C163" s="7" t="s">
        <v>32</v>
      </c>
      <c r="D163" s="7" t="s">
        <v>1403</v>
      </c>
      <c r="E163" s="7" t="s">
        <v>1404</v>
      </c>
      <c r="F163" s="7" t="s">
        <v>206</v>
      </c>
      <c r="G163" s="7" t="s">
        <v>1405</v>
      </c>
      <c r="H163" s="7" t="s">
        <v>68</v>
      </c>
      <c r="I163" s="10" t="n">
        <v>5000</v>
      </c>
      <c r="J163" s="7" t="s">
        <v>69</v>
      </c>
      <c r="K163" s="7" t="s">
        <v>1351</v>
      </c>
      <c r="L163" s="7" t="s">
        <v>1406</v>
      </c>
      <c r="M163" s="7" t="s">
        <v>1109</v>
      </c>
      <c r="N163" s="7" t="s">
        <v>1407</v>
      </c>
      <c r="O163" s="7" t="s">
        <v>1408</v>
      </c>
      <c r="P163" s="7" t="s">
        <v>1356</v>
      </c>
      <c r="Q163" s="7"/>
      <c r="R163" s="7"/>
      <c r="S163" s="7"/>
      <c r="T163" s="7"/>
      <c r="U163" s="7"/>
    </row>
    <row r="164" customFormat="false" ht="15" hidden="false" customHeight="false" outlineLevel="0" collapsed="false">
      <c r="A164" s="7" t="s">
        <v>6</v>
      </c>
      <c r="B164" s="7" t="s">
        <v>1409</v>
      </c>
      <c r="C164" s="7" t="s">
        <v>32</v>
      </c>
      <c r="D164" s="7" t="s">
        <v>1410</v>
      </c>
      <c r="E164" s="7" t="s">
        <v>713</v>
      </c>
      <c r="F164" s="7" t="s">
        <v>155</v>
      </c>
      <c r="G164" s="7" t="s">
        <v>1411</v>
      </c>
      <c r="H164" s="7" t="s">
        <v>149</v>
      </c>
      <c r="I164" s="10" t="n">
        <v>1200</v>
      </c>
      <c r="J164" s="7" t="s">
        <v>69</v>
      </c>
      <c r="K164" s="7" t="s">
        <v>1397</v>
      </c>
      <c r="L164" s="7" t="s">
        <v>1412</v>
      </c>
      <c r="M164" s="7" t="s">
        <v>1413</v>
      </c>
      <c r="N164" s="7" t="s">
        <v>1414</v>
      </c>
      <c r="O164" s="7" t="s">
        <v>1415</v>
      </c>
      <c r="P164" s="7" t="s">
        <v>1401</v>
      </c>
      <c r="Q164" s="7"/>
      <c r="R164" s="7"/>
      <c r="S164" s="7"/>
      <c r="T164" s="7"/>
      <c r="U164" s="7"/>
    </row>
    <row r="165" customFormat="false" ht="15" hidden="false" customHeight="false" outlineLevel="0" collapsed="false">
      <c r="A165" s="7" t="s">
        <v>6</v>
      </c>
      <c r="B165" s="7" t="s">
        <v>1416</v>
      </c>
      <c r="C165" s="7" t="s">
        <v>32</v>
      </c>
      <c r="D165" s="7" t="s">
        <v>1417</v>
      </c>
      <c r="E165" s="7" t="s">
        <v>1418</v>
      </c>
      <c r="F165" s="7" t="s">
        <v>66</v>
      </c>
      <c r="G165" s="7" t="s">
        <v>1419</v>
      </c>
      <c r="H165" s="7" t="s">
        <v>149</v>
      </c>
      <c r="I165" s="10" t="n">
        <v>1500</v>
      </c>
      <c r="J165" s="7" t="s">
        <v>69</v>
      </c>
      <c r="K165" s="7" t="s">
        <v>1330</v>
      </c>
      <c r="L165" s="7" t="s">
        <v>1420</v>
      </c>
      <c r="M165" s="7" t="s">
        <v>1332</v>
      </c>
      <c r="N165" s="7" t="s">
        <v>1421</v>
      </c>
      <c r="O165" s="7" t="s">
        <v>1422</v>
      </c>
      <c r="P165" s="7" t="s">
        <v>1335</v>
      </c>
      <c r="Q165" s="7"/>
      <c r="R165" s="7"/>
      <c r="S165" s="7"/>
      <c r="T165" s="7"/>
      <c r="U165" s="7"/>
    </row>
    <row r="166" customFormat="false" ht="15" hidden="false" customHeight="false" outlineLevel="0" collapsed="false">
      <c r="A166" s="7" t="s">
        <v>6</v>
      </c>
      <c r="B166" s="7" t="s">
        <v>1423</v>
      </c>
      <c r="C166" s="7" t="s">
        <v>32</v>
      </c>
      <c r="D166" s="7" t="s">
        <v>1424</v>
      </c>
      <c r="E166" s="7" t="s">
        <v>1425</v>
      </c>
      <c r="F166" s="7" t="s">
        <v>113</v>
      </c>
      <c r="G166" s="7" t="s">
        <v>1426</v>
      </c>
      <c r="H166" s="7" t="s">
        <v>149</v>
      </c>
      <c r="I166" s="10" t="n">
        <v>2500</v>
      </c>
      <c r="J166" s="7" t="s">
        <v>69</v>
      </c>
      <c r="K166" s="7" t="s">
        <v>1427</v>
      </c>
      <c r="L166" s="7" t="s">
        <v>1428</v>
      </c>
      <c r="M166" s="7" t="s">
        <v>1353</v>
      </c>
      <c r="N166" s="7" t="s">
        <v>1429</v>
      </c>
      <c r="O166" s="7" t="s">
        <v>1430</v>
      </c>
      <c r="P166" s="7" t="s">
        <v>1431</v>
      </c>
      <c r="Q166" s="7"/>
      <c r="R166" s="7"/>
      <c r="S166" s="7"/>
      <c r="T166" s="7"/>
      <c r="U166" s="7"/>
    </row>
    <row r="167" customFormat="false" ht="15" hidden="false" customHeight="false" outlineLevel="0" collapsed="false">
      <c r="A167" s="7" t="s">
        <v>6</v>
      </c>
      <c r="B167" s="7" t="s">
        <v>1432</v>
      </c>
      <c r="C167" s="7" t="s">
        <v>32</v>
      </c>
      <c r="D167" s="7" t="s">
        <v>1433</v>
      </c>
      <c r="E167" s="7" t="s">
        <v>1434</v>
      </c>
      <c r="F167" s="7" t="s">
        <v>250</v>
      </c>
      <c r="G167" s="7" t="s">
        <v>1435</v>
      </c>
      <c r="H167" s="7" t="s">
        <v>149</v>
      </c>
      <c r="I167" s="10" t="n">
        <v>600</v>
      </c>
      <c r="J167" s="7" t="s">
        <v>69</v>
      </c>
      <c r="K167" s="7" t="s">
        <v>1436</v>
      </c>
      <c r="L167" s="7" t="s">
        <v>1437</v>
      </c>
      <c r="M167" s="7" t="s">
        <v>1438</v>
      </c>
      <c r="N167" s="7" t="s">
        <v>1439</v>
      </c>
      <c r="O167" s="7" t="s">
        <v>1334</v>
      </c>
      <c r="P167" s="7" t="s">
        <v>1440</v>
      </c>
      <c r="Q167" s="7"/>
      <c r="R167" s="7"/>
      <c r="S167" s="7"/>
      <c r="T167" s="7"/>
      <c r="U167" s="7"/>
    </row>
    <row r="168" customFormat="false" ht="15" hidden="false" customHeight="false" outlineLevel="0" collapsed="false">
      <c r="A168" s="7" t="s">
        <v>6</v>
      </c>
      <c r="B168" s="7" t="s">
        <v>1441</v>
      </c>
      <c r="C168" s="7" t="s">
        <v>32</v>
      </c>
      <c r="D168" s="7" t="s">
        <v>1442</v>
      </c>
      <c r="E168" s="7" t="s">
        <v>1443</v>
      </c>
      <c r="F168" s="7" t="s">
        <v>455</v>
      </c>
      <c r="G168" s="7" t="s">
        <v>1444</v>
      </c>
      <c r="H168" s="7" t="s">
        <v>149</v>
      </c>
      <c r="I168" s="10" t="n">
        <v>1600</v>
      </c>
      <c r="J168" s="7" t="s">
        <v>69</v>
      </c>
      <c r="K168" s="7" t="s">
        <v>1397</v>
      </c>
      <c r="L168" s="7" t="s">
        <v>1445</v>
      </c>
      <c r="M168" s="7" t="s">
        <v>1109</v>
      </c>
      <c r="N168" s="7" t="s">
        <v>1446</v>
      </c>
      <c r="O168" s="7" t="s">
        <v>1447</v>
      </c>
      <c r="P168" s="7" t="s">
        <v>1401</v>
      </c>
      <c r="Q168" s="7"/>
      <c r="R168" s="7"/>
      <c r="S168" s="7"/>
      <c r="T168" s="7"/>
      <c r="U168" s="7"/>
    </row>
    <row r="169" customFormat="false" ht="15" hidden="false" customHeight="false" outlineLevel="0" collapsed="false">
      <c r="A169" s="7" t="s">
        <v>6</v>
      </c>
      <c r="B169" s="7" t="s">
        <v>1448</v>
      </c>
      <c r="C169" s="7" t="s">
        <v>32</v>
      </c>
      <c r="D169" s="7" t="s">
        <v>1449</v>
      </c>
      <c r="E169" s="7" t="s">
        <v>1450</v>
      </c>
      <c r="F169" s="7" t="s">
        <v>172</v>
      </c>
      <c r="G169" s="7" t="s">
        <v>1451</v>
      </c>
      <c r="H169" s="7" t="s">
        <v>149</v>
      </c>
      <c r="I169" s="10" t="n">
        <v>3000</v>
      </c>
      <c r="J169" s="7" t="s">
        <v>69</v>
      </c>
      <c r="K169" s="7" t="s">
        <v>1452</v>
      </c>
      <c r="L169" s="7" t="s">
        <v>1453</v>
      </c>
      <c r="M169" s="7" t="s">
        <v>1332</v>
      </c>
      <c r="N169" s="7" t="s">
        <v>1454</v>
      </c>
      <c r="O169" s="7" t="s">
        <v>1455</v>
      </c>
      <c r="P169" s="7" t="s">
        <v>1456</v>
      </c>
      <c r="Q169" s="7"/>
      <c r="R169" s="7"/>
      <c r="S169" s="7"/>
      <c r="T169" s="7"/>
      <c r="U169" s="7"/>
    </row>
    <row r="170" customFormat="false" ht="15" hidden="false" customHeight="false" outlineLevel="0" collapsed="false">
      <c r="A170" s="7" t="s">
        <v>6</v>
      </c>
      <c r="B170" s="7" t="s">
        <v>1457</v>
      </c>
      <c r="C170" s="7" t="s">
        <v>32</v>
      </c>
      <c r="D170" s="7" t="s">
        <v>1458</v>
      </c>
      <c r="E170" s="7" t="s">
        <v>112</v>
      </c>
      <c r="F170" s="7" t="s">
        <v>113</v>
      </c>
      <c r="G170" s="7" t="s">
        <v>1459</v>
      </c>
      <c r="H170" s="7" t="s">
        <v>149</v>
      </c>
      <c r="I170" s="10" t="n">
        <v>1500</v>
      </c>
      <c r="J170" s="7" t="s">
        <v>69</v>
      </c>
      <c r="K170" s="7" t="s">
        <v>1460</v>
      </c>
      <c r="L170" s="7" t="s">
        <v>1461</v>
      </c>
      <c r="M170" s="7" t="s">
        <v>1332</v>
      </c>
      <c r="N170" s="7" t="s">
        <v>1462</v>
      </c>
      <c r="O170" s="7" t="s">
        <v>1463</v>
      </c>
      <c r="P170" s="7" t="s">
        <v>1464</v>
      </c>
      <c r="Q170" s="7"/>
      <c r="R170" s="7"/>
      <c r="S170" s="7"/>
      <c r="T170" s="7"/>
      <c r="U170" s="7"/>
    </row>
    <row r="171" customFormat="false" ht="15" hidden="false" customHeight="false" outlineLevel="0" collapsed="false">
      <c r="A171" s="7" t="s">
        <v>6</v>
      </c>
      <c r="B171" s="7" t="s">
        <v>1465</v>
      </c>
      <c r="C171" s="7" t="s">
        <v>32</v>
      </c>
      <c r="D171" s="7" t="s">
        <v>1466</v>
      </c>
      <c r="E171" s="7" t="s">
        <v>1467</v>
      </c>
      <c r="F171" s="7" t="s">
        <v>147</v>
      </c>
      <c r="G171" s="7" t="s">
        <v>1468</v>
      </c>
      <c r="H171" s="7" t="s">
        <v>149</v>
      </c>
      <c r="I171" s="10" t="n">
        <v>2500</v>
      </c>
      <c r="J171" s="7" t="s">
        <v>69</v>
      </c>
      <c r="K171" s="7" t="s">
        <v>1330</v>
      </c>
      <c r="L171" s="7" t="s">
        <v>1469</v>
      </c>
      <c r="M171" s="7" t="s">
        <v>1332</v>
      </c>
      <c r="N171" s="7" t="s">
        <v>1470</v>
      </c>
      <c r="O171" s="7" t="s">
        <v>1471</v>
      </c>
      <c r="P171" s="7" t="s">
        <v>1335</v>
      </c>
      <c r="Q171" s="7"/>
      <c r="R171" s="7"/>
      <c r="S171" s="7"/>
      <c r="T171" s="7"/>
      <c r="U171" s="7"/>
    </row>
    <row r="172" customFormat="false" ht="15" hidden="false" customHeight="false" outlineLevel="0" collapsed="false">
      <c r="A172" s="7" t="s">
        <v>6</v>
      </c>
      <c r="B172" s="7" t="s">
        <v>1472</v>
      </c>
      <c r="C172" s="7" t="s">
        <v>32</v>
      </c>
      <c r="D172" s="7" t="s">
        <v>1473</v>
      </c>
      <c r="E172" s="7" t="s">
        <v>1474</v>
      </c>
      <c r="F172" s="7" t="s">
        <v>155</v>
      </c>
      <c r="G172" s="7" t="s">
        <v>1475</v>
      </c>
      <c r="H172" s="7" t="s">
        <v>149</v>
      </c>
      <c r="I172" s="10" t="n">
        <v>400</v>
      </c>
      <c r="J172" s="7" t="s">
        <v>69</v>
      </c>
      <c r="K172" s="7" t="s">
        <v>964</v>
      </c>
      <c r="L172" s="7"/>
      <c r="M172" s="7" t="s">
        <v>1476</v>
      </c>
      <c r="N172" s="7" t="s">
        <v>1477</v>
      </c>
      <c r="O172" s="7" t="s">
        <v>1334</v>
      </c>
      <c r="P172" s="7" t="s">
        <v>1478</v>
      </c>
      <c r="Q172" s="7"/>
      <c r="R172" s="7"/>
      <c r="S172" s="7"/>
      <c r="T172" s="7"/>
      <c r="U172" s="7"/>
    </row>
    <row r="173" customFormat="false" ht="15" hidden="false" customHeight="false" outlineLevel="0" collapsed="false">
      <c r="A173" s="7" t="s">
        <v>6</v>
      </c>
      <c r="B173" s="7" t="s">
        <v>1479</v>
      </c>
      <c r="C173" s="7" t="s">
        <v>32</v>
      </c>
      <c r="D173" s="7" t="s">
        <v>1480</v>
      </c>
      <c r="E173" s="7" t="s">
        <v>1481</v>
      </c>
      <c r="F173" s="7" t="s">
        <v>338</v>
      </c>
      <c r="G173" s="7" t="s">
        <v>1482</v>
      </c>
      <c r="H173" s="7" t="s">
        <v>149</v>
      </c>
      <c r="I173" s="10" t="n">
        <v>2500</v>
      </c>
      <c r="J173" s="7" t="s">
        <v>69</v>
      </c>
      <c r="K173" s="7" t="s">
        <v>1427</v>
      </c>
      <c r="L173" s="7" t="s">
        <v>1483</v>
      </c>
      <c r="M173" s="7" t="s">
        <v>1353</v>
      </c>
      <c r="N173" s="7" t="s">
        <v>1484</v>
      </c>
      <c r="O173" s="7" t="s">
        <v>1334</v>
      </c>
      <c r="P173" s="7" t="s">
        <v>1431</v>
      </c>
      <c r="Q173" s="7"/>
      <c r="R173" s="7"/>
      <c r="S173" s="7"/>
      <c r="T173" s="7"/>
      <c r="U173" s="7"/>
    </row>
    <row r="174" customFormat="false" ht="15" hidden="false" customHeight="false" outlineLevel="0" collapsed="false">
      <c r="A174" s="7" t="s">
        <v>6</v>
      </c>
      <c r="B174" s="7" t="s">
        <v>1485</v>
      </c>
      <c r="C174" s="7" t="s">
        <v>32</v>
      </c>
      <c r="D174" s="7" t="s">
        <v>1486</v>
      </c>
      <c r="E174" s="7" t="s">
        <v>1487</v>
      </c>
      <c r="F174" s="7" t="s">
        <v>854</v>
      </c>
      <c r="G174" s="7" t="s">
        <v>1488</v>
      </c>
      <c r="H174" s="7" t="s">
        <v>149</v>
      </c>
      <c r="I174" s="10" t="n">
        <v>2500</v>
      </c>
      <c r="J174" s="7" t="s">
        <v>69</v>
      </c>
      <c r="K174" s="7" t="s">
        <v>1489</v>
      </c>
      <c r="L174" s="7" t="s">
        <v>1490</v>
      </c>
      <c r="M174" s="7" t="s">
        <v>1491</v>
      </c>
      <c r="N174" s="7" t="s">
        <v>1492</v>
      </c>
      <c r="O174" s="7" t="s">
        <v>1334</v>
      </c>
      <c r="P174" s="7" t="s">
        <v>1493</v>
      </c>
      <c r="Q174" s="7"/>
      <c r="R174" s="7"/>
      <c r="S174" s="7"/>
      <c r="T174" s="7"/>
      <c r="U174" s="7"/>
    </row>
    <row r="175" customFormat="false" ht="15" hidden="false" customHeight="false" outlineLevel="0" collapsed="false">
      <c r="A175" s="7" t="s">
        <v>6</v>
      </c>
      <c r="B175" s="7" t="s">
        <v>1494</v>
      </c>
      <c r="C175" s="7" t="s">
        <v>32</v>
      </c>
      <c r="D175" s="7" t="s">
        <v>1495</v>
      </c>
      <c r="E175" s="7" t="s">
        <v>970</v>
      </c>
      <c r="F175" s="7" t="s">
        <v>250</v>
      </c>
      <c r="G175" s="7" t="s">
        <v>1496</v>
      </c>
      <c r="H175" s="7" t="s">
        <v>149</v>
      </c>
      <c r="I175" s="10" t="n">
        <v>1800</v>
      </c>
      <c r="J175" s="7" t="s">
        <v>69</v>
      </c>
      <c r="K175" s="7" t="s">
        <v>1330</v>
      </c>
      <c r="L175" s="7" t="s">
        <v>1497</v>
      </c>
      <c r="M175" s="7" t="s">
        <v>1332</v>
      </c>
      <c r="N175" s="7" t="s">
        <v>1498</v>
      </c>
      <c r="O175" s="7" t="s">
        <v>1499</v>
      </c>
      <c r="P175" s="7" t="s">
        <v>1335</v>
      </c>
      <c r="Q175" s="7"/>
      <c r="R175" s="7"/>
      <c r="S175" s="7"/>
      <c r="T175" s="7"/>
      <c r="U175" s="7"/>
    </row>
    <row r="176" customFormat="false" ht="15" hidden="false" customHeight="false" outlineLevel="0" collapsed="false">
      <c r="A176" s="7" t="s">
        <v>6</v>
      </c>
      <c r="B176" s="7" t="s">
        <v>1500</v>
      </c>
      <c r="C176" s="7" t="s">
        <v>32</v>
      </c>
      <c r="D176" s="7" t="s">
        <v>1501</v>
      </c>
      <c r="E176" s="7" t="s">
        <v>1245</v>
      </c>
      <c r="F176" s="7" t="s">
        <v>78</v>
      </c>
      <c r="G176" s="7" t="s">
        <v>1502</v>
      </c>
      <c r="H176" s="7" t="s">
        <v>149</v>
      </c>
      <c r="I176" s="10" t="n">
        <v>1000</v>
      </c>
      <c r="J176" s="7" t="s">
        <v>69</v>
      </c>
      <c r="K176" s="7" t="s">
        <v>1361</v>
      </c>
      <c r="L176" s="7"/>
      <c r="M176" s="7" t="s">
        <v>1332</v>
      </c>
      <c r="N176" s="7" t="s">
        <v>1503</v>
      </c>
      <c r="O176" s="7" t="s">
        <v>1504</v>
      </c>
      <c r="P176" s="7" t="s">
        <v>1364</v>
      </c>
      <c r="Q176" s="7"/>
      <c r="R176" s="7"/>
      <c r="S176" s="7"/>
      <c r="T176" s="7"/>
      <c r="U176" s="7"/>
    </row>
    <row r="177" customFormat="false" ht="15" hidden="false" customHeight="false" outlineLevel="0" collapsed="false">
      <c r="A177" s="7" t="s">
        <v>6</v>
      </c>
      <c r="B177" s="7" t="s">
        <v>1505</v>
      </c>
      <c r="C177" s="7" t="s">
        <v>32</v>
      </c>
      <c r="D177" s="7" t="s">
        <v>1506</v>
      </c>
      <c r="E177" s="7" t="s">
        <v>1507</v>
      </c>
      <c r="F177" s="7" t="s">
        <v>105</v>
      </c>
      <c r="G177" s="7" t="s">
        <v>1508</v>
      </c>
      <c r="H177" s="7" t="s">
        <v>149</v>
      </c>
      <c r="I177" s="10" t="n">
        <v>3000</v>
      </c>
      <c r="J177" s="7" t="s">
        <v>69</v>
      </c>
      <c r="K177" s="7" t="s">
        <v>627</v>
      </c>
      <c r="L177" s="7" t="s">
        <v>1509</v>
      </c>
      <c r="M177" s="7" t="s">
        <v>1510</v>
      </c>
      <c r="N177" s="7" t="s">
        <v>1511</v>
      </c>
      <c r="O177" s="7" t="s">
        <v>1334</v>
      </c>
      <c r="P177" s="7" t="s">
        <v>1512</v>
      </c>
      <c r="Q177" s="7"/>
      <c r="R177" s="7"/>
      <c r="S177" s="7"/>
      <c r="T177" s="7"/>
      <c r="U177" s="7"/>
    </row>
    <row r="178" customFormat="false" ht="15" hidden="false" customHeight="false" outlineLevel="0" collapsed="false">
      <c r="A178" s="7" t="s">
        <v>6</v>
      </c>
      <c r="B178" s="7" t="s">
        <v>1513</v>
      </c>
      <c r="C178" s="7" t="s">
        <v>32</v>
      </c>
      <c r="D178" s="7" t="s">
        <v>1514</v>
      </c>
      <c r="E178" s="7" t="s">
        <v>327</v>
      </c>
      <c r="F178" s="7" t="s">
        <v>328</v>
      </c>
      <c r="G178" s="7" t="s">
        <v>1515</v>
      </c>
      <c r="H178" s="7" t="s">
        <v>174</v>
      </c>
      <c r="I178" s="10" t="n">
        <v>900</v>
      </c>
      <c r="J178" s="7" t="s">
        <v>69</v>
      </c>
      <c r="K178" s="7" t="s">
        <v>1351</v>
      </c>
      <c r="L178" s="7" t="s">
        <v>1516</v>
      </c>
      <c r="M178" s="7" t="s">
        <v>1332</v>
      </c>
      <c r="N178" s="7" t="s">
        <v>1517</v>
      </c>
      <c r="O178" s="7" t="s">
        <v>1518</v>
      </c>
      <c r="P178" s="7" t="s">
        <v>1356</v>
      </c>
      <c r="Q178" s="7"/>
      <c r="R178" s="7"/>
      <c r="S178" s="7"/>
      <c r="T178" s="7"/>
      <c r="U178" s="7"/>
    </row>
    <row r="179" customFormat="false" ht="15" hidden="false" customHeight="false" outlineLevel="0" collapsed="false">
      <c r="A179" s="7" t="s">
        <v>6</v>
      </c>
      <c r="B179" s="7" t="s">
        <v>1519</v>
      </c>
      <c r="C179" s="7" t="s">
        <v>32</v>
      </c>
      <c r="D179" s="7" t="s">
        <v>1520</v>
      </c>
      <c r="E179" s="7" t="s">
        <v>420</v>
      </c>
      <c r="F179" s="7" t="s">
        <v>78</v>
      </c>
      <c r="G179" s="7" t="s">
        <v>1521</v>
      </c>
      <c r="H179" s="7" t="s">
        <v>174</v>
      </c>
      <c r="I179" s="10" t="n">
        <v>600</v>
      </c>
      <c r="J179" s="7" t="s">
        <v>69</v>
      </c>
      <c r="K179" s="7" t="s">
        <v>1397</v>
      </c>
      <c r="L179" s="7" t="s">
        <v>1522</v>
      </c>
      <c r="M179" s="7" t="s">
        <v>1523</v>
      </c>
      <c r="N179" s="7" t="s">
        <v>1524</v>
      </c>
      <c r="O179" s="7" t="s">
        <v>1525</v>
      </c>
      <c r="P179" s="7" t="s">
        <v>1401</v>
      </c>
      <c r="Q179" s="7"/>
      <c r="R179" s="7"/>
      <c r="S179" s="7"/>
      <c r="T179" s="7"/>
      <c r="U179" s="7"/>
    </row>
    <row r="180" customFormat="false" ht="15" hidden="false" customHeight="false" outlineLevel="0" collapsed="false">
      <c r="A180" s="7" t="s">
        <v>6</v>
      </c>
      <c r="B180" s="7" t="s">
        <v>1526</v>
      </c>
      <c r="C180" s="7" t="s">
        <v>32</v>
      </c>
      <c r="D180" s="7" t="s">
        <v>1527</v>
      </c>
      <c r="E180" s="7" t="s">
        <v>1528</v>
      </c>
      <c r="F180" s="7" t="s">
        <v>854</v>
      </c>
      <c r="G180" s="7" t="s">
        <v>1529</v>
      </c>
      <c r="H180" s="7" t="s">
        <v>174</v>
      </c>
      <c r="I180" s="10" t="n">
        <v>600</v>
      </c>
      <c r="J180" s="7" t="s">
        <v>69</v>
      </c>
      <c r="K180" s="7" t="s">
        <v>1368</v>
      </c>
      <c r="L180" s="7"/>
      <c r="M180" s="7" t="s">
        <v>1491</v>
      </c>
      <c r="N180" s="7" t="s">
        <v>1530</v>
      </c>
      <c r="O180" s="7" t="s">
        <v>1531</v>
      </c>
      <c r="P180" s="7" t="s">
        <v>1532</v>
      </c>
      <c r="Q180" s="7"/>
      <c r="R180" s="7"/>
      <c r="S180" s="7"/>
      <c r="T180" s="7"/>
      <c r="U180" s="7"/>
    </row>
    <row r="181" customFormat="false" ht="15" hidden="false" customHeight="false" outlineLevel="0" collapsed="false">
      <c r="A181" s="7" t="s">
        <v>6</v>
      </c>
      <c r="B181" s="7" t="s">
        <v>1533</v>
      </c>
      <c r="C181" s="7" t="s">
        <v>32</v>
      </c>
      <c r="D181" s="7" t="s">
        <v>1534</v>
      </c>
      <c r="E181" s="7" t="s">
        <v>1535</v>
      </c>
      <c r="F181" s="7" t="s">
        <v>78</v>
      </c>
      <c r="G181" s="7" t="s">
        <v>1536</v>
      </c>
      <c r="H181" s="7" t="s">
        <v>174</v>
      </c>
      <c r="I181" s="10" t="n">
        <v>700</v>
      </c>
      <c r="J181" s="7" t="s">
        <v>69</v>
      </c>
      <c r="K181" s="7" t="s">
        <v>1351</v>
      </c>
      <c r="L181" s="7" t="s">
        <v>1537</v>
      </c>
      <c r="M181" s="7" t="s">
        <v>1332</v>
      </c>
      <c r="N181" s="7" t="s">
        <v>1538</v>
      </c>
      <c r="O181" s="7" t="s">
        <v>1539</v>
      </c>
      <c r="P181" s="7" t="s">
        <v>1356</v>
      </c>
      <c r="Q181" s="7"/>
      <c r="R181" s="7"/>
      <c r="S181" s="7"/>
      <c r="T181" s="7"/>
      <c r="U181" s="7"/>
    </row>
    <row r="182" customFormat="false" ht="15" hidden="false" customHeight="false" outlineLevel="0" collapsed="false">
      <c r="A182" s="7" t="s">
        <v>6</v>
      </c>
      <c r="B182" s="7" t="s">
        <v>1540</v>
      </c>
      <c r="C182" s="7" t="s">
        <v>32</v>
      </c>
      <c r="D182" s="7" t="s">
        <v>1541</v>
      </c>
      <c r="E182" s="7" t="s">
        <v>154</v>
      </c>
      <c r="F182" s="7" t="s">
        <v>155</v>
      </c>
      <c r="G182" s="7" t="s">
        <v>1542</v>
      </c>
      <c r="H182" s="7" t="s">
        <v>174</v>
      </c>
      <c r="I182" s="10" t="n">
        <v>1500</v>
      </c>
      <c r="J182" s="7" t="s">
        <v>69</v>
      </c>
      <c r="K182" s="7" t="s">
        <v>184</v>
      </c>
      <c r="L182" s="7"/>
      <c r="M182" s="7" t="s">
        <v>1491</v>
      </c>
      <c r="N182" s="7" t="s">
        <v>1543</v>
      </c>
      <c r="O182" s="7" t="s">
        <v>1544</v>
      </c>
      <c r="P182" s="7" t="s">
        <v>1545</v>
      </c>
      <c r="Q182" s="7"/>
      <c r="R182" s="7"/>
      <c r="S182" s="7"/>
      <c r="T182" s="7"/>
      <c r="U182" s="7"/>
    </row>
    <row r="183" customFormat="false" ht="15" hidden="false" customHeight="false" outlineLevel="0" collapsed="false">
      <c r="A183" s="7" t="s">
        <v>6</v>
      </c>
      <c r="B183" s="7" t="s">
        <v>1546</v>
      </c>
      <c r="C183" s="7" t="s">
        <v>32</v>
      </c>
      <c r="D183" s="7" t="s">
        <v>1547</v>
      </c>
      <c r="E183" s="7" t="s">
        <v>723</v>
      </c>
      <c r="F183" s="7" t="s">
        <v>105</v>
      </c>
      <c r="G183" s="7" t="s">
        <v>1548</v>
      </c>
      <c r="H183" s="7" t="s">
        <v>174</v>
      </c>
      <c r="I183" s="10" t="n">
        <v>2500</v>
      </c>
      <c r="J183" s="7" t="s">
        <v>69</v>
      </c>
      <c r="K183" s="7" t="s">
        <v>184</v>
      </c>
      <c r="L183" s="7"/>
      <c r="M183" s="7" t="s">
        <v>1491</v>
      </c>
      <c r="N183" s="7" t="s">
        <v>1549</v>
      </c>
      <c r="O183" s="7" t="s">
        <v>1550</v>
      </c>
      <c r="P183" s="7" t="s">
        <v>1545</v>
      </c>
      <c r="Q183" s="7"/>
      <c r="R183" s="7"/>
      <c r="S183" s="7"/>
      <c r="T183" s="7"/>
      <c r="U183" s="7"/>
    </row>
    <row r="184" customFormat="false" ht="15" hidden="false" customHeight="false" outlineLevel="0" collapsed="false">
      <c r="A184" s="7" t="s">
        <v>6</v>
      </c>
      <c r="B184" s="7" t="s">
        <v>1551</v>
      </c>
      <c r="C184" s="7" t="s">
        <v>32</v>
      </c>
      <c r="D184" s="7" t="s">
        <v>1552</v>
      </c>
      <c r="E184" s="7" t="s">
        <v>347</v>
      </c>
      <c r="F184" s="7" t="s">
        <v>348</v>
      </c>
      <c r="G184" s="7" t="s">
        <v>1553</v>
      </c>
      <c r="H184" s="7" t="s">
        <v>174</v>
      </c>
      <c r="I184" s="10" t="n">
        <v>700</v>
      </c>
      <c r="J184" s="7" t="s">
        <v>69</v>
      </c>
      <c r="K184" s="7" t="s">
        <v>1489</v>
      </c>
      <c r="L184" s="7"/>
      <c r="M184" s="7" t="s">
        <v>1370</v>
      </c>
      <c r="N184" s="7" t="s">
        <v>1554</v>
      </c>
      <c r="O184" s="7" t="s">
        <v>1334</v>
      </c>
      <c r="P184" s="7" t="s">
        <v>1493</v>
      </c>
      <c r="Q184" s="7"/>
      <c r="R184" s="7"/>
      <c r="S184" s="7"/>
      <c r="T184" s="7"/>
      <c r="U184" s="7"/>
    </row>
    <row r="185" customFormat="false" ht="15" hidden="false" customHeight="false" outlineLevel="0" collapsed="false">
      <c r="A185" s="7" t="s">
        <v>6</v>
      </c>
      <c r="B185" s="7" t="s">
        <v>1555</v>
      </c>
      <c r="C185" s="7" t="s">
        <v>32</v>
      </c>
      <c r="D185" s="7" t="s">
        <v>1556</v>
      </c>
      <c r="E185" s="7" t="s">
        <v>1557</v>
      </c>
      <c r="F185" s="7" t="s">
        <v>113</v>
      </c>
      <c r="G185" s="7" t="s">
        <v>1558</v>
      </c>
      <c r="H185" s="7" t="s">
        <v>174</v>
      </c>
      <c r="I185" s="10" t="n">
        <v>900</v>
      </c>
      <c r="J185" s="7" t="s">
        <v>69</v>
      </c>
      <c r="K185" s="7" t="s">
        <v>964</v>
      </c>
      <c r="L185" s="7" t="s">
        <v>1559</v>
      </c>
      <c r="M185" s="7" t="s">
        <v>1560</v>
      </c>
      <c r="N185" s="7" t="s">
        <v>1561</v>
      </c>
      <c r="O185" s="7" t="s">
        <v>1562</v>
      </c>
      <c r="P185" s="7" t="s">
        <v>1478</v>
      </c>
      <c r="Q185" s="7"/>
      <c r="R185" s="7"/>
      <c r="S185" s="7"/>
      <c r="T185" s="7"/>
      <c r="U185" s="7"/>
    </row>
    <row r="186" customFormat="false" ht="15" hidden="false" customHeight="false" outlineLevel="0" collapsed="false">
      <c r="A186" s="7" t="s">
        <v>6</v>
      </c>
      <c r="B186" s="7" t="s">
        <v>1563</v>
      </c>
      <c r="C186" s="7" t="s">
        <v>32</v>
      </c>
      <c r="D186" s="7" t="s">
        <v>1564</v>
      </c>
      <c r="E186" s="7" t="s">
        <v>1565</v>
      </c>
      <c r="F186" s="7" t="s">
        <v>455</v>
      </c>
      <c r="G186" s="7" t="s">
        <v>1566</v>
      </c>
      <c r="H186" s="7" t="s">
        <v>174</v>
      </c>
      <c r="I186" s="10" t="n">
        <v>600</v>
      </c>
      <c r="J186" s="7" t="s">
        <v>69</v>
      </c>
      <c r="K186" s="7" t="s">
        <v>1460</v>
      </c>
      <c r="L186" s="7" t="s">
        <v>1567</v>
      </c>
      <c r="M186" s="7" t="s">
        <v>1332</v>
      </c>
      <c r="N186" s="7" t="s">
        <v>1568</v>
      </c>
      <c r="O186" s="7" t="s">
        <v>1569</v>
      </c>
      <c r="P186" s="7" t="s">
        <v>1464</v>
      </c>
      <c r="Q186" s="7"/>
      <c r="R186" s="7"/>
      <c r="S186" s="7"/>
      <c r="T186" s="7"/>
      <c r="U186" s="7"/>
    </row>
    <row r="187" customFormat="false" ht="15" hidden="false" customHeight="false" outlineLevel="0" collapsed="false">
      <c r="A187" s="7" t="s">
        <v>6</v>
      </c>
      <c r="B187" s="7" t="s">
        <v>1570</v>
      </c>
      <c r="C187" s="7" t="s">
        <v>32</v>
      </c>
      <c r="D187" s="7" t="s">
        <v>1571</v>
      </c>
      <c r="E187" s="7" t="s">
        <v>1202</v>
      </c>
      <c r="F187" s="7" t="s">
        <v>296</v>
      </c>
      <c r="G187" s="7" t="s">
        <v>1572</v>
      </c>
      <c r="H187" s="7" t="s">
        <v>174</v>
      </c>
      <c r="I187" s="10" t="n">
        <v>700</v>
      </c>
      <c r="J187" s="7" t="s">
        <v>69</v>
      </c>
      <c r="K187" s="7" t="s">
        <v>457</v>
      </c>
      <c r="L187" s="7" t="s">
        <v>1573</v>
      </c>
      <c r="M187" s="7" t="s">
        <v>1353</v>
      </c>
      <c r="N187" s="7" t="s">
        <v>1574</v>
      </c>
      <c r="O187" s="7" t="s">
        <v>1575</v>
      </c>
      <c r="P187" s="7" t="s">
        <v>1576</v>
      </c>
      <c r="Q187" s="7"/>
      <c r="R187" s="7"/>
      <c r="S187" s="7"/>
      <c r="T187" s="7"/>
      <c r="U187" s="7"/>
    </row>
    <row r="188" customFormat="false" ht="15" hidden="false" customHeight="false" outlineLevel="0" collapsed="false">
      <c r="A188" s="7" t="s">
        <v>6</v>
      </c>
      <c r="B188" s="7" t="s">
        <v>1577</v>
      </c>
      <c r="C188" s="7" t="s">
        <v>32</v>
      </c>
      <c r="D188" s="7" t="s">
        <v>1578</v>
      </c>
      <c r="E188" s="7" t="s">
        <v>1579</v>
      </c>
      <c r="F188" s="7" t="s">
        <v>854</v>
      </c>
      <c r="G188" s="7" t="s">
        <v>1580</v>
      </c>
      <c r="H188" s="7" t="s">
        <v>174</v>
      </c>
      <c r="I188" s="10" t="n">
        <v>700</v>
      </c>
      <c r="J188" s="7" t="s">
        <v>69</v>
      </c>
      <c r="K188" s="7" t="s">
        <v>1397</v>
      </c>
      <c r="L188" s="7" t="s">
        <v>1581</v>
      </c>
      <c r="M188" s="7" t="s">
        <v>1523</v>
      </c>
      <c r="N188" s="7" t="s">
        <v>1582</v>
      </c>
      <c r="O188" s="7" t="s">
        <v>1583</v>
      </c>
      <c r="P188" s="7" t="s">
        <v>1401</v>
      </c>
      <c r="Q188" s="7"/>
      <c r="R188" s="7"/>
      <c r="S188" s="7"/>
      <c r="T188" s="7"/>
      <c r="U188" s="7"/>
    </row>
    <row r="189" customFormat="false" ht="15" hidden="false" customHeight="false" outlineLevel="0" collapsed="false">
      <c r="A189" s="7" t="s">
        <v>6</v>
      </c>
      <c r="B189" s="7" t="s">
        <v>1584</v>
      </c>
      <c r="C189" s="7" t="s">
        <v>32</v>
      </c>
      <c r="D189" s="7" t="s">
        <v>1585</v>
      </c>
      <c r="E189" s="7" t="s">
        <v>1586</v>
      </c>
      <c r="F189" s="7" t="s">
        <v>88</v>
      </c>
      <c r="G189" s="7" t="s">
        <v>1587</v>
      </c>
      <c r="H189" s="7" t="s">
        <v>258</v>
      </c>
      <c r="I189" s="10" t="n">
        <v>400</v>
      </c>
      <c r="J189" s="7" t="s">
        <v>69</v>
      </c>
      <c r="K189" s="7" t="s">
        <v>1361</v>
      </c>
      <c r="L189" s="7" t="s">
        <v>1588</v>
      </c>
      <c r="M189" s="7" t="s">
        <v>1332</v>
      </c>
      <c r="N189" s="7" t="s">
        <v>1589</v>
      </c>
      <c r="O189" s="7" t="s">
        <v>1590</v>
      </c>
      <c r="P189" s="7" t="s">
        <v>1364</v>
      </c>
      <c r="Q189" s="7"/>
      <c r="R189" s="7"/>
      <c r="S189" s="7"/>
      <c r="T189" s="7"/>
      <c r="U189" s="7"/>
    </row>
    <row r="190" customFormat="false" ht="15" hidden="false" customHeight="false" outlineLevel="0" collapsed="false">
      <c r="A190" s="7" t="s">
        <v>6</v>
      </c>
      <c r="B190" s="7" t="s">
        <v>1591</v>
      </c>
      <c r="C190" s="7" t="s">
        <v>32</v>
      </c>
      <c r="D190" s="7" t="s">
        <v>1592</v>
      </c>
      <c r="E190" s="7" t="s">
        <v>154</v>
      </c>
      <c r="F190" s="7" t="s">
        <v>155</v>
      </c>
      <c r="G190" s="7" t="s">
        <v>1593</v>
      </c>
      <c r="H190" s="7" t="s">
        <v>258</v>
      </c>
      <c r="I190" s="10" t="n">
        <v>150</v>
      </c>
      <c r="J190" s="7" t="s">
        <v>69</v>
      </c>
      <c r="K190" s="7" t="s">
        <v>627</v>
      </c>
      <c r="L190" s="7"/>
      <c r="M190" s="7" t="s">
        <v>1594</v>
      </c>
      <c r="N190" s="7" t="s">
        <v>1595</v>
      </c>
      <c r="O190" s="7" t="s">
        <v>1596</v>
      </c>
      <c r="P190" s="7" t="s">
        <v>1512</v>
      </c>
      <c r="Q190" s="7"/>
      <c r="R190" s="7"/>
      <c r="S190" s="7"/>
      <c r="T190" s="7"/>
      <c r="U190" s="7"/>
    </row>
    <row r="191" customFormat="false" ht="15" hidden="false" customHeight="false" outlineLevel="0" collapsed="false">
      <c r="A191" s="7" t="s">
        <v>6</v>
      </c>
      <c r="B191" s="7" t="s">
        <v>1597</v>
      </c>
      <c r="C191" s="7" t="s">
        <v>32</v>
      </c>
      <c r="D191" s="7" t="s">
        <v>1598</v>
      </c>
      <c r="E191" s="7" t="s">
        <v>1599</v>
      </c>
      <c r="F191" s="7" t="s">
        <v>78</v>
      </c>
      <c r="G191" s="7" t="s">
        <v>1600</v>
      </c>
      <c r="H191" s="7" t="s">
        <v>258</v>
      </c>
      <c r="I191" s="10" t="n">
        <v>300</v>
      </c>
      <c r="J191" s="7" t="s">
        <v>69</v>
      </c>
      <c r="K191" s="7" t="s">
        <v>1427</v>
      </c>
      <c r="L191" s="7"/>
      <c r="M191" s="7" t="s">
        <v>1332</v>
      </c>
      <c r="N191" s="7" t="s">
        <v>1601</v>
      </c>
      <c r="O191" s="7" t="s">
        <v>1602</v>
      </c>
      <c r="P191" s="7" t="s">
        <v>1603</v>
      </c>
      <c r="Q191" s="7"/>
      <c r="R191" s="7"/>
      <c r="S191" s="7"/>
      <c r="T191" s="7"/>
      <c r="U191" s="7"/>
    </row>
    <row r="192" customFormat="false" ht="15" hidden="false" customHeight="false" outlineLevel="0" collapsed="false">
      <c r="A192" s="7" t="s">
        <v>6</v>
      </c>
      <c r="B192" s="7" t="s">
        <v>1604</v>
      </c>
      <c r="C192" s="7" t="s">
        <v>32</v>
      </c>
      <c r="D192" s="7" t="s">
        <v>1605</v>
      </c>
      <c r="E192" s="7" t="s">
        <v>154</v>
      </c>
      <c r="F192" s="7" t="s">
        <v>155</v>
      </c>
      <c r="G192" s="7" t="s">
        <v>1606</v>
      </c>
      <c r="H192" s="7" t="s">
        <v>258</v>
      </c>
      <c r="I192" s="10" t="n">
        <v>400</v>
      </c>
      <c r="J192" s="7" t="s">
        <v>69</v>
      </c>
      <c r="K192" s="7" t="s">
        <v>1460</v>
      </c>
      <c r="L192" s="7" t="s">
        <v>1607</v>
      </c>
      <c r="M192" s="7" t="s">
        <v>1332</v>
      </c>
      <c r="N192" s="7" t="s">
        <v>1608</v>
      </c>
      <c r="O192" s="7" t="s">
        <v>1609</v>
      </c>
      <c r="P192" s="7" t="s">
        <v>1464</v>
      </c>
      <c r="Q192" s="7"/>
      <c r="R192" s="7"/>
      <c r="S192" s="7"/>
      <c r="T192" s="7"/>
      <c r="U192" s="7"/>
    </row>
    <row r="193" customFormat="false" ht="15" hidden="false" customHeight="false" outlineLevel="0" collapsed="false">
      <c r="A193" s="7" t="s">
        <v>6</v>
      </c>
      <c r="B193" s="7" t="s">
        <v>1610</v>
      </c>
      <c r="C193" s="7" t="s">
        <v>32</v>
      </c>
      <c r="D193" s="7" t="s">
        <v>1611</v>
      </c>
      <c r="E193" s="7" t="s">
        <v>1612</v>
      </c>
      <c r="F193" s="7" t="s">
        <v>147</v>
      </c>
      <c r="G193" s="7" t="s">
        <v>1613</v>
      </c>
      <c r="H193" s="7" t="s">
        <v>258</v>
      </c>
      <c r="I193" s="10" t="n">
        <v>400</v>
      </c>
      <c r="J193" s="7" t="s">
        <v>69</v>
      </c>
      <c r="K193" s="7" t="s">
        <v>1614</v>
      </c>
      <c r="L193" s="7" t="s">
        <v>1615</v>
      </c>
      <c r="M193" s="7" t="s">
        <v>1491</v>
      </c>
      <c r="N193" s="7" t="s">
        <v>1616</v>
      </c>
      <c r="O193" s="7" t="s">
        <v>1617</v>
      </c>
      <c r="P193" s="7" t="s">
        <v>1618</v>
      </c>
      <c r="Q193" s="7"/>
      <c r="R193" s="7"/>
      <c r="S193" s="7"/>
      <c r="T193" s="7"/>
      <c r="U193" s="7"/>
    </row>
    <row r="194" customFormat="false" ht="15" hidden="false" customHeight="false" outlineLevel="0" collapsed="false">
      <c r="A194" s="7" t="s">
        <v>6</v>
      </c>
      <c r="B194" s="7" t="s">
        <v>1619</v>
      </c>
      <c r="C194" s="7" t="s">
        <v>32</v>
      </c>
      <c r="D194" s="7" t="s">
        <v>1620</v>
      </c>
      <c r="E194" s="7" t="s">
        <v>1621</v>
      </c>
      <c r="F194" s="7" t="s">
        <v>779</v>
      </c>
      <c r="G194" s="7" t="s">
        <v>1622</v>
      </c>
      <c r="H194" s="7" t="s">
        <v>258</v>
      </c>
      <c r="I194" s="10" t="n">
        <v>400</v>
      </c>
      <c r="J194" s="7" t="s">
        <v>69</v>
      </c>
      <c r="K194" s="7" t="s">
        <v>1397</v>
      </c>
      <c r="L194" s="7" t="s">
        <v>1623</v>
      </c>
      <c r="M194" s="7" t="s">
        <v>1332</v>
      </c>
      <c r="N194" s="7" t="s">
        <v>1624</v>
      </c>
      <c r="O194" s="7" t="s">
        <v>1625</v>
      </c>
      <c r="P194" s="7" t="s">
        <v>1401</v>
      </c>
      <c r="Q194" s="7"/>
      <c r="R194" s="7"/>
      <c r="S194" s="7"/>
      <c r="T194" s="7"/>
      <c r="U194" s="7"/>
    </row>
    <row r="195" customFormat="false" ht="15" hidden="false" customHeight="false" outlineLevel="0" collapsed="false">
      <c r="A195" s="7" t="s">
        <v>6</v>
      </c>
      <c r="B195" s="7" t="s">
        <v>1626</v>
      </c>
      <c r="C195" s="7" t="s">
        <v>32</v>
      </c>
      <c r="D195" s="7" t="s">
        <v>1627</v>
      </c>
      <c r="E195" s="7" t="s">
        <v>1628</v>
      </c>
      <c r="F195" s="7" t="s">
        <v>78</v>
      </c>
      <c r="G195" s="7" t="s">
        <v>1629</v>
      </c>
      <c r="H195" s="7" t="s">
        <v>258</v>
      </c>
      <c r="I195" s="10" t="n">
        <v>600</v>
      </c>
      <c r="J195" s="7" t="s">
        <v>69</v>
      </c>
      <c r="K195" s="7" t="s">
        <v>964</v>
      </c>
      <c r="L195" s="7"/>
      <c r="M195" s="7" t="s">
        <v>1630</v>
      </c>
      <c r="N195" s="7" t="s">
        <v>1631</v>
      </c>
      <c r="O195" s="7" t="s">
        <v>1632</v>
      </c>
      <c r="P195" s="7" t="s">
        <v>1478</v>
      </c>
      <c r="Q195" s="7"/>
      <c r="R195" s="7"/>
      <c r="S195" s="7"/>
      <c r="T195" s="7"/>
      <c r="U195" s="7"/>
    </row>
    <row r="196" customFormat="false" ht="15" hidden="false" customHeight="false" outlineLevel="0" collapsed="false">
      <c r="A196" s="7" t="s">
        <v>6</v>
      </c>
      <c r="B196" s="7" t="s">
        <v>1633</v>
      </c>
      <c r="C196" s="7" t="s">
        <v>33</v>
      </c>
      <c r="D196" s="7" t="s">
        <v>1634</v>
      </c>
      <c r="E196" s="7" t="s">
        <v>337</v>
      </c>
      <c r="F196" s="7" t="s">
        <v>338</v>
      </c>
      <c r="G196" s="7" t="s">
        <v>1635</v>
      </c>
      <c r="H196" s="7" t="s">
        <v>68</v>
      </c>
      <c r="I196" s="10" t="n">
        <v>4000</v>
      </c>
      <c r="J196" s="7" t="s">
        <v>69</v>
      </c>
      <c r="K196" s="7" t="s">
        <v>1636</v>
      </c>
      <c r="L196" s="7" t="s">
        <v>1637</v>
      </c>
      <c r="M196" s="7" t="s">
        <v>1638</v>
      </c>
      <c r="N196" s="7" t="s">
        <v>1639</v>
      </c>
      <c r="O196" s="7" t="s">
        <v>1640</v>
      </c>
      <c r="P196" s="7" t="s">
        <v>1641</v>
      </c>
      <c r="Q196" s="7"/>
      <c r="R196" s="7"/>
      <c r="S196" s="7"/>
      <c r="T196" s="7"/>
      <c r="U196" s="7"/>
    </row>
    <row r="197" customFormat="false" ht="15" hidden="false" customHeight="false" outlineLevel="0" collapsed="false">
      <c r="A197" s="7" t="s">
        <v>6</v>
      </c>
      <c r="B197" s="7" t="s">
        <v>1642</v>
      </c>
      <c r="C197" s="7" t="s">
        <v>33</v>
      </c>
      <c r="D197" s="7" t="s">
        <v>1643</v>
      </c>
      <c r="E197" s="7" t="s">
        <v>1579</v>
      </c>
      <c r="F197" s="7" t="s">
        <v>854</v>
      </c>
      <c r="G197" s="7" t="s">
        <v>1644</v>
      </c>
      <c r="H197" s="7" t="s">
        <v>68</v>
      </c>
      <c r="I197" s="10" t="n">
        <v>3500</v>
      </c>
      <c r="J197" s="7" t="s">
        <v>69</v>
      </c>
      <c r="K197" s="7" t="s">
        <v>1160</v>
      </c>
      <c r="L197" s="7" t="s">
        <v>1645</v>
      </c>
      <c r="M197" s="7" t="s">
        <v>1646</v>
      </c>
      <c r="N197" s="7" t="s">
        <v>1647</v>
      </c>
      <c r="O197" s="7" t="s">
        <v>1648</v>
      </c>
      <c r="P197" s="7" t="s">
        <v>1649</v>
      </c>
      <c r="Q197" s="7"/>
      <c r="R197" s="7"/>
      <c r="S197" s="7"/>
      <c r="T197" s="7"/>
      <c r="U197" s="7"/>
    </row>
    <row r="198" customFormat="false" ht="15" hidden="false" customHeight="false" outlineLevel="0" collapsed="false">
      <c r="A198" s="7" t="s">
        <v>6</v>
      </c>
      <c r="B198" s="7" t="s">
        <v>1650</v>
      </c>
      <c r="C198" s="7" t="s">
        <v>33</v>
      </c>
      <c r="D198" s="7" t="s">
        <v>1651</v>
      </c>
      <c r="E198" s="7" t="s">
        <v>1652</v>
      </c>
      <c r="F198" s="7" t="s">
        <v>250</v>
      </c>
      <c r="G198" s="7" t="s">
        <v>1653</v>
      </c>
      <c r="H198" s="7" t="s">
        <v>68</v>
      </c>
      <c r="I198" s="10" t="n">
        <v>55000</v>
      </c>
      <c r="J198" s="7" t="s">
        <v>69</v>
      </c>
      <c r="K198" s="7" t="s">
        <v>115</v>
      </c>
      <c r="L198" s="7" t="s">
        <v>1654</v>
      </c>
      <c r="M198" s="7" t="s">
        <v>1655</v>
      </c>
      <c r="N198" s="7" t="s">
        <v>1656</v>
      </c>
      <c r="O198" s="7" t="s">
        <v>1657</v>
      </c>
      <c r="P198" s="7" t="s">
        <v>1658</v>
      </c>
      <c r="Q198" s="7"/>
      <c r="R198" s="7"/>
      <c r="S198" s="7"/>
      <c r="T198" s="7"/>
      <c r="U198" s="7"/>
    </row>
    <row r="199" customFormat="false" ht="15" hidden="false" customHeight="false" outlineLevel="0" collapsed="false">
      <c r="A199" s="7" t="s">
        <v>6</v>
      </c>
      <c r="B199" s="7" t="s">
        <v>1659</v>
      </c>
      <c r="C199" s="7" t="s">
        <v>33</v>
      </c>
      <c r="D199" s="7" t="s">
        <v>1634</v>
      </c>
      <c r="E199" s="7" t="s">
        <v>1660</v>
      </c>
      <c r="F199" s="7" t="s">
        <v>147</v>
      </c>
      <c r="G199" s="7" t="s">
        <v>1661</v>
      </c>
      <c r="H199" s="7" t="s">
        <v>68</v>
      </c>
      <c r="I199" s="10" t="n">
        <v>4000</v>
      </c>
      <c r="J199" s="7" t="s">
        <v>69</v>
      </c>
      <c r="K199" s="7" t="s">
        <v>1662</v>
      </c>
      <c r="L199" s="7" t="s">
        <v>1663</v>
      </c>
      <c r="M199" s="7" t="s">
        <v>1491</v>
      </c>
      <c r="N199" s="7" t="s">
        <v>1664</v>
      </c>
      <c r="O199" s="7" t="s">
        <v>1665</v>
      </c>
      <c r="P199" s="7" t="s">
        <v>1641</v>
      </c>
      <c r="Q199" s="7"/>
      <c r="R199" s="7"/>
      <c r="S199" s="7"/>
      <c r="T199" s="7"/>
      <c r="U199" s="7"/>
    </row>
    <row r="200" customFormat="false" ht="15" hidden="false" customHeight="false" outlineLevel="0" collapsed="false">
      <c r="A200" s="7" t="s">
        <v>6</v>
      </c>
      <c r="B200" s="7" t="s">
        <v>1666</v>
      </c>
      <c r="C200" s="7" t="s">
        <v>33</v>
      </c>
      <c r="D200" s="7" t="s">
        <v>1634</v>
      </c>
      <c r="E200" s="7" t="s">
        <v>1667</v>
      </c>
      <c r="F200" s="7" t="s">
        <v>172</v>
      </c>
      <c r="G200" s="7" t="s">
        <v>1668</v>
      </c>
      <c r="H200" s="7" t="s">
        <v>68</v>
      </c>
      <c r="I200" s="10" t="n">
        <v>2500</v>
      </c>
      <c r="J200" s="7" t="s">
        <v>69</v>
      </c>
      <c r="K200" s="7" t="s">
        <v>1669</v>
      </c>
      <c r="L200" s="7" t="s">
        <v>1670</v>
      </c>
      <c r="M200" s="7" t="s">
        <v>1120</v>
      </c>
      <c r="N200" s="7" t="s">
        <v>1671</v>
      </c>
      <c r="O200" s="7" t="s">
        <v>1672</v>
      </c>
      <c r="P200" s="7" t="s">
        <v>1641</v>
      </c>
      <c r="Q200" s="7"/>
      <c r="R200" s="7"/>
      <c r="S200" s="7"/>
      <c r="T200" s="7"/>
      <c r="U200" s="7"/>
    </row>
    <row r="201" customFormat="false" ht="15" hidden="false" customHeight="false" outlineLevel="0" collapsed="false">
      <c r="A201" s="7" t="s">
        <v>6</v>
      </c>
      <c r="B201" s="7" t="s">
        <v>1673</v>
      </c>
      <c r="C201" s="7" t="s">
        <v>33</v>
      </c>
      <c r="D201" s="7" t="s">
        <v>1634</v>
      </c>
      <c r="E201" s="7" t="s">
        <v>549</v>
      </c>
      <c r="F201" s="7" t="s">
        <v>147</v>
      </c>
      <c r="G201" s="7" t="s">
        <v>1674</v>
      </c>
      <c r="H201" s="7" t="s">
        <v>149</v>
      </c>
      <c r="I201" s="10" t="n">
        <v>2000</v>
      </c>
      <c r="J201" s="7" t="s">
        <v>69</v>
      </c>
      <c r="K201" s="7" t="s">
        <v>1675</v>
      </c>
      <c r="L201" s="7" t="s">
        <v>1676</v>
      </c>
      <c r="M201" s="7" t="s">
        <v>1491</v>
      </c>
      <c r="N201" s="7" t="s">
        <v>1677</v>
      </c>
      <c r="O201" s="7" t="s">
        <v>1678</v>
      </c>
      <c r="P201" s="7" t="s">
        <v>1641</v>
      </c>
      <c r="Q201" s="7"/>
      <c r="R201" s="7"/>
      <c r="S201" s="7"/>
      <c r="T201" s="7"/>
      <c r="U201" s="7"/>
    </row>
    <row r="202" customFormat="false" ht="15" hidden="false" customHeight="false" outlineLevel="0" collapsed="false">
      <c r="A202" s="7" t="s">
        <v>6</v>
      </c>
      <c r="B202" s="7" t="s">
        <v>1679</v>
      </c>
      <c r="C202" s="7" t="s">
        <v>33</v>
      </c>
      <c r="D202" s="7" t="s">
        <v>1680</v>
      </c>
      <c r="E202" s="7" t="s">
        <v>1681</v>
      </c>
      <c r="F202" s="7" t="s">
        <v>1081</v>
      </c>
      <c r="G202" s="7" t="s">
        <v>1682</v>
      </c>
      <c r="H202" s="7" t="s">
        <v>149</v>
      </c>
      <c r="I202" s="10" t="n">
        <v>1800</v>
      </c>
      <c r="J202" s="7" t="s">
        <v>69</v>
      </c>
      <c r="K202" s="7" t="s">
        <v>1683</v>
      </c>
      <c r="L202" s="7" t="s">
        <v>1684</v>
      </c>
      <c r="M202" s="7" t="s">
        <v>1129</v>
      </c>
      <c r="N202" s="7" t="s">
        <v>1685</v>
      </c>
      <c r="O202" s="7" t="s">
        <v>1686</v>
      </c>
      <c r="P202" s="7" t="s">
        <v>1687</v>
      </c>
      <c r="Q202" s="7"/>
      <c r="R202" s="7"/>
      <c r="S202" s="7"/>
      <c r="T202" s="7"/>
      <c r="U202" s="7"/>
    </row>
    <row r="203" customFormat="false" ht="15" hidden="false" customHeight="false" outlineLevel="0" collapsed="false">
      <c r="A203" s="7" t="s">
        <v>6</v>
      </c>
      <c r="B203" s="7" t="s">
        <v>1688</v>
      </c>
      <c r="C203" s="7" t="s">
        <v>33</v>
      </c>
      <c r="D203" s="7" t="s">
        <v>1689</v>
      </c>
      <c r="E203" s="7" t="s">
        <v>1690</v>
      </c>
      <c r="F203" s="7" t="s">
        <v>137</v>
      </c>
      <c r="G203" s="7" t="s">
        <v>1691</v>
      </c>
      <c r="H203" s="7" t="s">
        <v>149</v>
      </c>
      <c r="I203" s="10" t="n">
        <v>2500</v>
      </c>
      <c r="J203" s="7" t="s">
        <v>69</v>
      </c>
      <c r="K203" s="7" t="s">
        <v>1127</v>
      </c>
      <c r="L203" s="7" t="s">
        <v>1692</v>
      </c>
      <c r="M203" s="7" t="s">
        <v>1693</v>
      </c>
      <c r="N203" s="7" t="s">
        <v>1694</v>
      </c>
      <c r="O203" s="7" t="s">
        <v>1695</v>
      </c>
      <c r="P203" s="7" t="s">
        <v>1696</v>
      </c>
      <c r="Q203" s="7"/>
      <c r="R203" s="7"/>
      <c r="S203" s="7"/>
      <c r="T203" s="7"/>
      <c r="U203" s="7"/>
    </row>
    <row r="204" customFormat="false" ht="15" hidden="false" customHeight="false" outlineLevel="0" collapsed="false">
      <c r="A204" s="7" t="s">
        <v>6</v>
      </c>
      <c r="B204" s="7" t="s">
        <v>1697</v>
      </c>
      <c r="C204" s="7" t="s">
        <v>33</v>
      </c>
      <c r="D204" s="7" t="s">
        <v>1634</v>
      </c>
      <c r="E204" s="7" t="s">
        <v>1698</v>
      </c>
      <c r="F204" s="7" t="s">
        <v>155</v>
      </c>
      <c r="G204" s="7" t="s">
        <v>1699</v>
      </c>
      <c r="H204" s="7" t="s">
        <v>149</v>
      </c>
      <c r="I204" s="10" t="n">
        <v>2000</v>
      </c>
      <c r="J204" s="7" t="s">
        <v>69</v>
      </c>
      <c r="K204" s="7" t="s">
        <v>1700</v>
      </c>
      <c r="L204" s="7" t="s">
        <v>1701</v>
      </c>
      <c r="M204" s="7" t="s">
        <v>1491</v>
      </c>
      <c r="N204" s="7" t="s">
        <v>1702</v>
      </c>
      <c r="O204" s="7" t="s">
        <v>1703</v>
      </c>
      <c r="P204" s="7" t="s">
        <v>1641</v>
      </c>
      <c r="Q204" s="7"/>
      <c r="R204" s="7"/>
      <c r="S204" s="7"/>
      <c r="T204" s="7"/>
      <c r="U204" s="7"/>
    </row>
    <row r="205" customFormat="false" ht="15" hidden="false" customHeight="false" outlineLevel="0" collapsed="false">
      <c r="A205" s="7" t="s">
        <v>6</v>
      </c>
      <c r="B205" s="7" t="s">
        <v>1704</v>
      </c>
      <c r="C205" s="7" t="s">
        <v>33</v>
      </c>
      <c r="D205" s="7" t="s">
        <v>1651</v>
      </c>
      <c r="E205" s="7" t="s">
        <v>986</v>
      </c>
      <c r="F205" s="7" t="s">
        <v>215</v>
      </c>
      <c r="G205" s="7" t="s">
        <v>1705</v>
      </c>
      <c r="H205" s="7" t="s">
        <v>149</v>
      </c>
      <c r="I205" s="10" t="n">
        <v>38000</v>
      </c>
      <c r="J205" s="7" t="s">
        <v>69</v>
      </c>
      <c r="K205" s="7" t="s">
        <v>1706</v>
      </c>
      <c r="L205" s="7" t="s">
        <v>1707</v>
      </c>
      <c r="M205" s="7" t="s">
        <v>1109</v>
      </c>
      <c r="N205" s="7" t="s">
        <v>1708</v>
      </c>
      <c r="O205" s="7" t="s">
        <v>1709</v>
      </c>
      <c r="P205" s="7" t="s">
        <v>1710</v>
      </c>
      <c r="Q205" s="7"/>
      <c r="R205" s="7"/>
      <c r="S205" s="7"/>
      <c r="T205" s="7"/>
      <c r="U205" s="7"/>
    </row>
    <row r="206" customFormat="false" ht="15" hidden="false" customHeight="false" outlineLevel="0" collapsed="false">
      <c r="A206" s="7" t="s">
        <v>6</v>
      </c>
      <c r="B206" s="7" t="s">
        <v>1711</v>
      </c>
      <c r="C206" s="7" t="s">
        <v>33</v>
      </c>
      <c r="D206" s="7" t="s">
        <v>1643</v>
      </c>
      <c r="E206" s="7" t="s">
        <v>249</v>
      </c>
      <c r="F206" s="7" t="s">
        <v>250</v>
      </c>
      <c r="G206" s="7" t="s">
        <v>1712</v>
      </c>
      <c r="H206" s="7" t="s">
        <v>149</v>
      </c>
      <c r="I206" s="10" t="n">
        <v>1500</v>
      </c>
      <c r="J206" s="7" t="s">
        <v>69</v>
      </c>
      <c r="K206" s="7" t="s">
        <v>1713</v>
      </c>
      <c r="L206" s="7" t="s">
        <v>1714</v>
      </c>
      <c r="M206" s="7" t="s">
        <v>1491</v>
      </c>
      <c r="N206" s="7" t="s">
        <v>1715</v>
      </c>
      <c r="O206" s="7" t="s">
        <v>1716</v>
      </c>
      <c r="P206" s="7" t="s">
        <v>1717</v>
      </c>
      <c r="Q206" s="7"/>
      <c r="R206" s="7"/>
      <c r="S206" s="7"/>
      <c r="T206" s="7"/>
      <c r="U206" s="7"/>
    </row>
    <row r="207" customFormat="false" ht="15" hidden="false" customHeight="false" outlineLevel="0" collapsed="false">
      <c r="A207" s="7" t="s">
        <v>6</v>
      </c>
      <c r="B207" s="7" t="s">
        <v>1718</v>
      </c>
      <c r="C207" s="7" t="s">
        <v>33</v>
      </c>
      <c r="D207" s="7" t="s">
        <v>1719</v>
      </c>
      <c r="E207" s="7" t="s">
        <v>1720</v>
      </c>
      <c r="F207" s="7" t="s">
        <v>172</v>
      </c>
      <c r="G207" s="7" t="s">
        <v>1721</v>
      </c>
      <c r="H207" s="7" t="s">
        <v>174</v>
      </c>
      <c r="I207" s="10" t="n">
        <v>700</v>
      </c>
      <c r="J207" s="7" t="s">
        <v>69</v>
      </c>
      <c r="K207" s="7" t="s">
        <v>1722</v>
      </c>
      <c r="L207" s="7" t="s">
        <v>1723</v>
      </c>
      <c r="M207" s="7" t="s">
        <v>1693</v>
      </c>
      <c r="N207" s="7" t="s">
        <v>1724</v>
      </c>
      <c r="O207" s="7" t="s">
        <v>1725</v>
      </c>
      <c r="P207" s="7" t="s">
        <v>1726</v>
      </c>
      <c r="Q207" s="7"/>
      <c r="R207" s="7"/>
      <c r="S207" s="7"/>
      <c r="T207" s="7"/>
      <c r="U207" s="7"/>
    </row>
    <row r="208" customFormat="false" ht="15" hidden="false" customHeight="false" outlineLevel="0" collapsed="false">
      <c r="A208" s="7" t="s">
        <v>6</v>
      </c>
      <c r="B208" s="7" t="s">
        <v>1727</v>
      </c>
      <c r="C208" s="7" t="s">
        <v>33</v>
      </c>
      <c r="D208" s="7" t="s">
        <v>1719</v>
      </c>
      <c r="E208" s="7" t="s">
        <v>182</v>
      </c>
      <c r="F208" s="7" t="s">
        <v>163</v>
      </c>
      <c r="G208" s="7" t="s">
        <v>1728</v>
      </c>
      <c r="H208" s="7" t="s">
        <v>174</v>
      </c>
      <c r="I208" s="10" t="n">
        <v>600</v>
      </c>
      <c r="J208" s="7" t="s">
        <v>69</v>
      </c>
      <c r="K208" s="7" t="s">
        <v>1436</v>
      </c>
      <c r="L208" s="7" t="s">
        <v>1729</v>
      </c>
      <c r="M208" s="7" t="s">
        <v>1693</v>
      </c>
      <c r="N208" s="7" t="s">
        <v>1730</v>
      </c>
      <c r="O208" s="7" t="s">
        <v>1731</v>
      </c>
      <c r="P208" s="7" t="s">
        <v>1732</v>
      </c>
      <c r="Q208" s="7"/>
      <c r="R208" s="7"/>
      <c r="S208" s="7"/>
      <c r="T208" s="7"/>
      <c r="U208" s="7"/>
    </row>
    <row r="209" customFormat="false" ht="15" hidden="false" customHeight="false" outlineLevel="0" collapsed="false">
      <c r="A209" s="7" t="s">
        <v>6</v>
      </c>
      <c r="B209" s="7" t="s">
        <v>1733</v>
      </c>
      <c r="C209" s="7" t="s">
        <v>34</v>
      </c>
      <c r="D209" s="7" t="s">
        <v>1734</v>
      </c>
      <c r="E209" s="7" t="s">
        <v>1735</v>
      </c>
      <c r="F209" s="7" t="s">
        <v>206</v>
      </c>
      <c r="G209" s="7" t="s">
        <v>1736</v>
      </c>
      <c r="H209" s="7" t="s">
        <v>68</v>
      </c>
      <c r="I209" s="10" t="n">
        <v>1200</v>
      </c>
      <c r="J209" s="7" t="s">
        <v>69</v>
      </c>
      <c r="K209" s="7" t="s">
        <v>1737</v>
      </c>
      <c r="L209" s="7" t="s">
        <v>1738</v>
      </c>
      <c r="M209" s="7" t="s">
        <v>1739</v>
      </c>
      <c r="N209" s="7" t="s">
        <v>1740</v>
      </c>
      <c r="O209" s="7" t="s">
        <v>1741</v>
      </c>
      <c r="P209" s="7" t="s">
        <v>1742</v>
      </c>
      <c r="Q209" s="7"/>
      <c r="R209" s="7"/>
      <c r="S209" s="7"/>
      <c r="T209" s="7"/>
      <c r="U209" s="7"/>
    </row>
    <row r="210" customFormat="false" ht="15" hidden="false" customHeight="false" outlineLevel="0" collapsed="false">
      <c r="A210" s="7" t="s">
        <v>6</v>
      </c>
      <c r="B210" s="7" t="s">
        <v>1743</v>
      </c>
      <c r="C210" s="7" t="s">
        <v>34</v>
      </c>
      <c r="D210" s="7" t="s">
        <v>1744</v>
      </c>
      <c r="E210" s="7" t="s">
        <v>1745</v>
      </c>
      <c r="F210" s="7" t="s">
        <v>206</v>
      </c>
      <c r="G210" s="7" t="s">
        <v>1746</v>
      </c>
      <c r="H210" s="7" t="s">
        <v>68</v>
      </c>
      <c r="I210" s="10" t="n">
        <v>1200</v>
      </c>
      <c r="J210" s="7" t="s">
        <v>69</v>
      </c>
      <c r="K210" s="7" t="s">
        <v>1747</v>
      </c>
      <c r="L210" s="7" t="s">
        <v>1748</v>
      </c>
      <c r="M210" s="7" t="s">
        <v>1749</v>
      </c>
      <c r="N210" s="7" t="s">
        <v>1750</v>
      </c>
      <c r="O210" s="7" t="s">
        <v>1751</v>
      </c>
      <c r="P210" s="7" t="s">
        <v>1752</v>
      </c>
      <c r="Q210" s="7"/>
      <c r="R210" s="7"/>
      <c r="S210" s="7"/>
      <c r="T210" s="7"/>
      <c r="U210" s="7"/>
    </row>
    <row r="211" customFormat="false" ht="15" hidden="false" customHeight="false" outlineLevel="0" collapsed="false">
      <c r="A211" s="7" t="s">
        <v>6</v>
      </c>
      <c r="B211" s="7" t="s">
        <v>1753</v>
      </c>
      <c r="C211" s="7" t="s">
        <v>34</v>
      </c>
      <c r="D211" s="7" t="s">
        <v>1754</v>
      </c>
      <c r="E211" s="7" t="s">
        <v>713</v>
      </c>
      <c r="F211" s="7" t="s">
        <v>155</v>
      </c>
      <c r="G211" s="7" t="s">
        <v>1755</v>
      </c>
      <c r="H211" s="7" t="s">
        <v>68</v>
      </c>
      <c r="I211" s="10" t="n">
        <v>6000</v>
      </c>
      <c r="J211" s="7" t="s">
        <v>69</v>
      </c>
      <c r="K211" s="7" t="s">
        <v>1756</v>
      </c>
      <c r="L211" s="7" t="s">
        <v>1757</v>
      </c>
      <c r="M211" s="7" t="s">
        <v>1758</v>
      </c>
      <c r="N211" s="7" t="s">
        <v>1759</v>
      </c>
      <c r="O211" s="7" t="s">
        <v>1760</v>
      </c>
      <c r="P211" s="7" t="s">
        <v>1761</v>
      </c>
      <c r="Q211" s="7"/>
      <c r="R211" s="7"/>
      <c r="S211" s="7"/>
      <c r="T211" s="7"/>
      <c r="U211" s="7"/>
    </row>
    <row r="212" customFormat="false" ht="15" hidden="false" customHeight="false" outlineLevel="0" collapsed="false">
      <c r="A212" s="7" t="s">
        <v>6</v>
      </c>
      <c r="B212" s="7" t="s">
        <v>1762</v>
      </c>
      <c r="C212" s="7" t="s">
        <v>34</v>
      </c>
      <c r="D212" s="7" t="s">
        <v>1763</v>
      </c>
      <c r="E212" s="7" t="s">
        <v>112</v>
      </c>
      <c r="F212" s="7" t="s">
        <v>113</v>
      </c>
      <c r="G212" s="7" t="s">
        <v>1764</v>
      </c>
      <c r="H212" s="7" t="s">
        <v>68</v>
      </c>
      <c r="I212" s="10" t="n">
        <v>400</v>
      </c>
      <c r="J212" s="7" t="s">
        <v>69</v>
      </c>
      <c r="K212" s="7" t="s">
        <v>1765</v>
      </c>
      <c r="L212" s="7" t="s">
        <v>1766</v>
      </c>
      <c r="M212" s="7" t="s">
        <v>1767</v>
      </c>
      <c r="N212" s="7" t="s">
        <v>1768</v>
      </c>
      <c r="O212" s="7" t="s">
        <v>1769</v>
      </c>
      <c r="P212" s="7" t="s">
        <v>1770</v>
      </c>
      <c r="Q212" s="7"/>
      <c r="R212" s="7"/>
      <c r="S212" s="7"/>
      <c r="T212" s="7"/>
      <c r="U212" s="7"/>
    </row>
    <row r="213" customFormat="false" ht="15" hidden="false" customHeight="false" outlineLevel="0" collapsed="false">
      <c r="A213" s="7" t="s">
        <v>6</v>
      </c>
      <c r="B213" s="7" t="s">
        <v>1771</v>
      </c>
      <c r="C213" s="7" t="s">
        <v>34</v>
      </c>
      <c r="D213" s="7" t="s">
        <v>1772</v>
      </c>
      <c r="E213" s="7" t="s">
        <v>1773</v>
      </c>
      <c r="F213" s="7" t="s">
        <v>854</v>
      </c>
      <c r="G213" s="7" t="s">
        <v>1774</v>
      </c>
      <c r="H213" s="7" t="s">
        <v>68</v>
      </c>
      <c r="I213" s="10" t="n">
        <v>1500</v>
      </c>
      <c r="J213" s="7" t="s">
        <v>69</v>
      </c>
      <c r="K213" s="7" t="s">
        <v>1775</v>
      </c>
      <c r="L213" s="7" t="s">
        <v>1776</v>
      </c>
      <c r="M213" s="7" t="s">
        <v>1777</v>
      </c>
      <c r="N213" s="7" t="s">
        <v>1778</v>
      </c>
      <c r="O213" s="7" t="s">
        <v>1779</v>
      </c>
      <c r="P213" s="7" t="s">
        <v>1780</v>
      </c>
      <c r="Q213" s="7"/>
      <c r="R213" s="7"/>
      <c r="S213" s="7"/>
      <c r="T213" s="7"/>
      <c r="U213" s="7"/>
    </row>
    <row r="214" customFormat="false" ht="15" hidden="false" customHeight="false" outlineLevel="0" collapsed="false">
      <c r="A214" s="7" t="s">
        <v>6</v>
      </c>
      <c r="B214" s="7" t="s">
        <v>1781</v>
      </c>
      <c r="C214" s="7" t="s">
        <v>34</v>
      </c>
      <c r="D214" s="7" t="s">
        <v>1782</v>
      </c>
      <c r="E214" s="7" t="s">
        <v>112</v>
      </c>
      <c r="F214" s="7" t="s">
        <v>113</v>
      </c>
      <c r="G214" s="7" t="s">
        <v>1783</v>
      </c>
      <c r="H214" s="7" t="s">
        <v>174</v>
      </c>
      <c r="I214" s="10" t="n">
        <v>200</v>
      </c>
      <c r="J214" s="7" t="s">
        <v>69</v>
      </c>
      <c r="K214" s="7" t="s">
        <v>1765</v>
      </c>
      <c r="L214" s="7"/>
      <c r="M214" s="7" t="s">
        <v>1784</v>
      </c>
      <c r="N214" s="7" t="s">
        <v>1785</v>
      </c>
      <c r="O214" s="7" t="s">
        <v>1786</v>
      </c>
      <c r="P214" s="7" t="s">
        <v>1770</v>
      </c>
      <c r="Q214" s="7"/>
      <c r="R214" s="7"/>
      <c r="S214" s="7"/>
      <c r="T214" s="7"/>
      <c r="U214" s="7"/>
    </row>
    <row r="215" customFormat="false" ht="15" hidden="false" customHeight="false" outlineLevel="0" collapsed="false">
      <c r="A215" s="7" t="s">
        <v>6</v>
      </c>
      <c r="B215" s="7" t="s">
        <v>1787</v>
      </c>
      <c r="C215" s="7" t="s">
        <v>34</v>
      </c>
      <c r="D215" s="7" t="s">
        <v>1788</v>
      </c>
      <c r="E215" s="7" t="s">
        <v>953</v>
      </c>
      <c r="F215" s="7" t="s">
        <v>1789</v>
      </c>
      <c r="G215" s="7" t="s">
        <v>1790</v>
      </c>
      <c r="H215" s="7" t="s">
        <v>174</v>
      </c>
      <c r="I215" s="10" t="n">
        <v>300</v>
      </c>
      <c r="J215" s="7" t="s">
        <v>69</v>
      </c>
      <c r="K215" s="7" t="s">
        <v>1765</v>
      </c>
      <c r="L215" s="7" t="s">
        <v>1791</v>
      </c>
      <c r="M215" s="7" t="s">
        <v>1792</v>
      </c>
      <c r="N215" s="7" t="s">
        <v>1793</v>
      </c>
      <c r="O215" s="7" t="s">
        <v>1794</v>
      </c>
      <c r="P215" s="7" t="s">
        <v>1795</v>
      </c>
      <c r="Q215" s="7"/>
      <c r="R215" s="7"/>
      <c r="S215" s="7"/>
      <c r="T215" s="7"/>
      <c r="U215" s="7"/>
    </row>
    <row r="216" customFormat="false" ht="15" hidden="false" customHeight="false" outlineLevel="0" collapsed="false">
      <c r="A216" s="7" t="s">
        <v>6</v>
      </c>
      <c r="B216" s="7" t="s">
        <v>1796</v>
      </c>
      <c r="C216" s="7" t="s">
        <v>34</v>
      </c>
      <c r="D216" s="7" t="s">
        <v>1797</v>
      </c>
      <c r="E216" s="7" t="s">
        <v>1245</v>
      </c>
      <c r="F216" s="7" t="s">
        <v>78</v>
      </c>
      <c r="G216" s="7" t="s">
        <v>1798</v>
      </c>
      <c r="H216" s="7" t="s">
        <v>174</v>
      </c>
      <c r="I216" s="10" t="n">
        <v>400</v>
      </c>
      <c r="J216" s="7" t="s">
        <v>69</v>
      </c>
      <c r="K216" s="7" t="s">
        <v>1765</v>
      </c>
      <c r="L216" s="7" t="s">
        <v>1799</v>
      </c>
      <c r="M216" s="7" t="s">
        <v>1800</v>
      </c>
      <c r="N216" s="7" t="s">
        <v>1801</v>
      </c>
      <c r="O216" s="7" t="s">
        <v>1802</v>
      </c>
      <c r="P216" s="7" t="s">
        <v>1770</v>
      </c>
      <c r="Q216" s="7"/>
      <c r="R216" s="7"/>
      <c r="S216" s="7"/>
      <c r="T216" s="7"/>
      <c r="U216" s="7"/>
    </row>
    <row r="217" customFormat="false" ht="15" hidden="false" customHeight="false" outlineLevel="0" collapsed="false">
      <c r="A217" s="7" t="s">
        <v>6</v>
      </c>
      <c r="B217" s="7" t="s">
        <v>1803</v>
      </c>
      <c r="C217" s="7" t="s">
        <v>35</v>
      </c>
      <c r="D217" s="7" t="s">
        <v>1804</v>
      </c>
      <c r="E217" s="7" t="s">
        <v>549</v>
      </c>
      <c r="F217" s="7" t="s">
        <v>147</v>
      </c>
      <c r="G217" s="7" t="s">
        <v>1805</v>
      </c>
      <c r="H217" s="7" t="s">
        <v>68</v>
      </c>
      <c r="I217" s="10" t="n">
        <v>2300</v>
      </c>
      <c r="J217" s="7" t="s">
        <v>69</v>
      </c>
      <c r="K217" s="7" t="s">
        <v>1361</v>
      </c>
      <c r="L217" s="7" t="s">
        <v>1806</v>
      </c>
      <c r="M217" s="7" t="s">
        <v>1807</v>
      </c>
      <c r="N217" s="7" t="s">
        <v>1808</v>
      </c>
      <c r="O217" s="7" t="s">
        <v>1809</v>
      </c>
      <c r="P217" s="7" t="s">
        <v>1810</v>
      </c>
      <c r="Q217" s="7"/>
      <c r="R217" s="7"/>
      <c r="S217" s="7"/>
      <c r="T217" s="7"/>
      <c r="U217" s="7"/>
    </row>
    <row r="218" customFormat="false" ht="15" hidden="false" customHeight="false" outlineLevel="0" collapsed="false">
      <c r="A218" s="7" t="s">
        <v>6</v>
      </c>
      <c r="B218" s="7" t="s">
        <v>1811</v>
      </c>
      <c r="C218" s="7" t="s">
        <v>35</v>
      </c>
      <c r="D218" s="7" t="s">
        <v>1812</v>
      </c>
      <c r="E218" s="7" t="s">
        <v>1813</v>
      </c>
      <c r="F218" s="7" t="s">
        <v>155</v>
      </c>
      <c r="G218" s="7" t="s">
        <v>1814</v>
      </c>
      <c r="H218" s="7" t="s">
        <v>68</v>
      </c>
      <c r="I218" s="10" t="n">
        <v>2500</v>
      </c>
      <c r="J218" s="7" t="s">
        <v>69</v>
      </c>
      <c r="K218" s="7" t="s">
        <v>1815</v>
      </c>
      <c r="L218" s="7" t="s">
        <v>1816</v>
      </c>
      <c r="M218" s="7" t="s">
        <v>1807</v>
      </c>
      <c r="N218" s="7" t="s">
        <v>1817</v>
      </c>
      <c r="O218" s="7" t="s">
        <v>1818</v>
      </c>
      <c r="P218" s="7" t="s">
        <v>1819</v>
      </c>
      <c r="Q218" s="7"/>
      <c r="R218" s="7"/>
      <c r="S218" s="7"/>
      <c r="T218" s="7"/>
      <c r="U218" s="7"/>
    </row>
    <row r="219" customFormat="false" ht="15" hidden="false" customHeight="false" outlineLevel="0" collapsed="false">
      <c r="A219" s="7" t="s">
        <v>6</v>
      </c>
      <c r="B219" s="7" t="s">
        <v>1820</v>
      </c>
      <c r="C219" s="7" t="s">
        <v>35</v>
      </c>
      <c r="D219" s="7" t="s">
        <v>1821</v>
      </c>
      <c r="E219" s="7" t="s">
        <v>1822</v>
      </c>
      <c r="F219" s="7" t="s">
        <v>66</v>
      </c>
      <c r="G219" s="7" t="s">
        <v>1823</v>
      </c>
      <c r="H219" s="7" t="s">
        <v>68</v>
      </c>
      <c r="I219" s="10" t="n">
        <v>3500</v>
      </c>
      <c r="J219" s="7" t="s">
        <v>69</v>
      </c>
      <c r="K219" s="7" t="s">
        <v>1824</v>
      </c>
      <c r="L219" s="7" t="s">
        <v>1825</v>
      </c>
      <c r="M219" s="7" t="s">
        <v>1826</v>
      </c>
      <c r="N219" s="7" t="s">
        <v>1827</v>
      </c>
      <c r="O219" s="7" t="s">
        <v>1828</v>
      </c>
      <c r="P219" s="7" t="s">
        <v>1829</v>
      </c>
      <c r="Q219" s="7"/>
      <c r="R219" s="7"/>
      <c r="S219" s="7"/>
      <c r="T219" s="7"/>
      <c r="U219" s="7"/>
    </row>
    <row r="220" customFormat="false" ht="15" hidden="false" customHeight="false" outlineLevel="0" collapsed="false">
      <c r="A220" s="7" t="s">
        <v>6</v>
      </c>
      <c r="B220" s="7" t="s">
        <v>1830</v>
      </c>
      <c r="C220" s="7" t="s">
        <v>35</v>
      </c>
      <c r="D220" s="7" t="s">
        <v>1831</v>
      </c>
      <c r="E220" s="7" t="s">
        <v>1612</v>
      </c>
      <c r="F220" s="7" t="s">
        <v>147</v>
      </c>
      <c r="G220" s="7" t="s">
        <v>1832</v>
      </c>
      <c r="H220" s="7" t="s">
        <v>68</v>
      </c>
      <c r="I220" s="10" t="n">
        <v>2000</v>
      </c>
      <c r="J220" s="7" t="s">
        <v>69</v>
      </c>
      <c r="K220" s="7" t="s">
        <v>1833</v>
      </c>
      <c r="L220" s="7" t="s">
        <v>1834</v>
      </c>
      <c r="M220" s="7" t="s">
        <v>1826</v>
      </c>
      <c r="N220" s="7" t="s">
        <v>1835</v>
      </c>
      <c r="O220" s="7"/>
      <c r="P220" s="7" t="s">
        <v>1836</v>
      </c>
      <c r="Q220" s="7"/>
      <c r="R220" s="7"/>
      <c r="S220" s="7"/>
      <c r="T220" s="7"/>
      <c r="U220" s="7"/>
    </row>
    <row r="221" customFormat="false" ht="15" hidden="false" customHeight="false" outlineLevel="0" collapsed="false">
      <c r="A221" s="7" t="s">
        <v>6</v>
      </c>
      <c r="B221" s="7" t="s">
        <v>1837</v>
      </c>
      <c r="C221" s="7" t="s">
        <v>35</v>
      </c>
      <c r="D221" s="7" t="s">
        <v>1838</v>
      </c>
      <c r="E221" s="7" t="s">
        <v>515</v>
      </c>
      <c r="F221" s="7" t="s">
        <v>428</v>
      </c>
      <c r="G221" s="7" t="s">
        <v>1839</v>
      </c>
      <c r="H221" s="7" t="s">
        <v>68</v>
      </c>
      <c r="I221" s="10" t="n">
        <v>4500</v>
      </c>
      <c r="J221" s="7" t="s">
        <v>69</v>
      </c>
      <c r="K221" s="7" t="s">
        <v>1460</v>
      </c>
      <c r="L221" s="7" t="s">
        <v>1840</v>
      </c>
      <c r="M221" s="7" t="s">
        <v>1807</v>
      </c>
      <c r="N221" s="7" t="s">
        <v>1841</v>
      </c>
      <c r="O221" s="7" t="s">
        <v>1842</v>
      </c>
      <c r="P221" s="7" t="s">
        <v>1843</v>
      </c>
      <c r="Q221" s="7"/>
      <c r="R221" s="7"/>
      <c r="S221" s="7"/>
      <c r="T221" s="7"/>
      <c r="U221" s="7"/>
    </row>
    <row r="222" customFormat="false" ht="15" hidden="false" customHeight="false" outlineLevel="0" collapsed="false">
      <c r="A222" s="7" t="s">
        <v>6</v>
      </c>
      <c r="B222" s="7" t="s">
        <v>1844</v>
      </c>
      <c r="C222" s="7" t="s">
        <v>35</v>
      </c>
      <c r="D222" s="7" t="s">
        <v>1845</v>
      </c>
      <c r="E222" s="7" t="s">
        <v>807</v>
      </c>
      <c r="F222" s="7" t="s">
        <v>760</v>
      </c>
      <c r="G222" s="7" t="s">
        <v>1846</v>
      </c>
      <c r="H222" s="7" t="s">
        <v>68</v>
      </c>
      <c r="I222" s="10" t="n">
        <v>2400</v>
      </c>
      <c r="J222" s="7" t="s">
        <v>69</v>
      </c>
      <c r="K222" s="7" t="s">
        <v>1361</v>
      </c>
      <c r="L222" s="7" t="s">
        <v>1847</v>
      </c>
      <c r="M222" s="7" t="s">
        <v>1826</v>
      </c>
      <c r="N222" s="7" t="s">
        <v>1848</v>
      </c>
      <c r="O222" s="7" t="s">
        <v>1849</v>
      </c>
      <c r="P222" s="7" t="s">
        <v>1810</v>
      </c>
      <c r="Q222" s="7"/>
      <c r="R222" s="7"/>
      <c r="S222" s="7"/>
      <c r="T222" s="7"/>
      <c r="U222" s="7"/>
    </row>
    <row r="223" customFormat="false" ht="15" hidden="false" customHeight="false" outlineLevel="0" collapsed="false">
      <c r="A223" s="7" t="s">
        <v>6</v>
      </c>
      <c r="B223" s="7" t="s">
        <v>1850</v>
      </c>
      <c r="C223" s="7" t="s">
        <v>35</v>
      </c>
      <c r="D223" s="7" t="s">
        <v>1851</v>
      </c>
      <c r="E223" s="7" t="s">
        <v>154</v>
      </c>
      <c r="F223" s="7" t="s">
        <v>155</v>
      </c>
      <c r="G223" s="7" t="s">
        <v>1852</v>
      </c>
      <c r="H223" s="7" t="s">
        <v>68</v>
      </c>
      <c r="I223" s="10" t="n">
        <v>3500</v>
      </c>
      <c r="J223" s="7" t="s">
        <v>69</v>
      </c>
      <c r="K223" s="7" t="s">
        <v>1853</v>
      </c>
      <c r="L223" s="7" t="s">
        <v>1854</v>
      </c>
      <c r="M223" s="7" t="s">
        <v>1855</v>
      </c>
      <c r="N223" s="7" t="s">
        <v>1856</v>
      </c>
      <c r="O223" s="7" t="s">
        <v>1857</v>
      </c>
      <c r="P223" s="7" t="s">
        <v>1858</v>
      </c>
      <c r="Q223" s="7"/>
      <c r="R223" s="7"/>
      <c r="S223" s="7"/>
      <c r="T223" s="7"/>
      <c r="U223" s="7"/>
    </row>
    <row r="224" customFormat="false" ht="15" hidden="false" customHeight="false" outlineLevel="0" collapsed="false">
      <c r="A224" s="7" t="s">
        <v>6</v>
      </c>
      <c r="B224" s="7" t="s">
        <v>1859</v>
      </c>
      <c r="C224" s="7" t="s">
        <v>35</v>
      </c>
      <c r="D224" s="7" t="s">
        <v>1860</v>
      </c>
      <c r="E224" s="7" t="s">
        <v>146</v>
      </c>
      <c r="F224" s="7" t="s">
        <v>147</v>
      </c>
      <c r="G224" s="7" t="s">
        <v>1861</v>
      </c>
      <c r="H224" s="7" t="s">
        <v>68</v>
      </c>
      <c r="I224" s="10" t="n">
        <v>3000</v>
      </c>
      <c r="J224" s="7" t="s">
        <v>69</v>
      </c>
      <c r="K224" s="7" t="s">
        <v>1361</v>
      </c>
      <c r="L224" s="7" t="s">
        <v>1862</v>
      </c>
      <c r="M224" s="7" t="s">
        <v>1807</v>
      </c>
      <c r="N224" s="7" t="s">
        <v>1863</v>
      </c>
      <c r="O224" s="7" t="s">
        <v>1864</v>
      </c>
      <c r="P224" s="7" t="s">
        <v>1810</v>
      </c>
      <c r="Q224" s="7"/>
      <c r="R224" s="7"/>
      <c r="S224" s="7"/>
      <c r="T224" s="7"/>
      <c r="U224" s="7"/>
    </row>
    <row r="225" customFormat="false" ht="15" hidden="false" customHeight="false" outlineLevel="0" collapsed="false">
      <c r="A225" s="7" t="s">
        <v>6</v>
      </c>
      <c r="B225" s="7" t="s">
        <v>1865</v>
      </c>
      <c r="C225" s="7" t="s">
        <v>35</v>
      </c>
      <c r="D225" s="7" t="s">
        <v>1866</v>
      </c>
      <c r="E225" s="7" t="s">
        <v>1867</v>
      </c>
      <c r="F225" s="7" t="s">
        <v>78</v>
      </c>
      <c r="G225" s="7" t="s">
        <v>1868</v>
      </c>
      <c r="H225" s="7" t="s">
        <v>68</v>
      </c>
      <c r="I225" s="10" t="n">
        <v>3500</v>
      </c>
      <c r="J225" s="7" t="s">
        <v>69</v>
      </c>
      <c r="K225" s="7" t="s">
        <v>1361</v>
      </c>
      <c r="L225" s="7" t="s">
        <v>1869</v>
      </c>
      <c r="M225" s="7" t="s">
        <v>1826</v>
      </c>
      <c r="N225" s="7" t="s">
        <v>1870</v>
      </c>
      <c r="O225" s="7" t="s">
        <v>1871</v>
      </c>
      <c r="P225" s="7" t="s">
        <v>1810</v>
      </c>
      <c r="Q225" s="7"/>
      <c r="R225" s="7"/>
      <c r="S225" s="7"/>
      <c r="T225" s="7"/>
      <c r="U225" s="7"/>
    </row>
    <row r="226" customFormat="false" ht="15" hidden="false" customHeight="false" outlineLevel="0" collapsed="false">
      <c r="A226" s="7" t="s">
        <v>6</v>
      </c>
      <c r="B226" s="7" t="s">
        <v>1872</v>
      </c>
      <c r="C226" s="7" t="s">
        <v>35</v>
      </c>
      <c r="D226" s="7" t="s">
        <v>1873</v>
      </c>
      <c r="E226" s="7" t="s">
        <v>358</v>
      </c>
      <c r="F226" s="7" t="s">
        <v>359</v>
      </c>
      <c r="G226" s="7" t="s">
        <v>1874</v>
      </c>
      <c r="H226" s="7" t="s">
        <v>68</v>
      </c>
      <c r="I226" s="10" t="n">
        <v>2000</v>
      </c>
      <c r="J226" s="7" t="s">
        <v>69</v>
      </c>
      <c r="K226" s="7" t="s">
        <v>1460</v>
      </c>
      <c r="L226" s="7" t="s">
        <v>1875</v>
      </c>
      <c r="M226" s="7" t="s">
        <v>1855</v>
      </c>
      <c r="N226" s="7" t="s">
        <v>1876</v>
      </c>
      <c r="O226" s="7" t="s">
        <v>1877</v>
      </c>
      <c r="P226" s="7" t="s">
        <v>1878</v>
      </c>
      <c r="Q226" s="7"/>
      <c r="R226" s="7"/>
      <c r="S226" s="7"/>
      <c r="T226" s="7"/>
      <c r="U226" s="7"/>
    </row>
    <row r="227" customFormat="false" ht="15" hidden="false" customHeight="false" outlineLevel="0" collapsed="false">
      <c r="A227" s="7" t="s">
        <v>6</v>
      </c>
      <c r="B227" s="7" t="s">
        <v>1879</v>
      </c>
      <c r="C227" s="7" t="s">
        <v>35</v>
      </c>
      <c r="D227" s="7" t="s">
        <v>1880</v>
      </c>
      <c r="E227" s="7" t="s">
        <v>1881</v>
      </c>
      <c r="F227" s="7" t="s">
        <v>250</v>
      </c>
      <c r="G227" s="7" t="s">
        <v>1882</v>
      </c>
      <c r="H227" s="7" t="s">
        <v>68</v>
      </c>
      <c r="I227" s="10" t="n">
        <v>2500</v>
      </c>
      <c r="J227" s="7" t="s">
        <v>69</v>
      </c>
      <c r="K227" s="7" t="s">
        <v>1883</v>
      </c>
      <c r="L227" s="7" t="s">
        <v>1884</v>
      </c>
      <c r="M227" s="7" t="s">
        <v>1826</v>
      </c>
      <c r="N227" s="7" t="s">
        <v>1885</v>
      </c>
      <c r="O227" s="7"/>
      <c r="P227" s="7" t="s">
        <v>1886</v>
      </c>
      <c r="Q227" s="7"/>
      <c r="R227" s="7"/>
      <c r="S227" s="7"/>
      <c r="T227" s="7"/>
      <c r="U227" s="7"/>
    </row>
    <row r="228" customFormat="false" ht="15" hidden="false" customHeight="false" outlineLevel="0" collapsed="false">
      <c r="A228" s="7" t="s">
        <v>6</v>
      </c>
      <c r="B228" s="7" t="s">
        <v>1887</v>
      </c>
      <c r="C228" s="7" t="s">
        <v>35</v>
      </c>
      <c r="D228" s="7" t="s">
        <v>1888</v>
      </c>
      <c r="E228" s="7" t="s">
        <v>1889</v>
      </c>
      <c r="F228" s="7" t="s">
        <v>88</v>
      </c>
      <c r="G228" s="7" t="s">
        <v>1890</v>
      </c>
      <c r="H228" s="7" t="s">
        <v>68</v>
      </c>
      <c r="I228" s="10" t="n">
        <v>3000</v>
      </c>
      <c r="J228" s="7" t="s">
        <v>69</v>
      </c>
      <c r="K228" s="7" t="s">
        <v>1891</v>
      </c>
      <c r="L228" s="7" t="s">
        <v>1892</v>
      </c>
      <c r="M228" s="7" t="s">
        <v>1807</v>
      </c>
      <c r="N228" s="7" t="s">
        <v>1893</v>
      </c>
      <c r="O228" s="7" t="s">
        <v>1894</v>
      </c>
      <c r="P228" s="7" t="s">
        <v>1895</v>
      </c>
      <c r="Q228" s="7"/>
      <c r="R228" s="7"/>
      <c r="S228" s="7"/>
      <c r="T228" s="7"/>
      <c r="U228" s="7"/>
    </row>
    <row r="229" customFormat="false" ht="15" hidden="false" customHeight="false" outlineLevel="0" collapsed="false">
      <c r="A229" s="7" t="s">
        <v>6</v>
      </c>
      <c r="B229" s="7" t="s">
        <v>1896</v>
      </c>
      <c r="C229" s="7" t="s">
        <v>35</v>
      </c>
      <c r="D229" s="7" t="s">
        <v>1897</v>
      </c>
      <c r="E229" s="7" t="s">
        <v>1898</v>
      </c>
      <c r="F229" s="7" t="s">
        <v>455</v>
      </c>
      <c r="G229" s="7" t="s">
        <v>1899</v>
      </c>
      <c r="H229" s="7" t="s">
        <v>68</v>
      </c>
      <c r="I229" s="10" t="n">
        <v>3000</v>
      </c>
      <c r="J229" s="7" t="s">
        <v>69</v>
      </c>
      <c r="K229" s="7" t="s">
        <v>1900</v>
      </c>
      <c r="L229" s="7" t="s">
        <v>1901</v>
      </c>
      <c r="M229" s="7" t="s">
        <v>1807</v>
      </c>
      <c r="N229" s="7" t="s">
        <v>1902</v>
      </c>
      <c r="O229" s="7" t="s">
        <v>1903</v>
      </c>
      <c r="P229" s="7" t="s">
        <v>1904</v>
      </c>
      <c r="Q229" s="7"/>
      <c r="R229" s="7"/>
      <c r="S229" s="7"/>
      <c r="T229" s="7"/>
      <c r="U229" s="7"/>
    </row>
    <row r="230" customFormat="false" ht="15" hidden="false" customHeight="false" outlineLevel="0" collapsed="false">
      <c r="A230" s="7" t="s">
        <v>6</v>
      </c>
      <c r="B230" s="7" t="s">
        <v>1905</v>
      </c>
      <c r="C230" s="7" t="s">
        <v>35</v>
      </c>
      <c r="D230" s="7" t="s">
        <v>1906</v>
      </c>
      <c r="E230" s="7" t="s">
        <v>1907</v>
      </c>
      <c r="F230" s="7" t="s">
        <v>206</v>
      </c>
      <c r="G230" s="7" t="s">
        <v>1908</v>
      </c>
      <c r="H230" s="7" t="s">
        <v>68</v>
      </c>
      <c r="I230" s="10" t="n">
        <v>1900</v>
      </c>
      <c r="J230" s="7" t="s">
        <v>69</v>
      </c>
      <c r="K230" s="7" t="s">
        <v>715</v>
      </c>
      <c r="L230" s="7" t="s">
        <v>1909</v>
      </c>
      <c r="M230" s="7" t="s">
        <v>1807</v>
      </c>
      <c r="N230" s="7" t="s">
        <v>1910</v>
      </c>
      <c r="O230" s="7" t="s">
        <v>1911</v>
      </c>
      <c r="P230" s="7" t="s">
        <v>1912</v>
      </c>
      <c r="Q230" s="7"/>
      <c r="R230" s="7"/>
      <c r="S230" s="7"/>
      <c r="T230" s="7"/>
      <c r="U230" s="7"/>
    </row>
    <row r="231" customFormat="false" ht="15" hidden="false" customHeight="false" outlineLevel="0" collapsed="false">
      <c r="A231" s="7" t="s">
        <v>6</v>
      </c>
      <c r="B231" s="7" t="s">
        <v>1913</v>
      </c>
      <c r="C231" s="7" t="s">
        <v>35</v>
      </c>
      <c r="D231" s="7" t="s">
        <v>1914</v>
      </c>
      <c r="E231" s="7" t="s">
        <v>112</v>
      </c>
      <c r="F231" s="7" t="s">
        <v>113</v>
      </c>
      <c r="G231" s="7" t="s">
        <v>1915</v>
      </c>
      <c r="H231" s="7" t="s">
        <v>68</v>
      </c>
      <c r="I231" s="10" t="n">
        <v>1200</v>
      </c>
      <c r="J231" s="7" t="s">
        <v>69</v>
      </c>
      <c r="K231" s="7" t="s">
        <v>1916</v>
      </c>
      <c r="L231" s="7" t="s">
        <v>1917</v>
      </c>
      <c r="M231" s="7" t="s">
        <v>1807</v>
      </c>
      <c r="N231" s="7" t="s">
        <v>1918</v>
      </c>
      <c r="O231" s="7" t="s">
        <v>1919</v>
      </c>
      <c r="P231" s="7" t="s">
        <v>1920</v>
      </c>
      <c r="Q231" s="7"/>
      <c r="R231" s="7"/>
      <c r="S231" s="7"/>
      <c r="T231" s="7"/>
      <c r="U231" s="7"/>
    </row>
    <row r="232" customFormat="false" ht="15" hidden="false" customHeight="false" outlineLevel="0" collapsed="false">
      <c r="A232" s="7" t="s">
        <v>6</v>
      </c>
      <c r="B232" s="7" t="s">
        <v>1921</v>
      </c>
      <c r="C232" s="7" t="s">
        <v>35</v>
      </c>
      <c r="D232" s="7" t="s">
        <v>1922</v>
      </c>
      <c r="E232" s="7" t="s">
        <v>1579</v>
      </c>
      <c r="F232" s="7" t="s">
        <v>854</v>
      </c>
      <c r="G232" s="7" t="s">
        <v>1923</v>
      </c>
      <c r="H232" s="7" t="s">
        <v>68</v>
      </c>
      <c r="I232" s="10" t="n">
        <v>2700</v>
      </c>
      <c r="J232" s="7" t="s">
        <v>69</v>
      </c>
      <c r="K232" s="7" t="s">
        <v>1924</v>
      </c>
      <c r="L232" s="7" t="s">
        <v>1925</v>
      </c>
      <c r="M232" s="7" t="s">
        <v>1807</v>
      </c>
      <c r="N232" s="7" t="s">
        <v>1926</v>
      </c>
      <c r="O232" s="7" t="s">
        <v>1927</v>
      </c>
      <c r="P232" s="7" t="s">
        <v>1928</v>
      </c>
      <c r="Q232" s="7"/>
      <c r="R232" s="7"/>
      <c r="S232" s="7"/>
      <c r="T232" s="7"/>
      <c r="U232" s="7"/>
    </row>
    <row r="233" customFormat="false" ht="15" hidden="false" customHeight="false" outlineLevel="0" collapsed="false">
      <c r="A233" s="7" t="s">
        <v>6</v>
      </c>
      <c r="B233" s="7" t="s">
        <v>1929</v>
      </c>
      <c r="C233" s="7" t="s">
        <v>35</v>
      </c>
      <c r="D233" s="7" t="s">
        <v>1930</v>
      </c>
      <c r="E233" s="7" t="s">
        <v>1245</v>
      </c>
      <c r="F233" s="7" t="s">
        <v>78</v>
      </c>
      <c r="G233" s="7" t="s">
        <v>1931</v>
      </c>
      <c r="H233" s="7" t="s">
        <v>68</v>
      </c>
      <c r="I233" s="10" t="n">
        <v>2000</v>
      </c>
      <c r="J233" s="7" t="s">
        <v>69</v>
      </c>
      <c r="K233" s="7" t="s">
        <v>1361</v>
      </c>
      <c r="L233" s="7" t="s">
        <v>1932</v>
      </c>
      <c r="M233" s="7" t="s">
        <v>1807</v>
      </c>
      <c r="N233" s="7" t="s">
        <v>1933</v>
      </c>
      <c r="O233" s="7" t="s">
        <v>1934</v>
      </c>
      <c r="P233" s="7" t="s">
        <v>1810</v>
      </c>
      <c r="Q233" s="7"/>
      <c r="R233" s="7"/>
      <c r="S233" s="7"/>
      <c r="T233" s="7"/>
      <c r="U233" s="7"/>
    </row>
    <row r="234" customFormat="false" ht="15" hidden="false" customHeight="false" outlineLevel="0" collapsed="false">
      <c r="A234" s="7" t="s">
        <v>6</v>
      </c>
      <c r="B234" s="7" t="s">
        <v>1935</v>
      </c>
      <c r="C234" s="7" t="s">
        <v>35</v>
      </c>
      <c r="D234" s="7" t="s">
        <v>1936</v>
      </c>
      <c r="E234" s="7" t="s">
        <v>1090</v>
      </c>
      <c r="F234" s="7" t="s">
        <v>163</v>
      </c>
      <c r="G234" s="7" t="s">
        <v>1937</v>
      </c>
      <c r="H234" s="7" t="s">
        <v>68</v>
      </c>
      <c r="I234" s="10" t="n">
        <v>2500</v>
      </c>
      <c r="J234" s="7" t="s">
        <v>69</v>
      </c>
      <c r="K234" s="7" t="s">
        <v>1924</v>
      </c>
      <c r="L234" s="7" t="s">
        <v>1938</v>
      </c>
      <c r="M234" s="7" t="s">
        <v>1855</v>
      </c>
      <c r="N234" s="7" t="s">
        <v>1939</v>
      </c>
      <c r="O234" s="7" t="s">
        <v>1940</v>
      </c>
      <c r="P234" s="7" t="s">
        <v>1941</v>
      </c>
      <c r="Q234" s="7"/>
      <c r="R234" s="7"/>
      <c r="S234" s="7"/>
      <c r="T234" s="7"/>
      <c r="U234" s="7"/>
    </row>
    <row r="235" customFormat="false" ht="15" hidden="false" customHeight="false" outlineLevel="0" collapsed="false">
      <c r="A235" s="7" t="s">
        <v>6</v>
      </c>
      <c r="B235" s="7" t="s">
        <v>1942</v>
      </c>
      <c r="C235" s="7" t="s">
        <v>35</v>
      </c>
      <c r="D235" s="7" t="s">
        <v>1943</v>
      </c>
      <c r="E235" s="7" t="s">
        <v>1115</v>
      </c>
      <c r="F235" s="7" t="s">
        <v>1116</v>
      </c>
      <c r="G235" s="7" t="s">
        <v>1944</v>
      </c>
      <c r="H235" s="7" t="s">
        <v>68</v>
      </c>
      <c r="I235" s="10" t="n">
        <v>2500</v>
      </c>
      <c r="J235" s="7" t="s">
        <v>69</v>
      </c>
      <c r="K235" s="7" t="s">
        <v>1945</v>
      </c>
      <c r="L235" s="7" t="s">
        <v>1946</v>
      </c>
      <c r="M235" s="7" t="s">
        <v>1807</v>
      </c>
      <c r="N235" s="7" t="s">
        <v>1947</v>
      </c>
      <c r="O235" s="7"/>
      <c r="P235" s="7" t="s">
        <v>1948</v>
      </c>
      <c r="Q235" s="7"/>
      <c r="R235" s="7"/>
      <c r="S235" s="7"/>
      <c r="T235" s="7"/>
      <c r="U235" s="7"/>
    </row>
    <row r="236" customFormat="false" ht="15" hidden="false" customHeight="false" outlineLevel="0" collapsed="false">
      <c r="A236" s="7" t="s">
        <v>6</v>
      </c>
      <c r="B236" s="7" t="s">
        <v>1949</v>
      </c>
      <c r="C236" s="7" t="s">
        <v>35</v>
      </c>
      <c r="D236" s="7" t="s">
        <v>1950</v>
      </c>
      <c r="E236" s="7" t="s">
        <v>65</v>
      </c>
      <c r="F236" s="7" t="s">
        <v>66</v>
      </c>
      <c r="G236" s="7" t="s">
        <v>1951</v>
      </c>
      <c r="H236" s="7" t="s">
        <v>68</v>
      </c>
      <c r="I236" s="10" t="n">
        <v>2700</v>
      </c>
      <c r="J236" s="7" t="s">
        <v>69</v>
      </c>
      <c r="K236" s="7" t="s">
        <v>1361</v>
      </c>
      <c r="L236" s="7" t="s">
        <v>1952</v>
      </c>
      <c r="M236" s="7" t="s">
        <v>1826</v>
      </c>
      <c r="N236" s="7" t="s">
        <v>1953</v>
      </c>
      <c r="O236" s="7" t="s">
        <v>1954</v>
      </c>
      <c r="P236" s="7" t="s">
        <v>1810</v>
      </c>
      <c r="Q236" s="7"/>
      <c r="R236" s="7"/>
      <c r="S236" s="7"/>
      <c r="T236" s="7"/>
      <c r="U236" s="7"/>
    </row>
    <row r="237" customFormat="false" ht="15" hidden="false" customHeight="false" outlineLevel="0" collapsed="false">
      <c r="A237" s="7" t="s">
        <v>6</v>
      </c>
      <c r="B237" s="7" t="s">
        <v>1955</v>
      </c>
      <c r="C237" s="7" t="s">
        <v>35</v>
      </c>
      <c r="D237" s="7" t="s">
        <v>1956</v>
      </c>
      <c r="E237" s="7" t="s">
        <v>1957</v>
      </c>
      <c r="F237" s="7" t="s">
        <v>78</v>
      </c>
      <c r="G237" s="7" t="s">
        <v>1958</v>
      </c>
      <c r="H237" s="7" t="s">
        <v>68</v>
      </c>
      <c r="I237" s="10" t="n">
        <v>3700</v>
      </c>
      <c r="J237" s="7" t="s">
        <v>69</v>
      </c>
      <c r="K237" s="7" t="s">
        <v>157</v>
      </c>
      <c r="L237" s="7" t="s">
        <v>1959</v>
      </c>
      <c r="M237" s="7" t="s">
        <v>1807</v>
      </c>
      <c r="N237" s="7" t="s">
        <v>1960</v>
      </c>
      <c r="O237" s="7" t="s">
        <v>1961</v>
      </c>
      <c r="P237" s="7" t="s">
        <v>1962</v>
      </c>
      <c r="Q237" s="7"/>
      <c r="R237" s="7"/>
      <c r="S237" s="7"/>
      <c r="T237" s="7"/>
      <c r="U237" s="7"/>
    </row>
    <row r="238" customFormat="false" ht="15" hidden="false" customHeight="false" outlineLevel="0" collapsed="false">
      <c r="A238" s="7" t="s">
        <v>6</v>
      </c>
      <c r="B238" s="7" t="s">
        <v>1963</v>
      </c>
      <c r="C238" s="7" t="s">
        <v>35</v>
      </c>
      <c r="D238" s="7" t="s">
        <v>1964</v>
      </c>
      <c r="E238" s="7" t="s">
        <v>316</v>
      </c>
      <c r="F238" s="7" t="s">
        <v>348</v>
      </c>
      <c r="G238" s="7" t="s">
        <v>1965</v>
      </c>
      <c r="H238" s="7" t="s">
        <v>68</v>
      </c>
      <c r="I238" s="10" t="n">
        <v>2500</v>
      </c>
      <c r="J238" s="7" t="s">
        <v>69</v>
      </c>
      <c r="K238" s="7" t="s">
        <v>1966</v>
      </c>
      <c r="L238" s="7" t="s">
        <v>1967</v>
      </c>
      <c r="M238" s="7" t="s">
        <v>1807</v>
      </c>
      <c r="N238" s="7" t="s">
        <v>1968</v>
      </c>
      <c r="O238" s="7"/>
      <c r="P238" s="7" t="s">
        <v>1969</v>
      </c>
      <c r="Q238" s="7"/>
      <c r="R238" s="7"/>
      <c r="S238" s="7"/>
      <c r="T238" s="7"/>
      <c r="U238" s="7"/>
    </row>
    <row r="239" customFormat="false" ht="15" hidden="false" customHeight="false" outlineLevel="0" collapsed="false">
      <c r="A239" s="7" t="s">
        <v>6</v>
      </c>
      <c r="B239" s="7" t="s">
        <v>1970</v>
      </c>
      <c r="C239" s="7" t="s">
        <v>35</v>
      </c>
      <c r="D239" s="7" t="s">
        <v>1971</v>
      </c>
      <c r="E239" s="7" t="s">
        <v>1972</v>
      </c>
      <c r="F239" s="7" t="s">
        <v>113</v>
      </c>
      <c r="G239" s="7" t="s">
        <v>1973</v>
      </c>
      <c r="H239" s="7" t="s">
        <v>68</v>
      </c>
      <c r="I239" s="10" t="n">
        <v>3700</v>
      </c>
      <c r="J239" s="7" t="s">
        <v>69</v>
      </c>
      <c r="K239" s="7" t="s">
        <v>1361</v>
      </c>
      <c r="L239" s="7" t="s">
        <v>1974</v>
      </c>
      <c r="M239" s="7" t="s">
        <v>1807</v>
      </c>
      <c r="N239" s="7" t="s">
        <v>1975</v>
      </c>
      <c r="O239" s="7" t="s">
        <v>1976</v>
      </c>
      <c r="P239" s="7" t="s">
        <v>1977</v>
      </c>
      <c r="Q239" s="7"/>
      <c r="R239" s="7"/>
      <c r="S239" s="7"/>
      <c r="T239" s="7"/>
      <c r="U239" s="7"/>
    </row>
    <row r="240" customFormat="false" ht="15" hidden="false" customHeight="false" outlineLevel="0" collapsed="false">
      <c r="A240" s="7" t="s">
        <v>6</v>
      </c>
      <c r="B240" s="7" t="s">
        <v>1978</v>
      </c>
      <c r="C240" s="7" t="s">
        <v>35</v>
      </c>
      <c r="D240" s="7" t="s">
        <v>1979</v>
      </c>
      <c r="E240" s="7" t="s">
        <v>1115</v>
      </c>
      <c r="F240" s="7" t="s">
        <v>1116</v>
      </c>
      <c r="G240" s="7" t="s">
        <v>1980</v>
      </c>
      <c r="H240" s="7" t="s">
        <v>68</v>
      </c>
      <c r="I240" s="10" t="n">
        <v>2500</v>
      </c>
      <c r="J240" s="7" t="s">
        <v>69</v>
      </c>
      <c r="K240" s="7" t="s">
        <v>1981</v>
      </c>
      <c r="L240" s="7" t="s">
        <v>1982</v>
      </c>
      <c r="M240" s="7" t="s">
        <v>1807</v>
      </c>
      <c r="N240" s="7" t="s">
        <v>1983</v>
      </c>
      <c r="O240" s="7"/>
      <c r="P240" s="7" t="s">
        <v>1984</v>
      </c>
      <c r="Q240" s="7"/>
      <c r="R240" s="7"/>
      <c r="S240" s="7"/>
      <c r="T240" s="7"/>
      <c r="U240" s="7"/>
    </row>
    <row r="241" customFormat="false" ht="15" hidden="false" customHeight="false" outlineLevel="0" collapsed="false">
      <c r="A241" s="7" t="s">
        <v>6</v>
      </c>
      <c r="B241" s="7" t="s">
        <v>1985</v>
      </c>
      <c r="C241" s="7" t="s">
        <v>35</v>
      </c>
      <c r="D241" s="7" t="s">
        <v>1986</v>
      </c>
      <c r="E241" s="7" t="s">
        <v>723</v>
      </c>
      <c r="F241" s="7" t="s">
        <v>105</v>
      </c>
      <c r="G241" s="7" t="s">
        <v>1987</v>
      </c>
      <c r="H241" s="7" t="s">
        <v>68</v>
      </c>
      <c r="I241" s="10" t="n">
        <v>2000</v>
      </c>
      <c r="J241" s="7" t="s">
        <v>69</v>
      </c>
      <c r="K241" s="7" t="s">
        <v>1988</v>
      </c>
      <c r="L241" s="7" t="s">
        <v>1989</v>
      </c>
      <c r="M241" s="7" t="s">
        <v>1826</v>
      </c>
      <c r="N241" s="7" t="s">
        <v>1990</v>
      </c>
      <c r="O241" s="7" t="s">
        <v>1991</v>
      </c>
      <c r="P241" s="7" t="s">
        <v>1992</v>
      </c>
      <c r="Q241" s="7"/>
      <c r="R241" s="7"/>
      <c r="S241" s="7"/>
      <c r="T241" s="7"/>
      <c r="U241" s="7"/>
    </row>
    <row r="242" customFormat="false" ht="15" hidden="false" customHeight="false" outlineLevel="0" collapsed="false">
      <c r="A242" s="7" t="s">
        <v>6</v>
      </c>
      <c r="B242" s="7" t="s">
        <v>1993</v>
      </c>
      <c r="C242" s="7" t="s">
        <v>35</v>
      </c>
      <c r="D242" s="7" t="s">
        <v>1994</v>
      </c>
      <c r="E242" s="7" t="s">
        <v>347</v>
      </c>
      <c r="F242" s="7" t="s">
        <v>348</v>
      </c>
      <c r="G242" s="7" t="s">
        <v>1995</v>
      </c>
      <c r="H242" s="7" t="s">
        <v>149</v>
      </c>
      <c r="I242" s="10" t="n">
        <v>1200</v>
      </c>
      <c r="J242" s="7" t="s">
        <v>69</v>
      </c>
      <c r="K242" s="7" t="s">
        <v>1460</v>
      </c>
      <c r="L242" s="7" t="s">
        <v>1996</v>
      </c>
      <c r="M242" s="7" t="s">
        <v>1807</v>
      </c>
      <c r="N242" s="7" t="s">
        <v>1997</v>
      </c>
      <c r="O242" s="7" t="s">
        <v>1998</v>
      </c>
      <c r="P242" s="7" t="s">
        <v>1843</v>
      </c>
      <c r="Q242" s="7"/>
      <c r="R242" s="7"/>
      <c r="S242" s="7"/>
      <c r="T242" s="7"/>
      <c r="U242" s="7"/>
    </row>
    <row r="243" customFormat="false" ht="15" hidden="false" customHeight="false" outlineLevel="0" collapsed="false">
      <c r="A243" s="7" t="s">
        <v>6</v>
      </c>
      <c r="B243" s="7" t="s">
        <v>1999</v>
      </c>
      <c r="C243" s="7" t="s">
        <v>35</v>
      </c>
      <c r="D243" s="7" t="s">
        <v>2000</v>
      </c>
      <c r="E243" s="7" t="s">
        <v>723</v>
      </c>
      <c r="F243" s="7" t="s">
        <v>105</v>
      </c>
      <c r="G243" s="7" t="s">
        <v>2001</v>
      </c>
      <c r="H243" s="7" t="s">
        <v>149</v>
      </c>
      <c r="I243" s="10" t="n">
        <v>1600</v>
      </c>
      <c r="J243" s="7" t="s">
        <v>69</v>
      </c>
      <c r="K243" s="7" t="s">
        <v>499</v>
      </c>
      <c r="L243" s="7" t="s">
        <v>2002</v>
      </c>
      <c r="M243" s="7" t="s">
        <v>1855</v>
      </c>
      <c r="N243" s="7" t="s">
        <v>2003</v>
      </c>
      <c r="O243" s="7" t="s">
        <v>2004</v>
      </c>
      <c r="P243" s="7" t="s">
        <v>2005</v>
      </c>
      <c r="Q243" s="7"/>
      <c r="R243" s="7"/>
      <c r="S243" s="7"/>
      <c r="T243" s="7"/>
      <c r="U243" s="7"/>
    </row>
    <row r="244" customFormat="false" ht="15" hidden="false" customHeight="false" outlineLevel="0" collapsed="false">
      <c r="A244" s="7" t="s">
        <v>6</v>
      </c>
      <c r="B244" s="7" t="s">
        <v>2006</v>
      </c>
      <c r="C244" s="7" t="s">
        <v>35</v>
      </c>
      <c r="D244" s="7" t="s">
        <v>2007</v>
      </c>
      <c r="E244" s="7" t="s">
        <v>264</v>
      </c>
      <c r="F244" s="7" t="s">
        <v>250</v>
      </c>
      <c r="G244" s="7" t="s">
        <v>2008</v>
      </c>
      <c r="H244" s="7" t="s">
        <v>149</v>
      </c>
      <c r="I244" s="10" t="n">
        <v>1500</v>
      </c>
      <c r="J244" s="7" t="s">
        <v>69</v>
      </c>
      <c r="K244" s="7" t="s">
        <v>2009</v>
      </c>
      <c r="L244" s="7" t="s">
        <v>2010</v>
      </c>
      <c r="M244" s="7" t="s">
        <v>1807</v>
      </c>
      <c r="N244" s="7" t="s">
        <v>2011</v>
      </c>
      <c r="O244" s="7" t="s">
        <v>2012</v>
      </c>
      <c r="P244" s="7" t="s">
        <v>2013</v>
      </c>
      <c r="Q244" s="7"/>
      <c r="R244" s="7"/>
      <c r="S244" s="7"/>
      <c r="T244" s="7"/>
      <c r="U244" s="7"/>
    </row>
    <row r="245" customFormat="false" ht="15" hidden="false" customHeight="false" outlineLevel="0" collapsed="false">
      <c r="A245" s="7" t="s">
        <v>6</v>
      </c>
      <c r="B245" s="7" t="s">
        <v>2014</v>
      </c>
      <c r="C245" s="7" t="s">
        <v>35</v>
      </c>
      <c r="D245" s="7" t="s">
        <v>2015</v>
      </c>
      <c r="E245" s="7" t="s">
        <v>2016</v>
      </c>
      <c r="F245" s="7" t="s">
        <v>338</v>
      </c>
      <c r="G245" s="7" t="s">
        <v>2017</v>
      </c>
      <c r="H245" s="7" t="s">
        <v>149</v>
      </c>
      <c r="I245" s="10" t="n">
        <v>2000</v>
      </c>
      <c r="J245" s="7" t="s">
        <v>69</v>
      </c>
      <c r="K245" s="7" t="s">
        <v>2018</v>
      </c>
      <c r="L245" s="7" t="s">
        <v>2019</v>
      </c>
      <c r="M245" s="7" t="s">
        <v>1807</v>
      </c>
      <c r="N245" s="7" t="s">
        <v>2020</v>
      </c>
      <c r="O245" s="7" t="s">
        <v>2021</v>
      </c>
      <c r="P245" s="7" t="s">
        <v>1928</v>
      </c>
      <c r="Q245" s="7"/>
      <c r="R245" s="7"/>
      <c r="S245" s="7"/>
      <c r="T245" s="7"/>
      <c r="U245" s="7"/>
    </row>
    <row r="246" customFormat="false" ht="15" hidden="false" customHeight="false" outlineLevel="0" collapsed="false">
      <c r="A246" s="7" t="s">
        <v>6</v>
      </c>
      <c r="B246" s="7" t="s">
        <v>2022</v>
      </c>
      <c r="C246" s="7" t="s">
        <v>35</v>
      </c>
      <c r="D246" s="7" t="s">
        <v>2023</v>
      </c>
      <c r="E246" s="7" t="s">
        <v>347</v>
      </c>
      <c r="F246" s="7" t="s">
        <v>348</v>
      </c>
      <c r="G246" s="7" t="s">
        <v>2024</v>
      </c>
      <c r="H246" s="7" t="s">
        <v>149</v>
      </c>
      <c r="I246" s="10" t="n">
        <v>1500</v>
      </c>
      <c r="J246" s="7" t="s">
        <v>69</v>
      </c>
      <c r="K246" s="7" t="s">
        <v>2025</v>
      </c>
      <c r="L246" s="7" t="s">
        <v>2026</v>
      </c>
      <c r="M246" s="7" t="s">
        <v>1807</v>
      </c>
      <c r="N246" s="7" t="s">
        <v>2027</v>
      </c>
      <c r="O246" s="7" t="s">
        <v>1991</v>
      </c>
      <c r="P246" s="7" t="s">
        <v>2028</v>
      </c>
      <c r="Q246" s="7"/>
      <c r="R246" s="7"/>
      <c r="S246" s="7"/>
      <c r="T246" s="7"/>
      <c r="U246" s="7"/>
    </row>
    <row r="247" customFormat="false" ht="15" hidden="false" customHeight="false" outlineLevel="0" collapsed="false">
      <c r="A247" s="7" t="s">
        <v>6</v>
      </c>
      <c r="B247" s="7" t="s">
        <v>2029</v>
      </c>
      <c r="C247" s="7" t="s">
        <v>35</v>
      </c>
      <c r="D247" s="7" t="s">
        <v>2030</v>
      </c>
      <c r="E247" s="7" t="s">
        <v>2031</v>
      </c>
      <c r="F247" s="7" t="s">
        <v>147</v>
      </c>
      <c r="G247" s="7" t="s">
        <v>2032</v>
      </c>
      <c r="H247" s="7" t="s">
        <v>149</v>
      </c>
      <c r="I247" s="10" t="n">
        <v>1500</v>
      </c>
      <c r="J247" s="7" t="s">
        <v>69</v>
      </c>
      <c r="K247" s="7" t="s">
        <v>2033</v>
      </c>
      <c r="L247" s="7"/>
      <c r="M247" s="7" t="s">
        <v>1855</v>
      </c>
      <c r="N247" s="7" t="s">
        <v>2034</v>
      </c>
      <c r="O247" s="7"/>
      <c r="P247" s="7" t="s">
        <v>2035</v>
      </c>
      <c r="Q247" s="7"/>
      <c r="R247" s="7"/>
      <c r="S247" s="7"/>
      <c r="T247" s="7"/>
      <c r="U247" s="7"/>
    </row>
    <row r="248" customFormat="false" ht="15" hidden="false" customHeight="false" outlineLevel="0" collapsed="false">
      <c r="A248" s="7" t="s">
        <v>6</v>
      </c>
      <c r="B248" s="7" t="s">
        <v>2036</v>
      </c>
      <c r="C248" s="7" t="s">
        <v>35</v>
      </c>
      <c r="D248" s="7" t="s">
        <v>2037</v>
      </c>
      <c r="E248" s="7" t="s">
        <v>650</v>
      </c>
      <c r="F248" s="7" t="s">
        <v>348</v>
      </c>
      <c r="G248" s="7" t="s">
        <v>2038</v>
      </c>
      <c r="H248" s="7" t="s">
        <v>149</v>
      </c>
      <c r="I248" s="10" t="n">
        <v>1200</v>
      </c>
      <c r="J248" s="7" t="s">
        <v>69</v>
      </c>
      <c r="K248" s="7" t="s">
        <v>2039</v>
      </c>
      <c r="L248" s="7" t="s">
        <v>2040</v>
      </c>
      <c r="M248" s="7" t="s">
        <v>1807</v>
      </c>
      <c r="N248" s="7" t="s">
        <v>2041</v>
      </c>
      <c r="O248" s="7" t="s">
        <v>2012</v>
      </c>
      <c r="P248" s="7" t="s">
        <v>2042</v>
      </c>
      <c r="Q248" s="7"/>
      <c r="R248" s="7"/>
      <c r="S248" s="7"/>
      <c r="T248" s="7"/>
      <c r="U248" s="7"/>
    </row>
    <row r="249" customFormat="false" ht="15" hidden="false" customHeight="false" outlineLevel="0" collapsed="false">
      <c r="A249" s="7" t="s">
        <v>6</v>
      </c>
      <c r="B249" s="7" t="s">
        <v>2043</v>
      </c>
      <c r="C249" s="7" t="s">
        <v>35</v>
      </c>
      <c r="D249" s="7" t="s">
        <v>2044</v>
      </c>
      <c r="E249" s="7" t="s">
        <v>347</v>
      </c>
      <c r="F249" s="7" t="s">
        <v>348</v>
      </c>
      <c r="G249" s="7" t="s">
        <v>2045</v>
      </c>
      <c r="H249" s="7" t="s">
        <v>149</v>
      </c>
      <c r="I249" s="10" t="n">
        <v>2000</v>
      </c>
      <c r="J249" s="7" t="s">
        <v>69</v>
      </c>
      <c r="K249" s="7" t="s">
        <v>1460</v>
      </c>
      <c r="L249" s="7" t="s">
        <v>2046</v>
      </c>
      <c r="M249" s="7" t="s">
        <v>1807</v>
      </c>
      <c r="N249" s="7" t="s">
        <v>2047</v>
      </c>
      <c r="O249" s="7" t="s">
        <v>2048</v>
      </c>
      <c r="P249" s="7" t="s">
        <v>1843</v>
      </c>
      <c r="Q249" s="7"/>
      <c r="R249" s="7"/>
      <c r="S249" s="7"/>
      <c r="T249" s="7"/>
      <c r="U249" s="7"/>
    </row>
    <row r="250" customFormat="false" ht="15" hidden="false" customHeight="false" outlineLevel="0" collapsed="false">
      <c r="A250" s="7" t="s">
        <v>6</v>
      </c>
      <c r="B250" s="7" t="s">
        <v>2049</v>
      </c>
      <c r="C250" s="7" t="s">
        <v>35</v>
      </c>
      <c r="D250" s="7" t="s">
        <v>2050</v>
      </c>
      <c r="E250" s="7" t="s">
        <v>1599</v>
      </c>
      <c r="F250" s="7" t="s">
        <v>78</v>
      </c>
      <c r="G250" s="7" t="s">
        <v>2051</v>
      </c>
      <c r="H250" s="7" t="s">
        <v>149</v>
      </c>
      <c r="I250" s="10" t="n">
        <v>1200</v>
      </c>
      <c r="J250" s="7" t="s">
        <v>69</v>
      </c>
      <c r="K250" s="7" t="s">
        <v>2052</v>
      </c>
      <c r="L250" s="7" t="s">
        <v>2053</v>
      </c>
      <c r="M250" s="7" t="s">
        <v>1855</v>
      </c>
      <c r="N250" s="7" t="s">
        <v>2054</v>
      </c>
      <c r="O250" s="7"/>
      <c r="P250" s="7" t="s">
        <v>2055</v>
      </c>
      <c r="Q250" s="7"/>
      <c r="R250" s="7"/>
      <c r="S250" s="7"/>
      <c r="T250" s="7"/>
      <c r="U250" s="7"/>
    </row>
    <row r="251" customFormat="false" ht="15" hidden="false" customHeight="false" outlineLevel="0" collapsed="false">
      <c r="A251" s="7" t="s">
        <v>6</v>
      </c>
      <c r="B251" s="7" t="s">
        <v>2056</v>
      </c>
      <c r="C251" s="7" t="s">
        <v>35</v>
      </c>
      <c r="D251" s="7" t="s">
        <v>2057</v>
      </c>
      <c r="E251" s="7" t="s">
        <v>1382</v>
      </c>
      <c r="F251" s="7" t="s">
        <v>348</v>
      </c>
      <c r="G251" s="7" t="s">
        <v>2058</v>
      </c>
      <c r="H251" s="7" t="s">
        <v>149</v>
      </c>
      <c r="I251" s="10" t="n">
        <v>1700</v>
      </c>
      <c r="J251" s="7" t="s">
        <v>69</v>
      </c>
      <c r="K251" s="7" t="s">
        <v>1361</v>
      </c>
      <c r="L251" s="7" t="s">
        <v>2059</v>
      </c>
      <c r="M251" s="7" t="s">
        <v>1855</v>
      </c>
      <c r="N251" s="7" t="s">
        <v>2060</v>
      </c>
      <c r="O251" s="7" t="s">
        <v>2061</v>
      </c>
      <c r="P251" s="7" t="s">
        <v>1810</v>
      </c>
      <c r="Q251" s="7"/>
      <c r="R251" s="7"/>
      <c r="S251" s="7"/>
      <c r="T251" s="7"/>
      <c r="U251" s="7"/>
    </row>
    <row r="252" customFormat="false" ht="15" hidden="false" customHeight="false" outlineLevel="0" collapsed="false">
      <c r="A252" s="7" t="s">
        <v>6</v>
      </c>
      <c r="B252" s="7" t="s">
        <v>2062</v>
      </c>
      <c r="C252" s="7" t="s">
        <v>35</v>
      </c>
      <c r="D252" s="7" t="s">
        <v>2063</v>
      </c>
      <c r="E252" s="7" t="s">
        <v>986</v>
      </c>
      <c r="F252" s="7" t="s">
        <v>215</v>
      </c>
      <c r="G252" s="7" t="s">
        <v>2064</v>
      </c>
      <c r="H252" s="7" t="s">
        <v>149</v>
      </c>
      <c r="I252" s="10" t="n">
        <v>1500</v>
      </c>
      <c r="J252" s="7" t="s">
        <v>69</v>
      </c>
      <c r="K252" s="7" t="s">
        <v>2065</v>
      </c>
      <c r="L252" s="7" t="s">
        <v>2066</v>
      </c>
      <c r="M252" s="7" t="s">
        <v>1807</v>
      </c>
      <c r="N252" s="7" t="s">
        <v>2067</v>
      </c>
      <c r="O252" s="7"/>
      <c r="P252" s="7" t="s">
        <v>1843</v>
      </c>
      <c r="Q252" s="7"/>
      <c r="R252" s="7"/>
      <c r="S252" s="7"/>
      <c r="T252" s="7"/>
      <c r="U252" s="7"/>
    </row>
    <row r="253" customFormat="false" ht="15" hidden="false" customHeight="false" outlineLevel="0" collapsed="false">
      <c r="A253" s="7" t="s">
        <v>6</v>
      </c>
      <c r="B253" s="7" t="s">
        <v>2068</v>
      </c>
      <c r="C253" s="7" t="s">
        <v>35</v>
      </c>
      <c r="D253" s="7" t="s">
        <v>2069</v>
      </c>
      <c r="E253" s="7" t="s">
        <v>146</v>
      </c>
      <c r="F253" s="7" t="s">
        <v>147</v>
      </c>
      <c r="G253" s="7" t="s">
        <v>2070</v>
      </c>
      <c r="H253" s="7" t="s">
        <v>149</v>
      </c>
      <c r="I253" s="10" t="n">
        <v>1500</v>
      </c>
      <c r="J253" s="7" t="s">
        <v>69</v>
      </c>
      <c r="K253" s="7" t="s">
        <v>1460</v>
      </c>
      <c r="L253" s="7" t="s">
        <v>2071</v>
      </c>
      <c r="M253" s="7" t="s">
        <v>1855</v>
      </c>
      <c r="N253" s="7" t="s">
        <v>2072</v>
      </c>
      <c r="O253" s="7" t="s">
        <v>2073</v>
      </c>
      <c r="P253" s="7" t="s">
        <v>1843</v>
      </c>
      <c r="Q253" s="7"/>
      <c r="R253" s="7"/>
      <c r="S253" s="7"/>
      <c r="T253" s="7"/>
      <c r="U253" s="7"/>
    </row>
    <row r="254" customFormat="false" ht="15" hidden="false" customHeight="false" outlineLevel="0" collapsed="false">
      <c r="A254" s="7" t="s">
        <v>6</v>
      </c>
      <c r="B254" s="7" t="s">
        <v>2074</v>
      </c>
      <c r="C254" s="7" t="s">
        <v>35</v>
      </c>
      <c r="D254" s="7" t="s">
        <v>2075</v>
      </c>
      <c r="E254" s="7" t="s">
        <v>2076</v>
      </c>
      <c r="F254" s="7" t="s">
        <v>78</v>
      </c>
      <c r="G254" s="7" t="s">
        <v>2077</v>
      </c>
      <c r="H254" s="7" t="s">
        <v>149</v>
      </c>
      <c r="I254" s="10" t="n">
        <v>800</v>
      </c>
      <c r="J254" s="7" t="s">
        <v>69</v>
      </c>
      <c r="K254" s="7" t="s">
        <v>2078</v>
      </c>
      <c r="L254" s="7" t="s">
        <v>2079</v>
      </c>
      <c r="M254" s="7" t="s">
        <v>1807</v>
      </c>
      <c r="N254" s="7" t="s">
        <v>2080</v>
      </c>
      <c r="O254" s="7" t="s">
        <v>2081</v>
      </c>
      <c r="P254" s="7" t="s">
        <v>2082</v>
      </c>
      <c r="Q254" s="7"/>
      <c r="R254" s="7"/>
      <c r="S254" s="7"/>
      <c r="T254" s="7"/>
      <c r="U254" s="7"/>
    </row>
    <row r="255" customFormat="false" ht="15" hidden="false" customHeight="false" outlineLevel="0" collapsed="false">
      <c r="A255" s="7" t="s">
        <v>6</v>
      </c>
      <c r="B255" s="7" t="s">
        <v>2083</v>
      </c>
      <c r="C255" s="7" t="s">
        <v>35</v>
      </c>
      <c r="D255" s="7" t="s">
        <v>2084</v>
      </c>
      <c r="E255" s="7" t="s">
        <v>2085</v>
      </c>
      <c r="F255" s="7" t="s">
        <v>78</v>
      </c>
      <c r="G255" s="7" t="s">
        <v>2086</v>
      </c>
      <c r="H255" s="7" t="s">
        <v>149</v>
      </c>
      <c r="I255" s="10" t="n">
        <v>2000</v>
      </c>
      <c r="J255" s="7" t="s">
        <v>69</v>
      </c>
      <c r="K255" s="7" t="s">
        <v>1460</v>
      </c>
      <c r="L255" s="7" t="s">
        <v>2087</v>
      </c>
      <c r="M255" s="7" t="s">
        <v>1807</v>
      </c>
      <c r="N255" s="7" t="s">
        <v>2088</v>
      </c>
      <c r="O255" s="7" t="s">
        <v>2089</v>
      </c>
      <c r="P255" s="7" t="s">
        <v>1843</v>
      </c>
      <c r="Q255" s="7"/>
      <c r="R255" s="7"/>
      <c r="S255" s="7"/>
      <c r="T255" s="7"/>
      <c r="U255" s="7"/>
    </row>
    <row r="256" customFormat="false" ht="15" hidden="false" customHeight="false" outlineLevel="0" collapsed="false">
      <c r="A256" s="7" t="s">
        <v>6</v>
      </c>
      <c r="B256" s="7" t="s">
        <v>2090</v>
      </c>
      <c r="C256" s="7" t="s">
        <v>35</v>
      </c>
      <c r="D256" s="7" t="s">
        <v>2091</v>
      </c>
      <c r="E256" s="7" t="s">
        <v>112</v>
      </c>
      <c r="F256" s="7" t="s">
        <v>113</v>
      </c>
      <c r="G256" s="7" t="s">
        <v>2092</v>
      </c>
      <c r="H256" s="7" t="s">
        <v>149</v>
      </c>
      <c r="I256" s="10" t="n">
        <v>800</v>
      </c>
      <c r="J256" s="7" t="s">
        <v>69</v>
      </c>
      <c r="K256" s="7" t="s">
        <v>1361</v>
      </c>
      <c r="L256" s="7" t="s">
        <v>2093</v>
      </c>
      <c r="M256" s="7" t="s">
        <v>1807</v>
      </c>
      <c r="N256" s="7" t="s">
        <v>2094</v>
      </c>
      <c r="O256" s="7" t="s">
        <v>2095</v>
      </c>
      <c r="P256" s="7" t="s">
        <v>2096</v>
      </c>
      <c r="Q256" s="7"/>
      <c r="R256" s="7"/>
      <c r="S256" s="7"/>
      <c r="T256" s="7"/>
      <c r="U256" s="7"/>
    </row>
    <row r="257" customFormat="false" ht="15" hidden="false" customHeight="false" outlineLevel="0" collapsed="false">
      <c r="A257" s="7" t="s">
        <v>6</v>
      </c>
      <c r="B257" s="7" t="s">
        <v>2097</v>
      </c>
      <c r="C257" s="7" t="s">
        <v>35</v>
      </c>
      <c r="D257" s="7" t="s">
        <v>2098</v>
      </c>
      <c r="E257" s="7" t="s">
        <v>112</v>
      </c>
      <c r="F257" s="7" t="s">
        <v>113</v>
      </c>
      <c r="G257" s="7" t="s">
        <v>2099</v>
      </c>
      <c r="H257" s="7" t="s">
        <v>149</v>
      </c>
      <c r="I257" s="10" t="n">
        <v>1500</v>
      </c>
      <c r="J257" s="7" t="s">
        <v>69</v>
      </c>
      <c r="K257" s="7" t="s">
        <v>2100</v>
      </c>
      <c r="L257" s="7" t="s">
        <v>2101</v>
      </c>
      <c r="M257" s="7" t="s">
        <v>1807</v>
      </c>
      <c r="N257" s="7" t="s">
        <v>2102</v>
      </c>
      <c r="O257" s="7" t="s">
        <v>2103</v>
      </c>
      <c r="P257" s="7" t="s">
        <v>2104</v>
      </c>
      <c r="Q257" s="7"/>
      <c r="R257" s="7"/>
      <c r="S257" s="7"/>
      <c r="T257" s="7"/>
      <c r="U257" s="7"/>
    </row>
    <row r="258" customFormat="false" ht="15" hidden="false" customHeight="false" outlineLevel="0" collapsed="false">
      <c r="A258" s="7" t="s">
        <v>6</v>
      </c>
      <c r="B258" s="7" t="s">
        <v>2105</v>
      </c>
      <c r="C258" s="7" t="s">
        <v>35</v>
      </c>
      <c r="D258" s="7" t="s">
        <v>2106</v>
      </c>
      <c r="E258" s="7" t="s">
        <v>970</v>
      </c>
      <c r="F258" s="7" t="s">
        <v>250</v>
      </c>
      <c r="G258" s="7" t="s">
        <v>2107</v>
      </c>
      <c r="H258" s="7" t="s">
        <v>149</v>
      </c>
      <c r="I258" s="10" t="n">
        <v>1400</v>
      </c>
      <c r="J258" s="7" t="s">
        <v>69</v>
      </c>
      <c r="K258" s="7" t="s">
        <v>1361</v>
      </c>
      <c r="L258" s="7" t="s">
        <v>2108</v>
      </c>
      <c r="M258" s="7" t="s">
        <v>1807</v>
      </c>
      <c r="N258" s="7" t="s">
        <v>2109</v>
      </c>
      <c r="O258" s="7" t="s">
        <v>2110</v>
      </c>
      <c r="P258" s="7" t="s">
        <v>2111</v>
      </c>
      <c r="Q258" s="7"/>
      <c r="R258" s="7"/>
      <c r="S258" s="7"/>
      <c r="T258" s="7"/>
      <c r="U258" s="7"/>
    </row>
    <row r="259" customFormat="false" ht="15" hidden="false" customHeight="false" outlineLevel="0" collapsed="false">
      <c r="A259" s="7" t="s">
        <v>6</v>
      </c>
      <c r="B259" s="7" t="s">
        <v>2112</v>
      </c>
      <c r="C259" s="7" t="s">
        <v>35</v>
      </c>
      <c r="D259" s="7" t="s">
        <v>2113</v>
      </c>
      <c r="E259" s="7" t="s">
        <v>264</v>
      </c>
      <c r="F259" s="7" t="s">
        <v>250</v>
      </c>
      <c r="G259" s="7" t="s">
        <v>2114</v>
      </c>
      <c r="H259" s="7" t="s">
        <v>149</v>
      </c>
      <c r="I259" s="10" t="n">
        <v>1500</v>
      </c>
      <c r="J259" s="7" t="s">
        <v>69</v>
      </c>
      <c r="K259" s="7" t="s">
        <v>2115</v>
      </c>
      <c r="L259" s="7" t="s">
        <v>2116</v>
      </c>
      <c r="M259" s="7" t="s">
        <v>1807</v>
      </c>
      <c r="N259" s="7" t="s">
        <v>2117</v>
      </c>
      <c r="O259" s="7"/>
      <c r="P259" s="7" t="s">
        <v>2118</v>
      </c>
      <c r="Q259" s="7"/>
      <c r="R259" s="7"/>
      <c r="S259" s="7"/>
      <c r="T259" s="7"/>
      <c r="U259" s="7"/>
    </row>
    <row r="260" customFormat="false" ht="15" hidden="false" customHeight="false" outlineLevel="0" collapsed="false">
      <c r="A260" s="7" t="s">
        <v>6</v>
      </c>
      <c r="B260" s="7" t="s">
        <v>2119</v>
      </c>
      <c r="C260" s="7" t="s">
        <v>35</v>
      </c>
      <c r="D260" s="7" t="s">
        <v>2120</v>
      </c>
      <c r="E260" s="7" t="s">
        <v>1735</v>
      </c>
      <c r="F260" s="7" t="s">
        <v>206</v>
      </c>
      <c r="G260" s="7" t="s">
        <v>2121</v>
      </c>
      <c r="H260" s="7" t="s">
        <v>149</v>
      </c>
      <c r="I260" s="10" t="n">
        <v>1500</v>
      </c>
      <c r="J260" s="7" t="s">
        <v>69</v>
      </c>
      <c r="K260" s="7" t="s">
        <v>1460</v>
      </c>
      <c r="L260" s="7"/>
      <c r="M260" s="7" t="s">
        <v>1807</v>
      </c>
      <c r="N260" s="7" t="s">
        <v>2122</v>
      </c>
      <c r="O260" s="7" t="s">
        <v>2123</v>
      </c>
      <c r="P260" s="7" t="s">
        <v>1843</v>
      </c>
      <c r="Q260" s="7"/>
      <c r="R260" s="7"/>
      <c r="S260" s="7"/>
      <c r="T260" s="7"/>
      <c r="U260" s="7"/>
    </row>
    <row r="261" customFormat="false" ht="15" hidden="false" customHeight="false" outlineLevel="0" collapsed="false">
      <c r="A261" s="7" t="s">
        <v>6</v>
      </c>
      <c r="B261" s="7" t="s">
        <v>2124</v>
      </c>
      <c r="C261" s="7" t="s">
        <v>35</v>
      </c>
      <c r="D261" s="7" t="s">
        <v>2125</v>
      </c>
      <c r="E261" s="7" t="s">
        <v>2126</v>
      </c>
      <c r="F261" s="7" t="s">
        <v>854</v>
      </c>
      <c r="G261" s="7" t="s">
        <v>2127</v>
      </c>
      <c r="H261" s="7" t="s">
        <v>149</v>
      </c>
      <c r="I261" s="10" t="n">
        <v>1500</v>
      </c>
      <c r="J261" s="7" t="s">
        <v>69</v>
      </c>
      <c r="K261" s="7" t="s">
        <v>2128</v>
      </c>
      <c r="L261" s="7" t="s">
        <v>2129</v>
      </c>
      <c r="M261" s="7" t="s">
        <v>1807</v>
      </c>
      <c r="N261" s="7" t="s">
        <v>2130</v>
      </c>
      <c r="O261" s="7"/>
      <c r="P261" s="7" t="s">
        <v>1928</v>
      </c>
      <c r="Q261" s="7"/>
      <c r="R261" s="7"/>
      <c r="S261" s="7"/>
      <c r="T261" s="7"/>
      <c r="U261" s="7"/>
    </row>
    <row r="262" customFormat="false" ht="15" hidden="false" customHeight="false" outlineLevel="0" collapsed="false">
      <c r="A262" s="7" t="s">
        <v>6</v>
      </c>
      <c r="B262" s="7" t="s">
        <v>2131</v>
      </c>
      <c r="C262" s="7" t="s">
        <v>35</v>
      </c>
      <c r="D262" s="7" t="s">
        <v>1994</v>
      </c>
      <c r="E262" s="7" t="s">
        <v>1245</v>
      </c>
      <c r="F262" s="7" t="s">
        <v>78</v>
      </c>
      <c r="G262" s="7" t="s">
        <v>2132</v>
      </c>
      <c r="H262" s="7" t="s">
        <v>149</v>
      </c>
      <c r="I262" s="10" t="n">
        <v>1500</v>
      </c>
      <c r="J262" s="7" t="s">
        <v>69</v>
      </c>
      <c r="K262" s="7" t="s">
        <v>751</v>
      </c>
      <c r="L262" s="7" t="s">
        <v>2133</v>
      </c>
      <c r="M262" s="7" t="s">
        <v>1807</v>
      </c>
      <c r="N262" s="7" t="s">
        <v>2134</v>
      </c>
      <c r="O262" s="7" t="s">
        <v>2012</v>
      </c>
      <c r="P262" s="7" t="s">
        <v>2135</v>
      </c>
      <c r="Q262" s="7"/>
      <c r="R262" s="7"/>
      <c r="S262" s="7"/>
      <c r="T262" s="7"/>
      <c r="U262" s="7"/>
    </row>
    <row r="263" customFormat="false" ht="15" hidden="false" customHeight="false" outlineLevel="0" collapsed="false">
      <c r="A263" s="7" t="s">
        <v>6</v>
      </c>
      <c r="B263" s="7" t="s">
        <v>2136</v>
      </c>
      <c r="C263" s="7" t="s">
        <v>35</v>
      </c>
      <c r="D263" s="7" t="s">
        <v>2137</v>
      </c>
      <c r="E263" s="7" t="s">
        <v>1867</v>
      </c>
      <c r="F263" s="7" t="s">
        <v>78</v>
      </c>
      <c r="G263" s="7" t="s">
        <v>2138</v>
      </c>
      <c r="H263" s="7" t="s">
        <v>149</v>
      </c>
      <c r="I263" s="10" t="n">
        <v>1500</v>
      </c>
      <c r="J263" s="7" t="s">
        <v>69</v>
      </c>
      <c r="K263" s="7" t="s">
        <v>2139</v>
      </c>
      <c r="L263" s="7" t="s">
        <v>2140</v>
      </c>
      <c r="M263" s="7" t="s">
        <v>1807</v>
      </c>
      <c r="N263" s="7" t="s">
        <v>2141</v>
      </c>
      <c r="O263" s="7" t="s">
        <v>2142</v>
      </c>
      <c r="P263" s="7" t="s">
        <v>2143</v>
      </c>
      <c r="Q263" s="7"/>
      <c r="R263" s="7"/>
      <c r="S263" s="7"/>
      <c r="T263" s="7"/>
      <c r="U263" s="7"/>
    </row>
    <row r="264" customFormat="false" ht="15" hidden="false" customHeight="false" outlineLevel="0" collapsed="false">
      <c r="A264" s="7" t="s">
        <v>6</v>
      </c>
      <c r="B264" s="7" t="s">
        <v>2144</v>
      </c>
      <c r="C264" s="7" t="s">
        <v>35</v>
      </c>
      <c r="D264" s="7" t="s">
        <v>2145</v>
      </c>
      <c r="E264" s="7" t="s">
        <v>264</v>
      </c>
      <c r="F264" s="7" t="s">
        <v>250</v>
      </c>
      <c r="G264" s="7" t="s">
        <v>2146</v>
      </c>
      <c r="H264" s="7" t="s">
        <v>149</v>
      </c>
      <c r="I264" s="10" t="n">
        <v>2000</v>
      </c>
      <c r="J264" s="7" t="s">
        <v>69</v>
      </c>
      <c r="K264" s="7" t="s">
        <v>2147</v>
      </c>
      <c r="L264" s="7" t="s">
        <v>2148</v>
      </c>
      <c r="M264" s="7" t="s">
        <v>2149</v>
      </c>
      <c r="N264" s="7" t="s">
        <v>2150</v>
      </c>
      <c r="O264" s="7"/>
      <c r="P264" s="7" t="s">
        <v>2104</v>
      </c>
      <c r="Q264" s="7"/>
      <c r="R264" s="7"/>
      <c r="S264" s="7"/>
      <c r="T264" s="7"/>
      <c r="U264" s="7"/>
    </row>
    <row r="265" customFormat="false" ht="15" hidden="false" customHeight="false" outlineLevel="0" collapsed="false">
      <c r="A265" s="7" t="s">
        <v>6</v>
      </c>
      <c r="B265" s="7" t="s">
        <v>2151</v>
      </c>
      <c r="C265" s="7" t="s">
        <v>35</v>
      </c>
      <c r="D265" s="7" t="s">
        <v>2152</v>
      </c>
      <c r="E265" s="7" t="s">
        <v>2153</v>
      </c>
      <c r="F265" s="7" t="s">
        <v>78</v>
      </c>
      <c r="G265" s="7" t="s">
        <v>2154</v>
      </c>
      <c r="H265" s="7" t="s">
        <v>149</v>
      </c>
      <c r="I265" s="10" t="n">
        <v>1600</v>
      </c>
      <c r="J265" s="7" t="s">
        <v>69</v>
      </c>
      <c r="K265" s="7" t="s">
        <v>2155</v>
      </c>
      <c r="L265" s="7" t="s">
        <v>2156</v>
      </c>
      <c r="M265" s="7" t="s">
        <v>1807</v>
      </c>
      <c r="N265" s="7" t="s">
        <v>2157</v>
      </c>
      <c r="O265" s="7" t="s">
        <v>2158</v>
      </c>
      <c r="P265" s="7" t="s">
        <v>2159</v>
      </c>
      <c r="Q265" s="7"/>
      <c r="R265" s="7"/>
      <c r="S265" s="7"/>
      <c r="T265" s="7"/>
      <c r="U265" s="7"/>
    </row>
    <row r="266" customFormat="false" ht="15" hidden="false" customHeight="false" outlineLevel="0" collapsed="false">
      <c r="A266" s="7" t="s">
        <v>6</v>
      </c>
      <c r="B266" s="7" t="s">
        <v>2160</v>
      </c>
      <c r="C266" s="7" t="s">
        <v>35</v>
      </c>
      <c r="D266" s="7" t="s">
        <v>2161</v>
      </c>
      <c r="E266" s="7" t="s">
        <v>136</v>
      </c>
      <c r="F266" s="7" t="s">
        <v>137</v>
      </c>
      <c r="G266" s="7" t="s">
        <v>2162</v>
      </c>
      <c r="H266" s="7" t="s">
        <v>149</v>
      </c>
      <c r="I266" s="10" t="n">
        <v>1000</v>
      </c>
      <c r="J266" s="7" t="s">
        <v>69</v>
      </c>
      <c r="K266" s="7" t="s">
        <v>2163</v>
      </c>
      <c r="L266" s="7" t="s">
        <v>2164</v>
      </c>
      <c r="M266" s="7" t="s">
        <v>1855</v>
      </c>
      <c r="N266" s="7" t="s">
        <v>2165</v>
      </c>
      <c r="O266" s="7" t="s">
        <v>1818</v>
      </c>
      <c r="P266" s="7" t="s">
        <v>2166</v>
      </c>
      <c r="Q266" s="7"/>
      <c r="R266" s="7"/>
      <c r="S266" s="7"/>
      <c r="T266" s="7"/>
      <c r="U266" s="7"/>
    </row>
    <row r="267" customFormat="false" ht="15" hidden="false" customHeight="false" outlineLevel="0" collapsed="false">
      <c r="A267" s="7" t="s">
        <v>6</v>
      </c>
      <c r="B267" s="7" t="s">
        <v>2167</v>
      </c>
      <c r="C267" s="7" t="s">
        <v>35</v>
      </c>
      <c r="D267" s="7" t="s">
        <v>2168</v>
      </c>
      <c r="E267" s="7" t="s">
        <v>2169</v>
      </c>
      <c r="F267" s="7" t="s">
        <v>222</v>
      </c>
      <c r="G267" s="7" t="s">
        <v>2170</v>
      </c>
      <c r="H267" s="7" t="s">
        <v>149</v>
      </c>
      <c r="I267" s="10" t="n">
        <v>1300</v>
      </c>
      <c r="J267" s="7" t="s">
        <v>69</v>
      </c>
      <c r="K267" s="7" t="s">
        <v>1460</v>
      </c>
      <c r="L267" s="7" t="s">
        <v>2171</v>
      </c>
      <c r="M267" s="7" t="s">
        <v>1807</v>
      </c>
      <c r="N267" s="7" t="s">
        <v>2172</v>
      </c>
      <c r="O267" s="7" t="s">
        <v>1991</v>
      </c>
      <c r="P267" s="7" t="s">
        <v>1843</v>
      </c>
      <c r="Q267" s="7"/>
      <c r="R267" s="7"/>
      <c r="S267" s="7"/>
      <c r="T267" s="7"/>
      <c r="U267" s="7"/>
    </row>
    <row r="268" customFormat="false" ht="15" hidden="false" customHeight="false" outlineLevel="0" collapsed="false">
      <c r="A268" s="7" t="s">
        <v>6</v>
      </c>
      <c r="B268" s="7" t="s">
        <v>2173</v>
      </c>
      <c r="C268" s="7" t="s">
        <v>35</v>
      </c>
      <c r="D268" s="7" t="s">
        <v>2174</v>
      </c>
      <c r="E268" s="7" t="s">
        <v>264</v>
      </c>
      <c r="F268" s="7" t="s">
        <v>250</v>
      </c>
      <c r="G268" s="7" t="s">
        <v>2175</v>
      </c>
      <c r="H268" s="7" t="s">
        <v>174</v>
      </c>
      <c r="I268" s="10" t="n">
        <v>600</v>
      </c>
      <c r="J268" s="7" t="s">
        <v>69</v>
      </c>
      <c r="K268" s="7" t="s">
        <v>2176</v>
      </c>
      <c r="L268" s="7" t="s">
        <v>2177</v>
      </c>
      <c r="M268" s="7" t="s">
        <v>1807</v>
      </c>
      <c r="N268" s="7" t="s">
        <v>2178</v>
      </c>
      <c r="O268" s="7" t="s">
        <v>2179</v>
      </c>
      <c r="P268" s="7" t="s">
        <v>2180</v>
      </c>
      <c r="Q268" s="7"/>
      <c r="R268" s="7"/>
      <c r="S268" s="7"/>
      <c r="T268" s="7"/>
      <c r="U268" s="7"/>
    </row>
    <row r="269" customFormat="false" ht="15" hidden="false" customHeight="false" outlineLevel="0" collapsed="false">
      <c r="A269" s="7" t="s">
        <v>6</v>
      </c>
      <c r="B269" s="7" t="s">
        <v>2181</v>
      </c>
      <c r="C269" s="7" t="s">
        <v>35</v>
      </c>
      <c r="D269" s="7" t="s">
        <v>2182</v>
      </c>
      <c r="E269" s="7" t="s">
        <v>77</v>
      </c>
      <c r="F269" s="7" t="s">
        <v>78</v>
      </c>
      <c r="G269" s="7" t="s">
        <v>2183</v>
      </c>
      <c r="H269" s="7" t="s">
        <v>174</v>
      </c>
      <c r="I269" s="10" t="n">
        <v>700</v>
      </c>
      <c r="J269" s="7" t="s">
        <v>69</v>
      </c>
      <c r="K269" s="7" t="s">
        <v>1924</v>
      </c>
      <c r="L269" s="7" t="s">
        <v>2184</v>
      </c>
      <c r="M269" s="7" t="s">
        <v>1807</v>
      </c>
      <c r="N269" s="7" t="s">
        <v>2185</v>
      </c>
      <c r="O269" s="7" t="s">
        <v>2186</v>
      </c>
      <c r="P269" s="7" t="s">
        <v>1928</v>
      </c>
      <c r="Q269" s="7"/>
      <c r="R269" s="7"/>
      <c r="S269" s="7"/>
      <c r="T269" s="7"/>
      <c r="U269" s="7"/>
    </row>
    <row r="270" customFormat="false" ht="15" hidden="false" customHeight="false" outlineLevel="0" collapsed="false">
      <c r="A270" s="7" t="s">
        <v>6</v>
      </c>
      <c r="B270" s="7" t="s">
        <v>2187</v>
      </c>
      <c r="C270" s="7" t="s">
        <v>35</v>
      </c>
      <c r="D270" s="7" t="s">
        <v>2188</v>
      </c>
      <c r="E270" s="7" t="s">
        <v>2189</v>
      </c>
      <c r="F270" s="7" t="s">
        <v>428</v>
      </c>
      <c r="G270" s="7" t="s">
        <v>2190</v>
      </c>
      <c r="H270" s="7" t="s">
        <v>174</v>
      </c>
      <c r="I270" s="10" t="n">
        <v>600</v>
      </c>
      <c r="J270" s="7" t="s">
        <v>69</v>
      </c>
      <c r="K270" s="7" t="s">
        <v>1460</v>
      </c>
      <c r="L270" s="7" t="s">
        <v>2191</v>
      </c>
      <c r="M270" s="7" t="s">
        <v>1807</v>
      </c>
      <c r="N270" s="7" t="s">
        <v>2192</v>
      </c>
      <c r="O270" s="7" t="s">
        <v>2193</v>
      </c>
      <c r="P270" s="7" t="s">
        <v>2194</v>
      </c>
      <c r="Q270" s="7"/>
      <c r="R270" s="7"/>
      <c r="S270" s="7"/>
      <c r="T270" s="7"/>
      <c r="U270" s="7"/>
    </row>
    <row r="271" customFormat="false" ht="15" hidden="false" customHeight="false" outlineLevel="0" collapsed="false">
      <c r="A271" s="7" t="s">
        <v>6</v>
      </c>
      <c r="B271" s="7" t="s">
        <v>2195</v>
      </c>
      <c r="C271" s="7" t="s">
        <v>35</v>
      </c>
      <c r="D271" s="7" t="s">
        <v>2196</v>
      </c>
      <c r="E271" s="7" t="s">
        <v>549</v>
      </c>
      <c r="F271" s="7" t="s">
        <v>147</v>
      </c>
      <c r="G271" s="7" t="s">
        <v>2197</v>
      </c>
      <c r="H271" s="7" t="s">
        <v>174</v>
      </c>
      <c r="I271" s="10" t="n">
        <v>1000</v>
      </c>
      <c r="J271" s="7" t="s">
        <v>69</v>
      </c>
      <c r="K271" s="7" t="s">
        <v>1460</v>
      </c>
      <c r="L271" s="7"/>
      <c r="M271" s="7" t="s">
        <v>1807</v>
      </c>
      <c r="N271" s="7" t="s">
        <v>2198</v>
      </c>
      <c r="O271" s="7" t="s">
        <v>2199</v>
      </c>
      <c r="P271" s="7" t="s">
        <v>1843</v>
      </c>
      <c r="Q271" s="7"/>
      <c r="R271" s="7"/>
      <c r="S271" s="7"/>
      <c r="T271" s="7"/>
      <c r="U271" s="7"/>
    </row>
    <row r="272" customFormat="false" ht="15" hidden="false" customHeight="false" outlineLevel="0" collapsed="false">
      <c r="A272" s="7" t="s">
        <v>6</v>
      </c>
      <c r="B272" s="7" t="s">
        <v>2200</v>
      </c>
      <c r="C272" s="7" t="s">
        <v>35</v>
      </c>
      <c r="D272" s="7" t="s">
        <v>2201</v>
      </c>
      <c r="E272" s="7" t="s">
        <v>1535</v>
      </c>
      <c r="F272" s="7" t="s">
        <v>78</v>
      </c>
      <c r="G272" s="7" t="s">
        <v>2202</v>
      </c>
      <c r="H272" s="7" t="s">
        <v>174</v>
      </c>
      <c r="I272" s="10" t="n">
        <v>900</v>
      </c>
      <c r="J272" s="7" t="s">
        <v>69</v>
      </c>
      <c r="K272" s="7" t="s">
        <v>1988</v>
      </c>
      <c r="L272" s="7" t="s">
        <v>2203</v>
      </c>
      <c r="M272" s="7" t="s">
        <v>1807</v>
      </c>
      <c r="N272" s="7" t="s">
        <v>2204</v>
      </c>
      <c r="O272" s="7" t="s">
        <v>2012</v>
      </c>
      <c r="P272" s="7" t="s">
        <v>2180</v>
      </c>
      <c r="Q272" s="7"/>
      <c r="R272" s="7"/>
      <c r="S272" s="7"/>
      <c r="T272" s="7"/>
      <c r="U272" s="7"/>
    </row>
    <row r="273" customFormat="false" ht="15" hidden="false" customHeight="false" outlineLevel="0" collapsed="false">
      <c r="A273" s="7" t="s">
        <v>6</v>
      </c>
      <c r="B273" s="7" t="s">
        <v>2205</v>
      </c>
      <c r="C273" s="7" t="s">
        <v>35</v>
      </c>
      <c r="D273" s="7" t="s">
        <v>2206</v>
      </c>
      <c r="E273" s="7" t="s">
        <v>264</v>
      </c>
      <c r="F273" s="7" t="s">
        <v>250</v>
      </c>
      <c r="G273" s="7" t="s">
        <v>2207</v>
      </c>
      <c r="H273" s="7" t="s">
        <v>174</v>
      </c>
      <c r="I273" s="10" t="n">
        <v>1200</v>
      </c>
      <c r="J273" s="7" t="s">
        <v>69</v>
      </c>
      <c r="K273" s="7" t="s">
        <v>819</v>
      </c>
      <c r="L273" s="7" t="s">
        <v>2208</v>
      </c>
      <c r="M273" s="7" t="s">
        <v>1855</v>
      </c>
      <c r="N273" s="7" t="s">
        <v>2209</v>
      </c>
      <c r="O273" s="7"/>
      <c r="P273" s="7" t="s">
        <v>2210</v>
      </c>
      <c r="Q273" s="7"/>
      <c r="R273" s="7"/>
      <c r="S273" s="7"/>
      <c r="T273" s="7"/>
      <c r="U273" s="7"/>
    </row>
    <row r="274" customFormat="false" ht="15" hidden="false" customHeight="false" outlineLevel="0" collapsed="false">
      <c r="A274" s="7" t="s">
        <v>6</v>
      </c>
      <c r="B274" s="7" t="s">
        <v>2211</v>
      </c>
      <c r="C274" s="7" t="s">
        <v>35</v>
      </c>
      <c r="D274" s="7" t="s">
        <v>2212</v>
      </c>
      <c r="E274" s="7" t="s">
        <v>2213</v>
      </c>
      <c r="F274" s="7" t="s">
        <v>600</v>
      </c>
      <c r="G274" s="7" t="s">
        <v>2214</v>
      </c>
      <c r="H274" s="7" t="s">
        <v>174</v>
      </c>
      <c r="I274" s="10" t="n">
        <v>900</v>
      </c>
      <c r="J274" s="7" t="s">
        <v>69</v>
      </c>
      <c r="K274" s="7" t="s">
        <v>1361</v>
      </c>
      <c r="L274" s="7" t="s">
        <v>2215</v>
      </c>
      <c r="M274" s="7" t="s">
        <v>1807</v>
      </c>
      <c r="N274" s="7" t="s">
        <v>2216</v>
      </c>
      <c r="O274" s="7" t="s">
        <v>2217</v>
      </c>
      <c r="P274" s="7" t="s">
        <v>1810</v>
      </c>
      <c r="Q274" s="7"/>
      <c r="R274" s="7"/>
      <c r="S274" s="7"/>
      <c r="T274" s="7"/>
      <c r="U274" s="7"/>
    </row>
    <row r="275" customFormat="false" ht="15" hidden="false" customHeight="false" outlineLevel="0" collapsed="false">
      <c r="A275" s="7" t="s">
        <v>6</v>
      </c>
      <c r="B275" s="7" t="s">
        <v>2218</v>
      </c>
      <c r="C275" s="7" t="s">
        <v>35</v>
      </c>
      <c r="D275" s="7" t="s">
        <v>2219</v>
      </c>
      <c r="E275" s="7" t="s">
        <v>2220</v>
      </c>
      <c r="F275" s="7" t="s">
        <v>155</v>
      </c>
      <c r="G275" s="7" t="s">
        <v>2221</v>
      </c>
      <c r="H275" s="7" t="s">
        <v>174</v>
      </c>
      <c r="I275" s="10" t="n">
        <v>700</v>
      </c>
      <c r="J275" s="7" t="s">
        <v>69</v>
      </c>
      <c r="K275" s="7" t="s">
        <v>1032</v>
      </c>
      <c r="L275" s="7" t="s">
        <v>2222</v>
      </c>
      <c r="M275" s="7" t="s">
        <v>1855</v>
      </c>
      <c r="N275" s="7" t="s">
        <v>2223</v>
      </c>
      <c r="O275" s="7"/>
      <c r="P275" s="7" t="s">
        <v>2224</v>
      </c>
      <c r="Q275" s="7"/>
      <c r="R275" s="7"/>
      <c r="S275" s="7"/>
      <c r="T275" s="7"/>
      <c r="U275" s="7"/>
    </row>
    <row r="276" customFormat="false" ht="15" hidden="false" customHeight="false" outlineLevel="0" collapsed="false">
      <c r="A276" s="7" t="s">
        <v>6</v>
      </c>
      <c r="B276" s="7" t="s">
        <v>2225</v>
      </c>
      <c r="C276" s="7" t="s">
        <v>35</v>
      </c>
      <c r="D276" s="7" t="s">
        <v>2226</v>
      </c>
      <c r="E276" s="7" t="s">
        <v>1245</v>
      </c>
      <c r="F276" s="7" t="s">
        <v>78</v>
      </c>
      <c r="G276" s="7" t="s">
        <v>2227</v>
      </c>
      <c r="H276" s="7" t="s">
        <v>174</v>
      </c>
      <c r="I276" s="10" t="n">
        <v>800</v>
      </c>
      <c r="J276" s="7" t="s">
        <v>69</v>
      </c>
      <c r="K276" s="7" t="s">
        <v>1460</v>
      </c>
      <c r="L276" s="7" t="s">
        <v>2228</v>
      </c>
      <c r="M276" s="7" t="s">
        <v>1807</v>
      </c>
      <c r="N276" s="7" t="s">
        <v>2229</v>
      </c>
      <c r="O276" s="7"/>
      <c r="P276" s="7" t="s">
        <v>1843</v>
      </c>
      <c r="Q276" s="7"/>
      <c r="R276" s="7"/>
      <c r="S276" s="7"/>
      <c r="T276" s="7"/>
      <c r="U276" s="7"/>
    </row>
    <row r="277" customFormat="false" ht="15" hidden="false" customHeight="false" outlineLevel="0" collapsed="false">
      <c r="A277" s="7" t="s">
        <v>6</v>
      </c>
      <c r="B277" s="7" t="s">
        <v>2230</v>
      </c>
      <c r="C277" s="7" t="s">
        <v>35</v>
      </c>
      <c r="D277" s="7" t="s">
        <v>2231</v>
      </c>
      <c r="E277" s="7" t="s">
        <v>112</v>
      </c>
      <c r="F277" s="7" t="s">
        <v>113</v>
      </c>
      <c r="G277" s="7" t="s">
        <v>2232</v>
      </c>
      <c r="H277" s="7" t="s">
        <v>174</v>
      </c>
      <c r="I277" s="10" t="n">
        <v>800</v>
      </c>
      <c r="J277" s="7" t="s">
        <v>69</v>
      </c>
      <c r="K277" s="7" t="s">
        <v>499</v>
      </c>
      <c r="L277" s="7" t="s">
        <v>2233</v>
      </c>
      <c r="M277" s="7" t="s">
        <v>1807</v>
      </c>
      <c r="N277" s="7" t="s">
        <v>2234</v>
      </c>
      <c r="O277" s="7" t="s">
        <v>1991</v>
      </c>
      <c r="P277" s="7" t="s">
        <v>2235</v>
      </c>
      <c r="Q277" s="7"/>
      <c r="R277" s="7"/>
      <c r="S277" s="7"/>
      <c r="T277" s="7"/>
      <c r="U277" s="7"/>
    </row>
    <row r="278" customFormat="false" ht="15" hidden="false" customHeight="false" outlineLevel="0" collapsed="false">
      <c r="A278" s="7" t="s">
        <v>6</v>
      </c>
      <c r="B278" s="7" t="s">
        <v>2236</v>
      </c>
      <c r="C278" s="7" t="s">
        <v>35</v>
      </c>
      <c r="D278" s="7" t="s">
        <v>2237</v>
      </c>
      <c r="E278" s="7" t="s">
        <v>1507</v>
      </c>
      <c r="F278" s="7" t="s">
        <v>105</v>
      </c>
      <c r="G278" s="7" t="s">
        <v>2238</v>
      </c>
      <c r="H278" s="7" t="s">
        <v>174</v>
      </c>
      <c r="I278" s="10" t="n">
        <v>1200</v>
      </c>
      <c r="J278" s="7" t="s">
        <v>69</v>
      </c>
      <c r="K278" s="7" t="s">
        <v>1460</v>
      </c>
      <c r="L278" s="7" t="s">
        <v>2239</v>
      </c>
      <c r="M278" s="7" t="s">
        <v>1855</v>
      </c>
      <c r="N278" s="7" t="s">
        <v>2240</v>
      </c>
      <c r="O278" s="7" t="s">
        <v>2241</v>
      </c>
      <c r="P278" s="7" t="s">
        <v>1843</v>
      </c>
      <c r="Q278" s="7"/>
      <c r="R278" s="7"/>
      <c r="S278" s="7"/>
      <c r="T278" s="7"/>
      <c r="U278" s="7"/>
    </row>
    <row r="279" customFormat="false" ht="15" hidden="false" customHeight="false" outlineLevel="0" collapsed="false">
      <c r="A279" s="7" t="s">
        <v>6</v>
      </c>
      <c r="B279" s="7" t="s">
        <v>2242</v>
      </c>
      <c r="C279" s="7" t="s">
        <v>35</v>
      </c>
      <c r="D279" s="7" t="s">
        <v>2243</v>
      </c>
      <c r="E279" s="7" t="s">
        <v>347</v>
      </c>
      <c r="F279" s="7" t="s">
        <v>348</v>
      </c>
      <c r="G279" s="7" t="s">
        <v>2244</v>
      </c>
      <c r="H279" s="7" t="s">
        <v>174</v>
      </c>
      <c r="I279" s="10" t="n">
        <v>500</v>
      </c>
      <c r="J279" s="7" t="s">
        <v>69</v>
      </c>
      <c r="K279" s="7" t="s">
        <v>1924</v>
      </c>
      <c r="L279" s="7" t="s">
        <v>2245</v>
      </c>
      <c r="M279" s="7" t="s">
        <v>1855</v>
      </c>
      <c r="N279" s="7" t="s">
        <v>2246</v>
      </c>
      <c r="O279" s="7" t="s">
        <v>2247</v>
      </c>
      <c r="P279" s="7" t="s">
        <v>2248</v>
      </c>
      <c r="Q279" s="7"/>
      <c r="R279" s="7"/>
      <c r="S279" s="7"/>
      <c r="T279" s="7"/>
      <c r="U279" s="7"/>
    </row>
    <row r="280" customFormat="false" ht="15" hidden="false" customHeight="false" outlineLevel="0" collapsed="false">
      <c r="A280" s="7" t="s">
        <v>6</v>
      </c>
      <c r="B280" s="7" t="s">
        <v>2249</v>
      </c>
      <c r="C280" s="7" t="s">
        <v>35</v>
      </c>
      <c r="D280" s="7" t="s">
        <v>2250</v>
      </c>
      <c r="E280" s="7" t="s">
        <v>2251</v>
      </c>
      <c r="F280" s="7" t="s">
        <v>78</v>
      </c>
      <c r="G280" s="7" t="s">
        <v>2252</v>
      </c>
      <c r="H280" s="7" t="s">
        <v>174</v>
      </c>
      <c r="I280" s="10" t="n">
        <v>1000</v>
      </c>
      <c r="J280" s="7" t="s">
        <v>69</v>
      </c>
      <c r="K280" s="7" t="s">
        <v>1460</v>
      </c>
      <c r="L280" s="7" t="s">
        <v>2253</v>
      </c>
      <c r="M280" s="7" t="s">
        <v>2149</v>
      </c>
      <c r="N280" s="7" t="s">
        <v>2254</v>
      </c>
      <c r="O280" s="7" t="s">
        <v>2255</v>
      </c>
      <c r="P280" s="7" t="s">
        <v>1843</v>
      </c>
      <c r="Q280" s="7"/>
      <c r="R280" s="7"/>
      <c r="S280" s="7"/>
      <c r="T280" s="7"/>
      <c r="U280" s="7"/>
    </row>
    <row r="281" customFormat="false" ht="15" hidden="false" customHeight="false" outlineLevel="0" collapsed="false">
      <c r="A281" s="7" t="s">
        <v>6</v>
      </c>
      <c r="B281" s="7" t="s">
        <v>2256</v>
      </c>
      <c r="C281" s="7" t="s">
        <v>35</v>
      </c>
      <c r="D281" s="7" t="s">
        <v>2257</v>
      </c>
      <c r="E281" s="7" t="s">
        <v>2189</v>
      </c>
      <c r="F281" s="7" t="s">
        <v>428</v>
      </c>
      <c r="G281" s="7" t="s">
        <v>2258</v>
      </c>
      <c r="H281" s="7" t="s">
        <v>174</v>
      </c>
      <c r="I281" s="10" t="n">
        <v>1000</v>
      </c>
      <c r="J281" s="7" t="s">
        <v>69</v>
      </c>
      <c r="K281" s="7" t="s">
        <v>499</v>
      </c>
      <c r="L281" s="7" t="s">
        <v>2259</v>
      </c>
      <c r="M281" s="7" t="s">
        <v>1807</v>
      </c>
      <c r="N281" s="7" t="s">
        <v>2260</v>
      </c>
      <c r="O281" s="7"/>
      <c r="P281" s="7" t="s">
        <v>2261</v>
      </c>
      <c r="Q281" s="7"/>
      <c r="R281" s="7"/>
      <c r="S281" s="7"/>
      <c r="T281" s="7"/>
      <c r="U281" s="7"/>
    </row>
    <row r="282" customFormat="false" ht="15" hidden="false" customHeight="false" outlineLevel="0" collapsed="false">
      <c r="A282" s="7" t="s">
        <v>6</v>
      </c>
      <c r="B282" s="7" t="s">
        <v>2262</v>
      </c>
      <c r="C282" s="7" t="s">
        <v>35</v>
      </c>
      <c r="D282" s="7" t="s">
        <v>2263</v>
      </c>
      <c r="E282" s="7" t="s">
        <v>515</v>
      </c>
      <c r="F282" s="7" t="s">
        <v>428</v>
      </c>
      <c r="G282" s="7" t="s">
        <v>2264</v>
      </c>
      <c r="H282" s="7" t="s">
        <v>174</v>
      </c>
      <c r="I282" s="10" t="n">
        <v>600</v>
      </c>
      <c r="J282" s="7" t="s">
        <v>69</v>
      </c>
      <c r="K282" s="7" t="s">
        <v>1924</v>
      </c>
      <c r="L282" s="7"/>
      <c r="M282" s="7" t="s">
        <v>1807</v>
      </c>
      <c r="N282" s="7" t="s">
        <v>2265</v>
      </c>
      <c r="O282" s="7" t="s">
        <v>1991</v>
      </c>
      <c r="P282" s="7" t="s">
        <v>1928</v>
      </c>
      <c r="Q282" s="7"/>
      <c r="R282" s="7"/>
      <c r="S282" s="7"/>
      <c r="T282" s="7"/>
      <c r="U282" s="7"/>
    </row>
    <row r="283" customFormat="false" ht="15" hidden="false" customHeight="false" outlineLevel="0" collapsed="false">
      <c r="A283" s="7" t="s">
        <v>6</v>
      </c>
      <c r="B283" s="7" t="s">
        <v>2266</v>
      </c>
      <c r="C283" s="7" t="s">
        <v>35</v>
      </c>
      <c r="D283" s="7" t="s">
        <v>2267</v>
      </c>
      <c r="E283" s="7" t="s">
        <v>347</v>
      </c>
      <c r="F283" s="7" t="s">
        <v>348</v>
      </c>
      <c r="G283" s="7" t="s">
        <v>2268</v>
      </c>
      <c r="H283" s="7" t="s">
        <v>174</v>
      </c>
      <c r="I283" s="10" t="n">
        <v>600</v>
      </c>
      <c r="J283" s="7" t="s">
        <v>69</v>
      </c>
      <c r="K283" s="7" t="s">
        <v>1460</v>
      </c>
      <c r="L283" s="7" t="s">
        <v>2269</v>
      </c>
      <c r="M283" s="7" t="s">
        <v>1807</v>
      </c>
      <c r="N283" s="7" t="s">
        <v>2270</v>
      </c>
      <c r="O283" s="7"/>
      <c r="P283" s="7" t="s">
        <v>1843</v>
      </c>
      <c r="Q283" s="7"/>
      <c r="R283" s="7"/>
      <c r="S283" s="7"/>
      <c r="T283" s="7"/>
      <c r="U283" s="7"/>
    </row>
    <row r="284" customFormat="false" ht="15" hidden="false" customHeight="false" outlineLevel="0" collapsed="false">
      <c r="A284" s="7" t="s">
        <v>6</v>
      </c>
      <c r="B284" s="7" t="s">
        <v>2271</v>
      </c>
      <c r="C284" s="7" t="s">
        <v>35</v>
      </c>
      <c r="D284" s="7" t="s">
        <v>2272</v>
      </c>
      <c r="E284" s="7" t="s">
        <v>65</v>
      </c>
      <c r="F284" s="7" t="s">
        <v>66</v>
      </c>
      <c r="G284" s="7" t="s">
        <v>2273</v>
      </c>
      <c r="H284" s="7" t="s">
        <v>174</v>
      </c>
      <c r="I284" s="10" t="n">
        <v>900</v>
      </c>
      <c r="J284" s="7" t="s">
        <v>69</v>
      </c>
      <c r="K284" s="7" t="s">
        <v>1460</v>
      </c>
      <c r="L284" s="7" t="s">
        <v>2274</v>
      </c>
      <c r="M284" s="7" t="s">
        <v>1807</v>
      </c>
      <c r="N284" s="7" t="s">
        <v>2275</v>
      </c>
      <c r="O284" s="7" t="s">
        <v>2276</v>
      </c>
      <c r="P284" s="7" t="s">
        <v>1843</v>
      </c>
      <c r="Q284" s="7"/>
      <c r="R284" s="7"/>
      <c r="S284" s="7"/>
      <c r="T284" s="7"/>
      <c r="U284" s="7"/>
    </row>
    <row r="285" customFormat="false" ht="15" hidden="false" customHeight="false" outlineLevel="0" collapsed="false">
      <c r="A285" s="7" t="s">
        <v>6</v>
      </c>
      <c r="B285" s="7" t="s">
        <v>2277</v>
      </c>
      <c r="C285" s="7" t="s">
        <v>35</v>
      </c>
      <c r="D285" s="7" t="s">
        <v>2278</v>
      </c>
      <c r="E285" s="7" t="s">
        <v>2279</v>
      </c>
      <c r="F285" s="7" t="s">
        <v>88</v>
      </c>
      <c r="G285" s="7" t="s">
        <v>2280</v>
      </c>
      <c r="H285" s="7" t="s">
        <v>174</v>
      </c>
      <c r="I285" s="10" t="n">
        <v>600</v>
      </c>
      <c r="J285" s="7" t="s">
        <v>69</v>
      </c>
      <c r="K285" s="7" t="s">
        <v>2281</v>
      </c>
      <c r="L285" s="7" t="s">
        <v>2282</v>
      </c>
      <c r="M285" s="7" t="s">
        <v>1855</v>
      </c>
      <c r="N285" s="7" t="s">
        <v>2283</v>
      </c>
      <c r="O285" s="7"/>
      <c r="P285" s="7" t="s">
        <v>2284</v>
      </c>
      <c r="Q285" s="7"/>
      <c r="R285" s="7"/>
      <c r="S285" s="7"/>
      <c r="T285" s="7"/>
      <c r="U285" s="7"/>
    </row>
    <row r="286" customFormat="false" ht="15" hidden="false" customHeight="false" outlineLevel="0" collapsed="false">
      <c r="A286" s="7" t="s">
        <v>6</v>
      </c>
      <c r="B286" s="7" t="s">
        <v>2285</v>
      </c>
      <c r="C286" s="7" t="s">
        <v>35</v>
      </c>
      <c r="D286" s="7" t="s">
        <v>2286</v>
      </c>
      <c r="E286" s="7" t="s">
        <v>154</v>
      </c>
      <c r="F286" s="7" t="s">
        <v>155</v>
      </c>
      <c r="G286" s="7" t="s">
        <v>2287</v>
      </c>
      <c r="H286" s="7" t="s">
        <v>174</v>
      </c>
      <c r="I286" s="10" t="n">
        <v>600</v>
      </c>
      <c r="J286" s="7" t="s">
        <v>69</v>
      </c>
      <c r="K286" s="7" t="s">
        <v>1118</v>
      </c>
      <c r="L286" s="7" t="s">
        <v>2288</v>
      </c>
      <c r="M286" s="7" t="s">
        <v>1855</v>
      </c>
      <c r="N286" s="7" t="s">
        <v>2289</v>
      </c>
      <c r="O286" s="7"/>
      <c r="P286" s="7" t="s">
        <v>2290</v>
      </c>
      <c r="Q286" s="7"/>
      <c r="R286" s="7"/>
      <c r="S286" s="7"/>
      <c r="T286" s="7"/>
      <c r="U286" s="7"/>
    </row>
    <row r="287" customFormat="false" ht="15" hidden="false" customHeight="false" outlineLevel="0" collapsed="false">
      <c r="A287" s="7" t="s">
        <v>6</v>
      </c>
      <c r="B287" s="7" t="s">
        <v>2291</v>
      </c>
      <c r="C287" s="7" t="s">
        <v>35</v>
      </c>
      <c r="D287" s="7" t="s">
        <v>2292</v>
      </c>
      <c r="E287" s="7" t="s">
        <v>986</v>
      </c>
      <c r="F287" s="7" t="s">
        <v>215</v>
      </c>
      <c r="G287" s="7" t="s">
        <v>2293</v>
      </c>
      <c r="H287" s="7" t="s">
        <v>174</v>
      </c>
      <c r="I287" s="10" t="n">
        <v>500</v>
      </c>
      <c r="J287" s="7" t="s">
        <v>69</v>
      </c>
      <c r="K287" s="7" t="s">
        <v>1924</v>
      </c>
      <c r="L287" s="7" t="s">
        <v>2294</v>
      </c>
      <c r="M287" s="7" t="s">
        <v>1807</v>
      </c>
      <c r="N287" s="7" t="s">
        <v>2295</v>
      </c>
      <c r="O287" s="7"/>
      <c r="P287" s="7" t="s">
        <v>1928</v>
      </c>
      <c r="Q287" s="7"/>
      <c r="R287" s="7"/>
      <c r="S287" s="7"/>
      <c r="T287" s="7"/>
      <c r="U287" s="7"/>
    </row>
    <row r="288" customFormat="false" ht="15" hidden="false" customHeight="false" outlineLevel="0" collapsed="false">
      <c r="A288" s="7" t="s">
        <v>6</v>
      </c>
      <c r="B288" s="7" t="s">
        <v>2296</v>
      </c>
      <c r="C288" s="7" t="s">
        <v>35</v>
      </c>
      <c r="D288" s="7" t="s">
        <v>2297</v>
      </c>
      <c r="E288" s="7" t="s">
        <v>2169</v>
      </c>
      <c r="F288" s="7" t="s">
        <v>222</v>
      </c>
      <c r="G288" s="7" t="s">
        <v>2298</v>
      </c>
      <c r="H288" s="7" t="s">
        <v>174</v>
      </c>
      <c r="I288" s="10" t="n">
        <v>700</v>
      </c>
      <c r="J288" s="7" t="s">
        <v>69</v>
      </c>
      <c r="K288" s="7" t="s">
        <v>2299</v>
      </c>
      <c r="L288" s="7" t="s">
        <v>2300</v>
      </c>
      <c r="M288" s="7" t="s">
        <v>1855</v>
      </c>
      <c r="N288" s="7" t="s">
        <v>2301</v>
      </c>
      <c r="O288" s="7"/>
      <c r="P288" s="7" t="s">
        <v>2302</v>
      </c>
      <c r="Q288" s="7"/>
      <c r="R288" s="7"/>
      <c r="S288" s="7"/>
      <c r="T288" s="7"/>
      <c r="U288" s="7"/>
    </row>
    <row r="289" customFormat="false" ht="15" hidden="false" customHeight="false" outlineLevel="0" collapsed="false">
      <c r="A289" s="7" t="s">
        <v>6</v>
      </c>
      <c r="B289" s="7" t="s">
        <v>2303</v>
      </c>
      <c r="C289" s="7" t="s">
        <v>35</v>
      </c>
      <c r="D289" s="7" t="s">
        <v>2304</v>
      </c>
      <c r="E289" s="7" t="s">
        <v>1321</v>
      </c>
      <c r="F289" s="7" t="s">
        <v>78</v>
      </c>
      <c r="G289" s="7" t="s">
        <v>2305</v>
      </c>
      <c r="H289" s="7" t="s">
        <v>174</v>
      </c>
      <c r="I289" s="10" t="n">
        <v>900</v>
      </c>
      <c r="J289" s="7" t="s">
        <v>69</v>
      </c>
      <c r="K289" s="7" t="s">
        <v>2139</v>
      </c>
      <c r="L289" s="7" t="s">
        <v>2306</v>
      </c>
      <c r="M289" s="7" t="s">
        <v>1807</v>
      </c>
      <c r="N289" s="7" t="s">
        <v>2307</v>
      </c>
      <c r="O289" s="7" t="s">
        <v>2308</v>
      </c>
      <c r="P289" s="7" t="s">
        <v>2309</v>
      </c>
      <c r="Q289" s="7"/>
      <c r="R289" s="7"/>
      <c r="S289" s="7"/>
      <c r="T289" s="7"/>
      <c r="U289" s="7"/>
    </row>
    <row r="290" customFormat="false" ht="15" hidden="false" customHeight="false" outlineLevel="0" collapsed="false">
      <c r="A290" s="7" t="s">
        <v>6</v>
      </c>
      <c r="B290" s="7" t="s">
        <v>2310</v>
      </c>
      <c r="C290" s="7" t="s">
        <v>35</v>
      </c>
      <c r="D290" s="7" t="s">
        <v>2311</v>
      </c>
      <c r="E290" s="7" t="s">
        <v>557</v>
      </c>
      <c r="F290" s="7" t="s">
        <v>78</v>
      </c>
      <c r="G290" s="7" t="s">
        <v>2312</v>
      </c>
      <c r="H290" s="7" t="s">
        <v>174</v>
      </c>
      <c r="I290" s="10" t="n">
        <v>700</v>
      </c>
      <c r="J290" s="7" t="s">
        <v>69</v>
      </c>
      <c r="K290" s="7" t="s">
        <v>1460</v>
      </c>
      <c r="L290" s="7" t="s">
        <v>2313</v>
      </c>
      <c r="M290" s="7" t="s">
        <v>1807</v>
      </c>
      <c r="N290" s="7" t="s">
        <v>2314</v>
      </c>
      <c r="O290" s="7"/>
      <c r="P290" s="7" t="s">
        <v>1843</v>
      </c>
      <c r="Q290" s="7"/>
      <c r="R290" s="7"/>
      <c r="S290" s="7"/>
      <c r="T290" s="7"/>
      <c r="U290" s="7"/>
    </row>
    <row r="291" customFormat="false" ht="15" hidden="false" customHeight="false" outlineLevel="0" collapsed="false">
      <c r="A291" s="7" t="s">
        <v>6</v>
      </c>
      <c r="B291" s="7" t="s">
        <v>2315</v>
      </c>
      <c r="C291" s="7" t="s">
        <v>35</v>
      </c>
      <c r="D291" s="7" t="s">
        <v>2316</v>
      </c>
      <c r="E291" s="7" t="s">
        <v>154</v>
      </c>
      <c r="F291" s="7" t="s">
        <v>155</v>
      </c>
      <c r="G291" s="7" t="s">
        <v>2317</v>
      </c>
      <c r="H291" s="7" t="s">
        <v>174</v>
      </c>
      <c r="I291" s="10" t="n">
        <v>1400</v>
      </c>
      <c r="J291" s="7" t="s">
        <v>69</v>
      </c>
      <c r="K291" s="7" t="s">
        <v>1924</v>
      </c>
      <c r="L291" s="7" t="s">
        <v>2318</v>
      </c>
      <c r="M291" s="7" t="s">
        <v>1855</v>
      </c>
      <c r="N291" s="7" t="s">
        <v>2319</v>
      </c>
      <c r="O291" s="7" t="s">
        <v>2320</v>
      </c>
      <c r="P291" s="7" t="s">
        <v>1928</v>
      </c>
      <c r="Q291" s="7"/>
      <c r="R291" s="7"/>
      <c r="S291" s="7"/>
      <c r="T291" s="7"/>
      <c r="U291" s="7"/>
    </row>
    <row r="292" customFormat="false" ht="15" hidden="false" customHeight="false" outlineLevel="0" collapsed="false">
      <c r="A292" s="7" t="s">
        <v>6</v>
      </c>
      <c r="B292" s="7" t="s">
        <v>2321</v>
      </c>
      <c r="C292" s="7" t="s">
        <v>35</v>
      </c>
      <c r="D292" s="7" t="s">
        <v>2322</v>
      </c>
      <c r="E292" s="7" t="s">
        <v>1467</v>
      </c>
      <c r="F292" s="7" t="s">
        <v>147</v>
      </c>
      <c r="G292" s="7" t="s">
        <v>2323</v>
      </c>
      <c r="H292" s="7" t="s">
        <v>258</v>
      </c>
      <c r="I292" s="10" t="n">
        <v>500</v>
      </c>
      <c r="J292" s="7" t="s">
        <v>69</v>
      </c>
      <c r="K292" s="7" t="s">
        <v>1988</v>
      </c>
      <c r="L292" s="7" t="s">
        <v>2324</v>
      </c>
      <c r="M292" s="7" t="s">
        <v>1855</v>
      </c>
      <c r="N292" s="7" t="s">
        <v>2325</v>
      </c>
      <c r="O292" s="7" t="s">
        <v>2326</v>
      </c>
      <c r="P292" s="7" t="s">
        <v>2180</v>
      </c>
      <c r="Q292" s="7"/>
      <c r="R292" s="7"/>
      <c r="S292" s="7"/>
      <c r="T292" s="7"/>
      <c r="U292" s="7"/>
    </row>
    <row r="293" customFormat="false" ht="15" hidden="false" customHeight="false" outlineLevel="0" collapsed="false">
      <c r="A293" s="7" t="s">
        <v>6</v>
      </c>
      <c r="B293" s="7" t="s">
        <v>2327</v>
      </c>
      <c r="C293" s="7" t="s">
        <v>36</v>
      </c>
      <c r="D293" s="7" t="s">
        <v>2328</v>
      </c>
      <c r="E293" s="7" t="s">
        <v>146</v>
      </c>
      <c r="F293" s="7" t="s">
        <v>147</v>
      </c>
      <c r="G293" s="7" t="s">
        <v>2329</v>
      </c>
      <c r="H293" s="7" t="s">
        <v>68</v>
      </c>
      <c r="I293" s="10" t="n">
        <v>700</v>
      </c>
      <c r="J293" s="7" t="s">
        <v>69</v>
      </c>
      <c r="K293" s="7" t="s">
        <v>1032</v>
      </c>
      <c r="L293" s="7" t="s">
        <v>2330</v>
      </c>
      <c r="M293" s="7" t="s">
        <v>2331</v>
      </c>
      <c r="N293" s="7" t="s">
        <v>2332</v>
      </c>
      <c r="O293" s="7" t="s">
        <v>2333</v>
      </c>
      <c r="P293" s="7" t="s">
        <v>2334</v>
      </c>
      <c r="Q293" s="7"/>
      <c r="R293" s="7"/>
      <c r="S293" s="7"/>
      <c r="T293" s="7"/>
      <c r="U293" s="7"/>
    </row>
    <row r="294" customFormat="false" ht="15" hidden="false" customHeight="false" outlineLevel="0" collapsed="false">
      <c r="A294" s="7" t="s">
        <v>6</v>
      </c>
      <c r="B294" s="7" t="s">
        <v>2335</v>
      </c>
      <c r="C294" s="7" t="s">
        <v>36</v>
      </c>
      <c r="D294" s="7" t="s">
        <v>2336</v>
      </c>
      <c r="E294" s="7" t="s">
        <v>1822</v>
      </c>
      <c r="F294" s="7" t="s">
        <v>66</v>
      </c>
      <c r="G294" s="7" t="s">
        <v>2337</v>
      </c>
      <c r="H294" s="7" t="s">
        <v>68</v>
      </c>
      <c r="I294" s="10" t="n">
        <v>4500</v>
      </c>
      <c r="J294" s="7" t="s">
        <v>69</v>
      </c>
      <c r="K294" s="7" t="s">
        <v>751</v>
      </c>
      <c r="L294" s="7" t="s">
        <v>2338</v>
      </c>
      <c r="M294" s="7" t="s">
        <v>2339</v>
      </c>
      <c r="N294" s="7" t="s">
        <v>2340</v>
      </c>
      <c r="O294" s="7" t="s">
        <v>2341</v>
      </c>
      <c r="P294" s="7" t="s">
        <v>2342</v>
      </c>
      <c r="Q294" s="7"/>
      <c r="R294" s="7"/>
      <c r="S294" s="7"/>
      <c r="T294" s="7"/>
      <c r="U294" s="7"/>
    </row>
    <row r="295" customFormat="false" ht="15" hidden="false" customHeight="false" outlineLevel="0" collapsed="false">
      <c r="A295" s="7" t="s">
        <v>6</v>
      </c>
      <c r="B295" s="7" t="s">
        <v>2343</v>
      </c>
      <c r="C295" s="7" t="s">
        <v>36</v>
      </c>
      <c r="D295" s="7" t="s">
        <v>2328</v>
      </c>
      <c r="E295" s="7" t="s">
        <v>2344</v>
      </c>
      <c r="F295" s="7" t="s">
        <v>338</v>
      </c>
      <c r="G295" s="7" t="s">
        <v>2345</v>
      </c>
      <c r="H295" s="7" t="s">
        <v>68</v>
      </c>
      <c r="I295" s="10" t="n">
        <v>900</v>
      </c>
      <c r="J295" s="7" t="s">
        <v>69</v>
      </c>
      <c r="K295" s="7" t="s">
        <v>2346</v>
      </c>
      <c r="L295" s="7" t="s">
        <v>2347</v>
      </c>
      <c r="M295" s="7" t="s">
        <v>2331</v>
      </c>
      <c r="N295" s="7" t="s">
        <v>2348</v>
      </c>
      <c r="O295" s="7" t="s">
        <v>2349</v>
      </c>
      <c r="P295" s="7" t="s">
        <v>2342</v>
      </c>
      <c r="Q295" s="7"/>
      <c r="R295" s="7"/>
      <c r="S295" s="7"/>
      <c r="T295" s="7"/>
      <c r="U295" s="7"/>
    </row>
    <row r="296" customFormat="false" ht="15" hidden="false" customHeight="false" outlineLevel="0" collapsed="false">
      <c r="A296" s="7" t="s">
        <v>9</v>
      </c>
      <c r="B296" s="7" t="s">
        <v>2350</v>
      </c>
      <c r="C296" s="7" t="s">
        <v>23</v>
      </c>
      <c r="D296" s="7" t="s">
        <v>2351</v>
      </c>
      <c r="E296" s="7" t="s">
        <v>1245</v>
      </c>
      <c r="F296" s="7" t="s">
        <v>78</v>
      </c>
      <c r="G296" s="7" t="s">
        <v>2352</v>
      </c>
      <c r="H296" s="7" t="s">
        <v>68</v>
      </c>
      <c r="I296" s="10" t="n">
        <v>2500</v>
      </c>
      <c r="J296" s="7" t="s">
        <v>377</v>
      </c>
      <c r="K296" s="7"/>
      <c r="L296" s="7" t="s">
        <v>2353</v>
      </c>
      <c r="M296" s="7" t="s">
        <v>72</v>
      </c>
      <c r="N296" s="7" t="s">
        <v>2354</v>
      </c>
      <c r="O296" s="7" t="s">
        <v>2355</v>
      </c>
      <c r="P296" s="7" t="s">
        <v>2356</v>
      </c>
      <c r="Q296" s="7"/>
      <c r="R296" s="7"/>
      <c r="S296" s="7"/>
      <c r="T296" s="7"/>
      <c r="U296" s="7"/>
    </row>
    <row r="297" customFormat="false" ht="15" hidden="false" customHeight="false" outlineLevel="0" collapsed="false">
      <c r="A297" s="7" t="s">
        <v>9</v>
      </c>
      <c r="B297" s="7" t="s">
        <v>2357</v>
      </c>
      <c r="C297" s="7" t="s">
        <v>23</v>
      </c>
      <c r="D297" s="7" t="s">
        <v>2358</v>
      </c>
      <c r="E297" s="7" t="s">
        <v>2359</v>
      </c>
      <c r="F297" s="7" t="s">
        <v>222</v>
      </c>
      <c r="G297" s="7" t="s">
        <v>2360</v>
      </c>
      <c r="H297" s="7" t="s">
        <v>68</v>
      </c>
      <c r="I297" s="10" t="n">
        <v>2500</v>
      </c>
      <c r="J297" s="7" t="s">
        <v>350</v>
      </c>
      <c r="K297" s="7"/>
      <c r="L297" s="7" t="s">
        <v>2361</v>
      </c>
      <c r="M297" s="7" t="s">
        <v>72</v>
      </c>
      <c r="N297" s="7" t="s">
        <v>2362</v>
      </c>
      <c r="O297" s="7" t="s">
        <v>2363</v>
      </c>
      <c r="P297" s="7" t="s">
        <v>84</v>
      </c>
      <c r="Q297" s="7"/>
      <c r="R297" s="7"/>
      <c r="S297" s="7"/>
      <c r="T297" s="7"/>
      <c r="U297" s="7"/>
    </row>
    <row r="298" customFormat="false" ht="15" hidden="false" customHeight="false" outlineLevel="0" collapsed="false">
      <c r="A298" s="7" t="s">
        <v>9</v>
      </c>
      <c r="B298" s="7" t="s">
        <v>2364</v>
      </c>
      <c r="C298" s="7" t="s">
        <v>23</v>
      </c>
      <c r="D298" s="7" t="s">
        <v>2358</v>
      </c>
      <c r="E298" s="7" t="s">
        <v>1245</v>
      </c>
      <c r="F298" s="7" t="s">
        <v>78</v>
      </c>
      <c r="G298" s="7" t="s">
        <v>2365</v>
      </c>
      <c r="H298" s="7" t="s">
        <v>149</v>
      </c>
      <c r="I298" s="10" t="n">
        <v>1200</v>
      </c>
      <c r="J298" s="7" t="s">
        <v>350</v>
      </c>
      <c r="K298" s="7"/>
      <c r="L298" s="7" t="s">
        <v>2366</v>
      </c>
      <c r="M298" s="7" t="s">
        <v>177</v>
      </c>
      <c r="N298" s="7" t="s">
        <v>2367</v>
      </c>
      <c r="O298" s="7" t="s">
        <v>2368</v>
      </c>
      <c r="P298" s="7" t="s">
        <v>84</v>
      </c>
      <c r="Q298" s="7"/>
      <c r="R298" s="7"/>
      <c r="S298" s="7"/>
      <c r="T298" s="7"/>
      <c r="U298" s="7"/>
    </row>
    <row r="299" customFormat="false" ht="15" hidden="false" customHeight="false" outlineLevel="0" collapsed="false">
      <c r="A299" s="7" t="s">
        <v>9</v>
      </c>
      <c r="B299" s="7" t="s">
        <v>2369</v>
      </c>
      <c r="C299" s="7" t="s">
        <v>23</v>
      </c>
      <c r="D299" s="7" t="s">
        <v>2370</v>
      </c>
      <c r="E299" s="7" t="s">
        <v>1586</v>
      </c>
      <c r="F299" s="7" t="s">
        <v>88</v>
      </c>
      <c r="G299" s="7" t="s">
        <v>2371</v>
      </c>
      <c r="H299" s="7" t="s">
        <v>149</v>
      </c>
      <c r="I299" s="10" t="n">
        <v>800</v>
      </c>
      <c r="J299" s="7" t="s">
        <v>350</v>
      </c>
      <c r="K299" s="7"/>
      <c r="L299" s="7"/>
      <c r="M299" s="7" t="s">
        <v>177</v>
      </c>
      <c r="N299" s="7" t="s">
        <v>2372</v>
      </c>
      <c r="O299" s="7" t="s">
        <v>2373</v>
      </c>
      <c r="P299" s="7" t="s">
        <v>84</v>
      </c>
      <c r="Q299" s="7"/>
      <c r="R299" s="7"/>
      <c r="S299" s="7"/>
      <c r="T299" s="7"/>
      <c r="U299" s="7"/>
    </row>
    <row r="300" customFormat="false" ht="15" hidden="false" customHeight="false" outlineLevel="0" collapsed="false">
      <c r="A300" s="7" t="s">
        <v>9</v>
      </c>
      <c r="B300" s="7" t="s">
        <v>2374</v>
      </c>
      <c r="C300" s="7" t="s">
        <v>23</v>
      </c>
      <c r="D300" s="7" t="s">
        <v>2358</v>
      </c>
      <c r="E300" s="7" t="s">
        <v>65</v>
      </c>
      <c r="F300" s="7" t="s">
        <v>66</v>
      </c>
      <c r="G300" s="7" t="s">
        <v>2375</v>
      </c>
      <c r="H300" s="7" t="s">
        <v>174</v>
      </c>
      <c r="I300" s="10" t="n">
        <v>400</v>
      </c>
      <c r="J300" s="7" t="s">
        <v>350</v>
      </c>
      <c r="K300" s="7"/>
      <c r="L300" s="7" t="s">
        <v>2376</v>
      </c>
      <c r="M300" s="7" t="s">
        <v>177</v>
      </c>
      <c r="N300" s="7" t="s">
        <v>2377</v>
      </c>
      <c r="O300" s="7" t="s">
        <v>2378</v>
      </c>
      <c r="P300" s="7" t="s">
        <v>84</v>
      </c>
      <c r="Q300" s="7"/>
      <c r="R300" s="7"/>
      <c r="S300" s="7"/>
      <c r="T300" s="7"/>
      <c r="U300" s="7"/>
    </row>
    <row r="301" customFormat="false" ht="15" hidden="false" customHeight="false" outlineLevel="0" collapsed="false">
      <c r="A301" s="7" t="s">
        <v>9</v>
      </c>
      <c r="B301" s="7" t="s">
        <v>2379</v>
      </c>
      <c r="C301" s="7" t="s">
        <v>23</v>
      </c>
      <c r="D301" s="7" t="s">
        <v>2358</v>
      </c>
      <c r="E301" s="7" t="s">
        <v>953</v>
      </c>
      <c r="F301" s="7" t="s">
        <v>954</v>
      </c>
      <c r="G301" s="7" t="s">
        <v>2380</v>
      </c>
      <c r="H301" s="7" t="s">
        <v>174</v>
      </c>
      <c r="I301" s="10" t="n">
        <v>900</v>
      </c>
      <c r="J301" s="7" t="s">
        <v>350</v>
      </c>
      <c r="K301" s="7"/>
      <c r="L301" s="7" t="s">
        <v>2381</v>
      </c>
      <c r="M301" s="7" t="s">
        <v>177</v>
      </c>
      <c r="N301" s="7" t="s">
        <v>2382</v>
      </c>
      <c r="O301" s="7" t="s">
        <v>2383</v>
      </c>
      <c r="P301" s="7" t="s">
        <v>84</v>
      </c>
      <c r="Q301" s="7"/>
      <c r="R301" s="7"/>
      <c r="S301" s="7"/>
      <c r="T301" s="7"/>
      <c r="U301" s="7"/>
    </row>
    <row r="302" customFormat="false" ht="15" hidden="false" customHeight="false" outlineLevel="0" collapsed="false">
      <c r="A302" s="7" t="s">
        <v>9</v>
      </c>
      <c r="B302" s="7" t="s">
        <v>2384</v>
      </c>
      <c r="C302" s="7" t="s">
        <v>23</v>
      </c>
      <c r="D302" s="7" t="s">
        <v>2358</v>
      </c>
      <c r="E302" s="7" t="s">
        <v>2385</v>
      </c>
      <c r="F302" s="7" t="s">
        <v>172</v>
      </c>
      <c r="G302" s="7" t="s">
        <v>2386</v>
      </c>
      <c r="H302" s="7" t="s">
        <v>174</v>
      </c>
      <c r="I302" s="10" t="n">
        <v>450</v>
      </c>
      <c r="J302" s="7" t="s">
        <v>350</v>
      </c>
      <c r="K302" s="7"/>
      <c r="L302" s="7"/>
      <c r="M302" s="7" t="s">
        <v>177</v>
      </c>
      <c r="N302" s="7" t="s">
        <v>2387</v>
      </c>
      <c r="O302" s="7" t="s">
        <v>2388</v>
      </c>
      <c r="P302" s="7" t="s">
        <v>84</v>
      </c>
      <c r="Q302" s="7"/>
      <c r="R302" s="7"/>
      <c r="S302" s="7"/>
      <c r="T302" s="7"/>
      <c r="U302" s="7"/>
    </row>
    <row r="303" customFormat="false" ht="15" hidden="false" customHeight="false" outlineLevel="0" collapsed="false">
      <c r="A303" s="7" t="s">
        <v>9</v>
      </c>
      <c r="B303" s="7" t="s">
        <v>2389</v>
      </c>
      <c r="C303" s="7" t="s">
        <v>23</v>
      </c>
      <c r="D303" s="7" t="s">
        <v>2358</v>
      </c>
      <c r="E303" s="7" t="s">
        <v>1535</v>
      </c>
      <c r="F303" s="7" t="s">
        <v>78</v>
      </c>
      <c r="G303" s="7" t="s">
        <v>2390</v>
      </c>
      <c r="H303" s="7" t="s">
        <v>174</v>
      </c>
      <c r="I303" s="10" t="n">
        <v>600</v>
      </c>
      <c r="J303" s="7" t="s">
        <v>350</v>
      </c>
      <c r="K303" s="7"/>
      <c r="L303" s="7"/>
      <c r="M303" s="7" t="s">
        <v>177</v>
      </c>
      <c r="N303" s="7" t="s">
        <v>2391</v>
      </c>
      <c r="O303" s="7" t="s">
        <v>2392</v>
      </c>
      <c r="P303" s="7" t="s">
        <v>84</v>
      </c>
      <c r="Q303" s="7"/>
      <c r="R303" s="7"/>
      <c r="S303" s="7"/>
      <c r="T303" s="7"/>
      <c r="U303" s="7"/>
    </row>
    <row r="304" customFormat="false" ht="15" hidden="false" customHeight="false" outlineLevel="0" collapsed="false">
      <c r="A304" s="7" t="s">
        <v>9</v>
      </c>
      <c r="B304" s="7" t="s">
        <v>2393</v>
      </c>
      <c r="C304" s="7" t="s">
        <v>23</v>
      </c>
      <c r="D304" s="7" t="s">
        <v>2358</v>
      </c>
      <c r="E304" s="7" t="s">
        <v>2394</v>
      </c>
      <c r="F304" s="7" t="s">
        <v>147</v>
      </c>
      <c r="G304" s="7" t="s">
        <v>2395</v>
      </c>
      <c r="H304" s="7" t="s">
        <v>174</v>
      </c>
      <c r="I304" s="10" t="n">
        <v>400</v>
      </c>
      <c r="J304" s="7" t="s">
        <v>350</v>
      </c>
      <c r="K304" s="7"/>
      <c r="L304" s="7"/>
      <c r="M304" s="7" t="s">
        <v>177</v>
      </c>
      <c r="N304" s="7" t="s">
        <v>2396</v>
      </c>
      <c r="O304" s="7" t="s">
        <v>2397</v>
      </c>
      <c r="P304" s="7" t="s">
        <v>84</v>
      </c>
      <c r="Q304" s="7"/>
      <c r="R304" s="7"/>
      <c r="S304" s="7"/>
      <c r="T304" s="7"/>
      <c r="U304" s="7"/>
    </row>
    <row r="305" customFormat="false" ht="15" hidden="false" customHeight="false" outlineLevel="0" collapsed="false">
      <c r="A305" s="7" t="s">
        <v>9</v>
      </c>
      <c r="B305" s="7" t="s">
        <v>2398</v>
      </c>
      <c r="C305" s="7" t="s">
        <v>23</v>
      </c>
      <c r="D305" s="7" t="s">
        <v>2358</v>
      </c>
      <c r="E305" s="7" t="s">
        <v>1029</v>
      </c>
      <c r="F305" s="7" t="s">
        <v>1030</v>
      </c>
      <c r="G305" s="7" t="s">
        <v>2399</v>
      </c>
      <c r="H305" s="7" t="s">
        <v>174</v>
      </c>
      <c r="I305" s="10" t="n">
        <v>800</v>
      </c>
      <c r="J305" s="7" t="s">
        <v>350</v>
      </c>
      <c r="K305" s="7"/>
      <c r="L305" s="7" t="s">
        <v>2400</v>
      </c>
      <c r="M305" s="7" t="s">
        <v>177</v>
      </c>
      <c r="N305" s="7" t="s">
        <v>2401</v>
      </c>
      <c r="O305" s="7" t="s">
        <v>2402</v>
      </c>
      <c r="P305" s="7" t="s">
        <v>75</v>
      </c>
      <c r="Q305" s="7"/>
      <c r="R305" s="7"/>
      <c r="S305" s="7"/>
      <c r="T305" s="7"/>
      <c r="U305" s="7"/>
    </row>
    <row r="306" customFormat="false" ht="15" hidden="false" customHeight="false" outlineLevel="0" collapsed="false">
      <c r="A306" s="7" t="s">
        <v>9</v>
      </c>
      <c r="B306" s="7" t="s">
        <v>2403</v>
      </c>
      <c r="C306" s="7" t="s">
        <v>23</v>
      </c>
      <c r="D306" s="7" t="s">
        <v>2358</v>
      </c>
      <c r="E306" s="7" t="s">
        <v>549</v>
      </c>
      <c r="F306" s="7" t="s">
        <v>147</v>
      </c>
      <c r="G306" s="7" t="s">
        <v>2404</v>
      </c>
      <c r="H306" s="7" t="s">
        <v>174</v>
      </c>
      <c r="I306" s="10" t="n">
        <v>700</v>
      </c>
      <c r="J306" s="7" t="s">
        <v>350</v>
      </c>
      <c r="K306" s="7"/>
      <c r="L306" s="7" t="s">
        <v>2405</v>
      </c>
      <c r="M306" s="7" t="s">
        <v>177</v>
      </c>
      <c r="N306" s="7" t="s">
        <v>2406</v>
      </c>
      <c r="O306" s="7" t="s">
        <v>2407</v>
      </c>
      <c r="P306" s="7" t="s">
        <v>84</v>
      </c>
      <c r="Q306" s="7"/>
      <c r="R306" s="7"/>
      <c r="S306" s="7"/>
      <c r="T306" s="7"/>
      <c r="U306" s="7"/>
    </row>
    <row r="307" customFormat="false" ht="15" hidden="false" customHeight="false" outlineLevel="0" collapsed="false">
      <c r="A307" s="7" t="s">
        <v>9</v>
      </c>
      <c r="B307" s="7" t="s">
        <v>2408</v>
      </c>
      <c r="C307" s="7" t="s">
        <v>23</v>
      </c>
      <c r="D307" s="7" t="s">
        <v>2358</v>
      </c>
      <c r="E307" s="7" t="s">
        <v>1621</v>
      </c>
      <c r="F307" s="7" t="s">
        <v>779</v>
      </c>
      <c r="G307" s="7" t="s">
        <v>2409</v>
      </c>
      <c r="H307" s="7" t="s">
        <v>174</v>
      </c>
      <c r="I307" s="10" t="n">
        <v>900</v>
      </c>
      <c r="J307" s="7" t="s">
        <v>350</v>
      </c>
      <c r="K307" s="7"/>
      <c r="L307" s="7" t="s">
        <v>2410</v>
      </c>
      <c r="M307" s="7" t="s">
        <v>177</v>
      </c>
      <c r="N307" s="7" t="s">
        <v>2411</v>
      </c>
      <c r="O307" s="7" t="s">
        <v>2412</v>
      </c>
      <c r="P307" s="7" t="s">
        <v>84</v>
      </c>
      <c r="Q307" s="7"/>
      <c r="R307" s="7"/>
      <c r="S307" s="7"/>
      <c r="T307" s="7"/>
      <c r="U307" s="7"/>
    </row>
    <row r="308" customFormat="false" ht="15" hidden="false" customHeight="false" outlineLevel="0" collapsed="false">
      <c r="A308" s="7" t="s">
        <v>9</v>
      </c>
      <c r="B308" s="7" t="s">
        <v>2413</v>
      </c>
      <c r="C308" s="7" t="s">
        <v>23</v>
      </c>
      <c r="D308" s="7" t="s">
        <v>2358</v>
      </c>
      <c r="E308" s="7" t="s">
        <v>1599</v>
      </c>
      <c r="F308" s="7" t="s">
        <v>78</v>
      </c>
      <c r="G308" s="7" t="s">
        <v>2414</v>
      </c>
      <c r="H308" s="7" t="s">
        <v>174</v>
      </c>
      <c r="I308" s="10" t="n">
        <v>600</v>
      </c>
      <c r="J308" s="7" t="s">
        <v>350</v>
      </c>
      <c r="K308" s="7"/>
      <c r="L308" s="7"/>
      <c r="M308" s="7" t="s">
        <v>177</v>
      </c>
      <c r="N308" s="7" t="s">
        <v>2415</v>
      </c>
      <c r="O308" s="7" t="s">
        <v>2416</v>
      </c>
      <c r="P308" s="7" t="s">
        <v>2417</v>
      </c>
      <c r="Q308" s="7"/>
      <c r="R308" s="7"/>
      <c r="S308" s="7"/>
      <c r="T308" s="7"/>
      <c r="U308" s="7"/>
    </row>
    <row r="309" customFormat="false" ht="15" hidden="false" customHeight="false" outlineLevel="0" collapsed="false">
      <c r="A309" s="7" t="s">
        <v>9</v>
      </c>
      <c r="B309" s="7" t="s">
        <v>2418</v>
      </c>
      <c r="C309" s="7" t="s">
        <v>23</v>
      </c>
      <c r="D309" s="7" t="s">
        <v>2358</v>
      </c>
      <c r="E309" s="7" t="s">
        <v>112</v>
      </c>
      <c r="F309" s="7" t="s">
        <v>113</v>
      </c>
      <c r="G309" s="7" t="s">
        <v>2419</v>
      </c>
      <c r="H309" s="7" t="s">
        <v>174</v>
      </c>
      <c r="I309" s="10" t="n">
        <v>500</v>
      </c>
      <c r="J309" s="7" t="s">
        <v>350</v>
      </c>
      <c r="K309" s="7"/>
      <c r="L309" s="7" t="s">
        <v>2420</v>
      </c>
      <c r="M309" s="7" t="s">
        <v>177</v>
      </c>
      <c r="N309" s="7" t="s">
        <v>2421</v>
      </c>
      <c r="O309" s="7" t="s">
        <v>2422</v>
      </c>
      <c r="P309" s="7" t="s">
        <v>84</v>
      </c>
      <c r="Q309" s="7"/>
      <c r="R309" s="7"/>
      <c r="S309" s="7"/>
      <c r="T309" s="7"/>
      <c r="U309" s="7"/>
    </row>
    <row r="310" customFormat="false" ht="15" hidden="false" customHeight="false" outlineLevel="0" collapsed="false">
      <c r="A310" s="7" t="s">
        <v>9</v>
      </c>
      <c r="B310" s="7" t="s">
        <v>2423</v>
      </c>
      <c r="C310" s="7" t="s">
        <v>23</v>
      </c>
      <c r="D310" s="7" t="s">
        <v>2358</v>
      </c>
      <c r="E310" s="7" t="s">
        <v>2424</v>
      </c>
      <c r="F310" s="7" t="s">
        <v>338</v>
      </c>
      <c r="G310" s="7" t="s">
        <v>2425</v>
      </c>
      <c r="H310" s="7" t="s">
        <v>174</v>
      </c>
      <c r="I310" s="10" t="n">
        <v>600</v>
      </c>
      <c r="J310" s="7" t="s">
        <v>350</v>
      </c>
      <c r="K310" s="7"/>
      <c r="L310" s="7" t="s">
        <v>2426</v>
      </c>
      <c r="M310" s="7" t="s">
        <v>177</v>
      </c>
      <c r="N310" s="7" t="s">
        <v>2427</v>
      </c>
      <c r="O310" s="7" t="s">
        <v>2428</v>
      </c>
      <c r="P310" s="7" t="s">
        <v>84</v>
      </c>
      <c r="Q310" s="7"/>
      <c r="R310" s="7"/>
      <c r="S310" s="7"/>
      <c r="T310" s="7"/>
      <c r="U310" s="7"/>
    </row>
    <row r="311" customFormat="false" ht="15" hidden="false" customHeight="false" outlineLevel="0" collapsed="false">
      <c r="A311" s="7" t="s">
        <v>9</v>
      </c>
      <c r="B311" s="7" t="s">
        <v>2429</v>
      </c>
      <c r="C311" s="7" t="s">
        <v>23</v>
      </c>
      <c r="D311" s="7" t="s">
        <v>2430</v>
      </c>
      <c r="E311" s="7" t="s">
        <v>2431</v>
      </c>
      <c r="F311" s="7" t="s">
        <v>455</v>
      </c>
      <c r="G311" s="7" t="s">
        <v>2432</v>
      </c>
      <c r="H311" s="7" t="s">
        <v>174</v>
      </c>
      <c r="I311" s="10" t="n">
        <v>400</v>
      </c>
      <c r="J311" s="7" t="s">
        <v>350</v>
      </c>
      <c r="K311" s="7"/>
      <c r="L311" s="7"/>
      <c r="M311" s="7" t="s">
        <v>177</v>
      </c>
      <c r="N311" s="7" t="s">
        <v>2433</v>
      </c>
      <c r="O311" s="7" t="s">
        <v>2434</v>
      </c>
      <c r="P311" s="7" t="s">
        <v>84</v>
      </c>
      <c r="Q311" s="7"/>
      <c r="R311" s="7"/>
      <c r="S311" s="7"/>
      <c r="T311" s="7"/>
      <c r="U311" s="7"/>
    </row>
    <row r="312" customFormat="false" ht="15" hidden="false" customHeight="false" outlineLevel="0" collapsed="false">
      <c r="A312" s="7" t="s">
        <v>9</v>
      </c>
      <c r="B312" s="7" t="s">
        <v>2435</v>
      </c>
      <c r="C312" s="7" t="s">
        <v>23</v>
      </c>
      <c r="D312" s="7" t="s">
        <v>2358</v>
      </c>
      <c r="E312" s="7" t="s">
        <v>337</v>
      </c>
      <c r="F312" s="7" t="s">
        <v>338</v>
      </c>
      <c r="G312" s="7" t="s">
        <v>2436</v>
      </c>
      <c r="H312" s="7" t="s">
        <v>174</v>
      </c>
      <c r="I312" s="10" t="n">
        <v>500</v>
      </c>
      <c r="J312" s="7" t="s">
        <v>350</v>
      </c>
      <c r="K312" s="7"/>
      <c r="L312" s="7"/>
      <c r="M312" s="7" t="s">
        <v>177</v>
      </c>
      <c r="N312" s="7" t="s">
        <v>2437</v>
      </c>
      <c r="O312" s="7" t="s">
        <v>2438</v>
      </c>
      <c r="P312" s="7" t="s">
        <v>84</v>
      </c>
      <c r="Q312" s="7"/>
      <c r="R312" s="7"/>
      <c r="S312" s="7"/>
      <c r="T312" s="7"/>
      <c r="U312" s="7"/>
    </row>
    <row r="313" customFormat="false" ht="15" hidden="false" customHeight="false" outlineLevel="0" collapsed="false">
      <c r="A313" s="7" t="s">
        <v>9</v>
      </c>
      <c r="B313" s="7" t="s">
        <v>2439</v>
      </c>
      <c r="C313" s="7" t="s">
        <v>23</v>
      </c>
      <c r="D313" s="7" t="s">
        <v>2358</v>
      </c>
      <c r="E313" s="7" t="s">
        <v>2440</v>
      </c>
      <c r="F313" s="7" t="s">
        <v>97</v>
      </c>
      <c r="G313" s="7" t="s">
        <v>2441</v>
      </c>
      <c r="H313" s="7" t="s">
        <v>174</v>
      </c>
      <c r="I313" s="10" t="n">
        <v>800</v>
      </c>
      <c r="J313" s="7" t="s">
        <v>350</v>
      </c>
      <c r="K313" s="7"/>
      <c r="L313" s="7" t="s">
        <v>2442</v>
      </c>
      <c r="M313" s="7" t="s">
        <v>177</v>
      </c>
      <c r="N313" s="7" t="s">
        <v>2443</v>
      </c>
      <c r="O313" s="7" t="s">
        <v>2444</v>
      </c>
      <c r="P313" s="7" t="s">
        <v>84</v>
      </c>
      <c r="Q313" s="7"/>
      <c r="R313" s="7"/>
      <c r="S313" s="7"/>
      <c r="T313" s="7"/>
      <c r="U313" s="7"/>
    </row>
    <row r="314" customFormat="false" ht="15" hidden="false" customHeight="false" outlineLevel="0" collapsed="false">
      <c r="A314" s="7" t="s">
        <v>9</v>
      </c>
      <c r="B314" s="7" t="s">
        <v>2445</v>
      </c>
      <c r="C314" s="7" t="s">
        <v>23</v>
      </c>
      <c r="D314" s="7" t="s">
        <v>2358</v>
      </c>
      <c r="E314" s="7" t="s">
        <v>479</v>
      </c>
      <c r="F314" s="7" t="s">
        <v>480</v>
      </c>
      <c r="G314" s="7" t="s">
        <v>2446</v>
      </c>
      <c r="H314" s="7" t="s">
        <v>258</v>
      </c>
      <c r="I314" s="10" t="n">
        <v>350</v>
      </c>
      <c r="J314" s="7" t="s">
        <v>350</v>
      </c>
      <c r="K314" s="7"/>
      <c r="L314" s="7"/>
      <c r="M314" s="7" t="s">
        <v>177</v>
      </c>
      <c r="N314" s="7" t="s">
        <v>2447</v>
      </c>
      <c r="O314" s="7" t="s">
        <v>2448</v>
      </c>
      <c r="P314" s="7" t="s">
        <v>84</v>
      </c>
      <c r="Q314" s="7"/>
      <c r="R314" s="7"/>
      <c r="S314" s="7"/>
      <c r="T314" s="7"/>
      <c r="U314" s="7"/>
    </row>
    <row r="315" customFormat="false" ht="15" hidden="false" customHeight="false" outlineLevel="0" collapsed="false">
      <c r="A315" s="7" t="s">
        <v>9</v>
      </c>
      <c r="B315" s="7" t="s">
        <v>2449</v>
      </c>
      <c r="C315" s="7" t="s">
        <v>23</v>
      </c>
      <c r="D315" s="7" t="s">
        <v>2450</v>
      </c>
      <c r="E315" s="7" t="s">
        <v>2451</v>
      </c>
      <c r="F315" s="7" t="s">
        <v>147</v>
      </c>
      <c r="G315" s="7" t="s">
        <v>2452</v>
      </c>
      <c r="H315" s="7" t="s">
        <v>258</v>
      </c>
      <c r="I315" s="10" t="n">
        <v>1500</v>
      </c>
      <c r="J315" s="7" t="s">
        <v>386</v>
      </c>
      <c r="K315" s="7" t="s">
        <v>2453</v>
      </c>
      <c r="L315" s="7"/>
      <c r="M315" s="7" t="s">
        <v>177</v>
      </c>
      <c r="N315" s="7" t="s">
        <v>2454</v>
      </c>
      <c r="O315" s="7" t="s">
        <v>269</v>
      </c>
      <c r="P315" s="7" t="s">
        <v>2455</v>
      </c>
      <c r="Q315" s="7"/>
      <c r="R315" s="7"/>
      <c r="S315" s="7"/>
      <c r="T315" s="7"/>
      <c r="U315" s="7"/>
    </row>
    <row r="316" customFormat="false" ht="15" hidden="false" customHeight="false" outlineLevel="0" collapsed="false">
      <c r="A316" s="7" t="s">
        <v>9</v>
      </c>
      <c r="B316" s="7" t="s">
        <v>2456</v>
      </c>
      <c r="C316" s="7" t="s">
        <v>23</v>
      </c>
      <c r="D316" s="7" t="s">
        <v>2457</v>
      </c>
      <c r="E316" s="7" t="s">
        <v>2458</v>
      </c>
      <c r="F316" s="7" t="s">
        <v>338</v>
      </c>
      <c r="G316" s="7" t="s">
        <v>2459</v>
      </c>
      <c r="H316" s="7" t="s">
        <v>258</v>
      </c>
      <c r="I316" s="10" t="n">
        <v>300</v>
      </c>
      <c r="J316" s="7" t="s">
        <v>350</v>
      </c>
      <c r="K316" s="7"/>
      <c r="L316" s="7"/>
      <c r="M316" s="7" t="s">
        <v>177</v>
      </c>
      <c r="N316" s="7" t="s">
        <v>2460</v>
      </c>
      <c r="O316" s="7" t="s">
        <v>2461</v>
      </c>
      <c r="P316" s="7" t="s">
        <v>84</v>
      </c>
      <c r="Q316" s="7"/>
      <c r="R316" s="7"/>
      <c r="S316" s="7"/>
      <c r="T316" s="7"/>
      <c r="U316" s="7"/>
    </row>
    <row r="317" customFormat="false" ht="15" hidden="false" customHeight="false" outlineLevel="0" collapsed="false">
      <c r="A317" s="7" t="s">
        <v>9</v>
      </c>
      <c r="B317" s="7" t="s">
        <v>2462</v>
      </c>
      <c r="C317" s="7" t="s">
        <v>23</v>
      </c>
      <c r="D317" s="7" t="s">
        <v>2358</v>
      </c>
      <c r="E317" s="7" t="s">
        <v>2463</v>
      </c>
      <c r="F317" s="7" t="s">
        <v>2464</v>
      </c>
      <c r="G317" s="7" t="s">
        <v>2465</v>
      </c>
      <c r="H317" s="7" t="s">
        <v>258</v>
      </c>
      <c r="I317" s="10" t="n">
        <v>350</v>
      </c>
      <c r="J317" s="7" t="s">
        <v>350</v>
      </c>
      <c r="K317" s="7"/>
      <c r="L317" s="7"/>
      <c r="M317" s="7" t="s">
        <v>177</v>
      </c>
      <c r="N317" s="7" t="s">
        <v>2466</v>
      </c>
      <c r="O317" s="7" t="s">
        <v>2467</v>
      </c>
      <c r="P317" s="7" t="s">
        <v>84</v>
      </c>
      <c r="Q317" s="7"/>
      <c r="R317" s="7"/>
      <c r="S317" s="7"/>
      <c r="T317" s="7"/>
      <c r="U317" s="7"/>
    </row>
    <row r="318" customFormat="false" ht="15" hidden="false" customHeight="false" outlineLevel="0" collapsed="false">
      <c r="A318" s="7" t="s">
        <v>9</v>
      </c>
      <c r="B318" s="7" t="s">
        <v>2468</v>
      </c>
      <c r="C318" s="7" t="s">
        <v>23</v>
      </c>
      <c r="D318" s="7" t="s">
        <v>2469</v>
      </c>
      <c r="E318" s="7" t="s">
        <v>635</v>
      </c>
      <c r="F318" s="7" t="s">
        <v>338</v>
      </c>
      <c r="G318" s="7" t="s">
        <v>2470</v>
      </c>
      <c r="H318" s="7" t="s">
        <v>258</v>
      </c>
      <c r="I318" s="10" t="n">
        <v>250</v>
      </c>
      <c r="J318" s="7" t="s">
        <v>350</v>
      </c>
      <c r="K318" s="7"/>
      <c r="L318" s="7"/>
      <c r="M318" s="7" t="s">
        <v>177</v>
      </c>
      <c r="N318" s="7" t="s">
        <v>2471</v>
      </c>
      <c r="O318" s="7" t="s">
        <v>2472</v>
      </c>
      <c r="P318" s="7" t="s">
        <v>84</v>
      </c>
      <c r="Q318" s="7"/>
      <c r="R318" s="7"/>
      <c r="S318" s="7"/>
      <c r="T318" s="7"/>
      <c r="U318" s="7"/>
    </row>
    <row r="319" customFormat="false" ht="15" hidden="false" customHeight="false" outlineLevel="0" collapsed="false">
      <c r="A319" s="7" t="s">
        <v>9</v>
      </c>
      <c r="B319" s="7" t="s">
        <v>2473</v>
      </c>
      <c r="C319" s="7" t="s">
        <v>23</v>
      </c>
      <c r="D319" s="7" t="s">
        <v>2358</v>
      </c>
      <c r="E319" s="7" t="s">
        <v>2474</v>
      </c>
      <c r="F319" s="7" t="s">
        <v>1106</v>
      </c>
      <c r="G319" s="7" t="s">
        <v>2475</v>
      </c>
      <c r="H319" s="7" t="s">
        <v>258</v>
      </c>
      <c r="I319" s="10" t="n">
        <v>350</v>
      </c>
      <c r="J319" s="7" t="s">
        <v>350</v>
      </c>
      <c r="K319" s="7"/>
      <c r="L319" s="7"/>
      <c r="M319" s="7" t="s">
        <v>274</v>
      </c>
      <c r="N319" s="7" t="s">
        <v>2476</v>
      </c>
      <c r="O319" s="7" t="s">
        <v>2477</v>
      </c>
      <c r="P319" s="7" t="s">
        <v>84</v>
      </c>
      <c r="Q319" s="7"/>
      <c r="R319" s="7"/>
      <c r="S319" s="7"/>
      <c r="T319" s="7"/>
      <c r="U319" s="7"/>
    </row>
    <row r="320" customFormat="false" ht="15" hidden="false" customHeight="false" outlineLevel="0" collapsed="false">
      <c r="A320" s="7" t="s">
        <v>9</v>
      </c>
      <c r="B320" s="7" t="s">
        <v>2478</v>
      </c>
      <c r="C320" s="7" t="s">
        <v>23</v>
      </c>
      <c r="D320" s="7" t="s">
        <v>2358</v>
      </c>
      <c r="E320" s="7" t="s">
        <v>327</v>
      </c>
      <c r="F320" s="7" t="s">
        <v>328</v>
      </c>
      <c r="G320" s="7" t="s">
        <v>2479</v>
      </c>
      <c r="H320" s="7" t="s">
        <v>258</v>
      </c>
      <c r="I320" s="10" t="n">
        <v>350</v>
      </c>
      <c r="J320" s="7" t="s">
        <v>350</v>
      </c>
      <c r="K320" s="7"/>
      <c r="L320" s="7"/>
      <c r="M320" s="7" t="s">
        <v>177</v>
      </c>
      <c r="N320" s="7" t="s">
        <v>2480</v>
      </c>
      <c r="O320" s="7" t="s">
        <v>2481</v>
      </c>
      <c r="P320" s="7" t="s">
        <v>84</v>
      </c>
      <c r="Q320" s="7"/>
      <c r="R320" s="7"/>
      <c r="S320" s="7"/>
      <c r="T320" s="7"/>
      <c r="U320" s="7"/>
    </row>
    <row r="321" customFormat="false" ht="15" hidden="false" customHeight="false" outlineLevel="0" collapsed="false">
      <c r="A321" s="7" t="s">
        <v>9</v>
      </c>
      <c r="B321" s="7" t="s">
        <v>2482</v>
      </c>
      <c r="C321" s="7" t="s">
        <v>23</v>
      </c>
      <c r="D321" s="7" t="s">
        <v>2483</v>
      </c>
      <c r="E321" s="7" t="s">
        <v>2484</v>
      </c>
      <c r="F321" s="7" t="s">
        <v>779</v>
      </c>
      <c r="G321" s="7" t="s">
        <v>2485</v>
      </c>
      <c r="H321" s="7" t="s">
        <v>258</v>
      </c>
      <c r="I321" s="10" t="n">
        <v>350</v>
      </c>
      <c r="J321" s="7" t="s">
        <v>350</v>
      </c>
      <c r="K321" s="7"/>
      <c r="L321" s="7"/>
      <c r="M321" s="7" t="s">
        <v>177</v>
      </c>
      <c r="N321" s="7" t="s">
        <v>2486</v>
      </c>
      <c r="O321" s="7" t="s">
        <v>2487</v>
      </c>
      <c r="P321" s="7" t="s">
        <v>84</v>
      </c>
      <c r="Q321" s="7"/>
      <c r="R321" s="7"/>
      <c r="S321" s="7"/>
      <c r="T321" s="7"/>
      <c r="U321" s="7"/>
    </row>
    <row r="322" customFormat="false" ht="15" hidden="false" customHeight="false" outlineLevel="0" collapsed="false">
      <c r="A322" s="7" t="s">
        <v>9</v>
      </c>
      <c r="B322" s="7" t="s">
        <v>2488</v>
      </c>
      <c r="C322" s="7" t="s">
        <v>23</v>
      </c>
      <c r="D322" s="7" t="s">
        <v>2358</v>
      </c>
      <c r="E322" s="7" t="s">
        <v>2489</v>
      </c>
      <c r="F322" s="7" t="s">
        <v>2490</v>
      </c>
      <c r="G322" s="7" t="s">
        <v>2491</v>
      </c>
      <c r="H322" s="7" t="s">
        <v>258</v>
      </c>
      <c r="I322" s="10" t="n">
        <v>300</v>
      </c>
      <c r="J322" s="7" t="s">
        <v>350</v>
      </c>
      <c r="K322" s="7"/>
      <c r="L322" s="7"/>
      <c r="M322" s="7" t="s">
        <v>274</v>
      </c>
      <c r="N322" s="7" t="s">
        <v>2492</v>
      </c>
      <c r="O322" s="7" t="s">
        <v>2493</v>
      </c>
      <c r="P322" s="7" t="s">
        <v>84</v>
      </c>
      <c r="Q322" s="7"/>
      <c r="R322" s="7"/>
      <c r="S322" s="7"/>
      <c r="T322" s="7"/>
      <c r="U322" s="7"/>
    </row>
    <row r="323" customFormat="false" ht="15" hidden="false" customHeight="false" outlineLevel="0" collapsed="false">
      <c r="A323" s="7" t="s">
        <v>9</v>
      </c>
      <c r="B323" s="7" t="s">
        <v>2494</v>
      </c>
      <c r="C323" s="7" t="s">
        <v>23</v>
      </c>
      <c r="D323" s="7" t="s">
        <v>2358</v>
      </c>
      <c r="E323" s="7" t="s">
        <v>77</v>
      </c>
      <c r="F323" s="7" t="s">
        <v>78</v>
      </c>
      <c r="G323" s="7" t="s">
        <v>2495</v>
      </c>
      <c r="H323" s="7" t="s">
        <v>258</v>
      </c>
      <c r="I323" s="10" t="n">
        <v>300</v>
      </c>
      <c r="J323" s="7" t="s">
        <v>350</v>
      </c>
      <c r="K323" s="7"/>
      <c r="L323" s="7"/>
      <c r="M323" s="7" t="s">
        <v>177</v>
      </c>
      <c r="N323" s="7" t="s">
        <v>2496</v>
      </c>
      <c r="O323" s="7" t="s">
        <v>2497</v>
      </c>
      <c r="P323" s="7" t="s">
        <v>84</v>
      </c>
      <c r="Q323" s="7"/>
      <c r="R323" s="7"/>
      <c r="S323" s="7"/>
      <c r="T323" s="7"/>
      <c r="U323" s="7"/>
    </row>
    <row r="324" customFormat="false" ht="15" hidden="false" customHeight="false" outlineLevel="0" collapsed="false">
      <c r="A324" s="7" t="s">
        <v>9</v>
      </c>
      <c r="B324" s="7" t="s">
        <v>2498</v>
      </c>
      <c r="C324" s="7" t="s">
        <v>23</v>
      </c>
      <c r="D324" s="7" t="s">
        <v>2358</v>
      </c>
      <c r="E324" s="7" t="s">
        <v>347</v>
      </c>
      <c r="F324" s="7" t="s">
        <v>348</v>
      </c>
      <c r="G324" s="7" t="s">
        <v>2499</v>
      </c>
      <c r="H324" s="7" t="s">
        <v>258</v>
      </c>
      <c r="I324" s="10" t="n">
        <v>300</v>
      </c>
      <c r="J324" s="7" t="s">
        <v>350</v>
      </c>
      <c r="K324" s="7"/>
      <c r="L324" s="7"/>
      <c r="M324" s="7" t="s">
        <v>177</v>
      </c>
      <c r="N324" s="7" t="s">
        <v>2500</v>
      </c>
      <c r="O324" s="7" t="s">
        <v>2501</v>
      </c>
      <c r="P324" s="7" t="s">
        <v>84</v>
      </c>
      <c r="Q324" s="7"/>
      <c r="R324" s="7"/>
      <c r="S324" s="7"/>
      <c r="T324" s="7"/>
      <c r="U324" s="7"/>
    </row>
    <row r="325" customFormat="false" ht="15" hidden="false" customHeight="false" outlineLevel="0" collapsed="false">
      <c r="A325" s="7" t="s">
        <v>9</v>
      </c>
      <c r="B325" s="7" t="s">
        <v>2502</v>
      </c>
      <c r="C325" s="7" t="s">
        <v>24</v>
      </c>
      <c r="D325" s="7" t="s">
        <v>2503</v>
      </c>
      <c r="E325" s="7" t="s">
        <v>154</v>
      </c>
      <c r="F325" s="7" t="s">
        <v>155</v>
      </c>
      <c r="G325" s="7" t="s">
        <v>2504</v>
      </c>
      <c r="H325" s="7" t="s">
        <v>68</v>
      </c>
      <c r="I325" s="10" t="n">
        <v>800</v>
      </c>
      <c r="J325" s="7" t="s">
        <v>350</v>
      </c>
      <c r="K325" s="7"/>
      <c r="L325" s="7" t="s">
        <v>2505</v>
      </c>
      <c r="M325" s="7" t="s">
        <v>2506</v>
      </c>
      <c r="N325" s="7" t="s">
        <v>2507</v>
      </c>
      <c r="O325" s="7" t="s">
        <v>2508</v>
      </c>
      <c r="P325" s="7" t="s">
        <v>2509</v>
      </c>
      <c r="Q325" s="7"/>
      <c r="R325" s="7"/>
      <c r="S325" s="7"/>
      <c r="T325" s="7"/>
      <c r="U325" s="7"/>
    </row>
    <row r="326" customFormat="false" ht="15" hidden="false" customHeight="false" outlineLevel="0" collapsed="false">
      <c r="A326" s="7" t="s">
        <v>9</v>
      </c>
      <c r="B326" s="7" t="s">
        <v>2510</v>
      </c>
      <c r="C326" s="7" t="s">
        <v>24</v>
      </c>
      <c r="D326" s="7" t="s">
        <v>2511</v>
      </c>
      <c r="E326" s="7" t="s">
        <v>2512</v>
      </c>
      <c r="F326" s="7" t="s">
        <v>338</v>
      </c>
      <c r="G326" s="7" t="s">
        <v>2513</v>
      </c>
      <c r="H326" s="7" t="s">
        <v>68</v>
      </c>
      <c r="I326" s="10" t="n">
        <v>800</v>
      </c>
      <c r="J326" s="7" t="s">
        <v>377</v>
      </c>
      <c r="K326" s="7"/>
      <c r="L326" s="7" t="s">
        <v>2514</v>
      </c>
      <c r="M326" s="7" t="s">
        <v>2515</v>
      </c>
      <c r="N326" s="7" t="s">
        <v>2516</v>
      </c>
      <c r="O326" s="7" t="s">
        <v>2517</v>
      </c>
      <c r="P326" s="7" t="s">
        <v>2518</v>
      </c>
      <c r="Q326" s="7"/>
      <c r="R326" s="7"/>
      <c r="S326" s="7"/>
      <c r="T326" s="7"/>
      <c r="U326" s="7"/>
    </row>
    <row r="327" customFormat="false" ht="15" hidden="false" customHeight="false" outlineLevel="0" collapsed="false">
      <c r="A327" s="7" t="s">
        <v>9</v>
      </c>
      <c r="B327" s="7" t="s">
        <v>2519</v>
      </c>
      <c r="C327" s="7" t="s">
        <v>24</v>
      </c>
      <c r="D327" s="7" t="s">
        <v>2520</v>
      </c>
      <c r="E327" s="7" t="s">
        <v>525</v>
      </c>
      <c r="F327" s="7" t="s">
        <v>348</v>
      </c>
      <c r="G327" s="7" t="s">
        <v>2521</v>
      </c>
      <c r="H327" s="7" t="s">
        <v>68</v>
      </c>
      <c r="I327" s="10" t="n">
        <v>1500</v>
      </c>
      <c r="J327" s="7" t="s">
        <v>350</v>
      </c>
      <c r="K327" s="7"/>
      <c r="L327" s="7" t="s">
        <v>2522</v>
      </c>
      <c r="M327" s="7" t="s">
        <v>414</v>
      </c>
      <c r="N327" s="7" t="s">
        <v>2523</v>
      </c>
      <c r="O327" s="7" t="s">
        <v>2524</v>
      </c>
      <c r="P327" s="7" t="s">
        <v>2525</v>
      </c>
      <c r="Q327" s="7"/>
      <c r="R327" s="7"/>
      <c r="S327" s="7"/>
      <c r="T327" s="7"/>
      <c r="U327" s="7"/>
    </row>
    <row r="328" customFormat="false" ht="15" hidden="false" customHeight="false" outlineLevel="0" collapsed="false">
      <c r="A328" s="7" t="s">
        <v>9</v>
      </c>
      <c r="B328" s="7" t="s">
        <v>2526</v>
      </c>
      <c r="C328" s="7" t="s">
        <v>24</v>
      </c>
      <c r="D328" s="7" t="s">
        <v>2527</v>
      </c>
      <c r="E328" s="7" t="s">
        <v>2528</v>
      </c>
      <c r="F328" s="7" t="s">
        <v>338</v>
      </c>
      <c r="G328" s="7" t="s">
        <v>2529</v>
      </c>
      <c r="H328" s="7" t="s">
        <v>68</v>
      </c>
      <c r="I328" s="10" t="n">
        <v>700</v>
      </c>
      <c r="J328" s="7" t="s">
        <v>377</v>
      </c>
      <c r="K328" s="7"/>
      <c r="L328" s="7" t="s">
        <v>2530</v>
      </c>
      <c r="M328" s="7" t="s">
        <v>2531</v>
      </c>
      <c r="N328" s="7" t="s">
        <v>2532</v>
      </c>
      <c r="O328" s="7" t="s">
        <v>2533</v>
      </c>
      <c r="P328" s="7" t="s">
        <v>2534</v>
      </c>
      <c r="Q328" s="7"/>
      <c r="R328" s="7"/>
      <c r="S328" s="7"/>
      <c r="T328" s="7"/>
      <c r="U328" s="7"/>
    </row>
    <row r="329" customFormat="false" ht="15" hidden="false" customHeight="false" outlineLevel="0" collapsed="false">
      <c r="A329" s="7" t="s">
        <v>9</v>
      </c>
      <c r="B329" s="7" t="s">
        <v>2535</v>
      </c>
      <c r="C329" s="7" t="s">
        <v>24</v>
      </c>
      <c r="D329" s="7" t="s">
        <v>2536</v>
      </c>
      <c r="E329" s="7" t="s">
        <v>2537</v>
      </c>
      <c r="F329" s="7" t="s">
        <v>2538</v>
      </c>
      <c r="G329" s="7" t="s">
        <v>2539</v>
      </c>
      <c r="H329" s="7" t="s">
        <v>68</v>
      </c>
      <c r="I329" s="10" t="n">
        <v>700</v>
      </c>
      <c r="J329" s="7" t="s">
        <v>377</v>
      </c>
      <c r="K329" s="7"/>
      <c r="L329" s="7" t="s">
        <v>2540</v>
      </c>
      <c r="M329" s="7" t="s">
        <v>2541</v>
      </c>
      <c r="N329" s="7" t="s">
        <v>2542</v>
      </c>
      <c r="O329" s="7" t="s">
        <v>2543</v>
      </c>
      <c r="P329" s="7" t="s">
        <v>2544</v>
      </c>
      <c r="Q329" s="7"/>
      <c r="R329" s="7"/>
      <c r="S329" s="7"/>
      <c r="T329" s="7"/>
      <c r="U329" s="7"/>
    </row>
    <row r="330" customFormat="false" ht="15" hidden="false" customHeight="false" outlineLevel="0" collapsed="false">
      <c r="A330" s="7" t="s">
        <v>9</v>
      </c>
      <c r="B330" s="7" t="s">
        <v>2545</v>
      </c>
      <c r="C330" s="7" t="s">
        <v>24</v>
      </c>
      <c r="D330" s="7" t="s">
        <v>2520</v>
      </c>
      <c r="E330" s="7" t="s">
        <v>2546</v>
      </c>
      <c r="F330" s="7" t="s">
        <v>1789</v>
      </c>
      <c r="G330" s="7" t="s">
        <v>2547</v>
      </c>
      <c r="H330" s="7" t="s">
        <v>68</v>
      </c>
      <c r="I330" s="10" t="n">
        <v>1700</v>
      </c>
      <c r="J330" s="7" t="s">
        <v>350</v>
      </c>
      <c r="K330" s="7"/>
      <c r="L330" s="7" t="s">
        <v>2548</v>
      </c>
      <c r="M330" s="7" t="s">
        <v>2549</v>
      </c>
      <c r="N330" s="7" t="s">
        <v>2550</v>
      </c>
      <c r="O330" s="7" t="s">
        <v>2551</v>
      </c>
      <c r="P330" s="7" t="s">
        <v>2525</v>
      </c>
      <c r="Q330" s="7"/>
      <c r="R330" s="7"/>
      <c r="S330" s="7"/>
      <c r="T330" s="7"/>
      <c r="U330" s="7"/>
    </row>
    <row r="331" customFormat="false" ht="15" hidden="false" customHeight="false" outlineLevel="0" collapsed="false">
      <c r="A331" s="7" t="s">
        <v>9</v>
      </c>
      <c r="B331" s="7" t="s">
        <v>2552</v>
      </c>
      <c r="C331" s="7" t="s">
        <v>24</v>
      </c>
      <c r="D331" s="7" t="s">
        <v>2553</v>
      </c>
      <c r="E331" s="7" t="s">
        <v>146</v>
      </c>
      <c r="F331" s="7" t="s">
        <v>147</v>
      </c>
      <c r="G331" s="7" t="s">
        <v>2554</v>
      </c>
      <c r="H331" s="7" t="s">
        <v>68</v>
      </c>
      <c r="I331" s="10" t="n">
        <v>500</v>
      </c>
      <c r="J331" s="7" t="s">
        <v>377</v>
      </c>
      <c r="K331" s="7"/>
      <c r="L331" s="7" t="s">
        <v>2555</v>
      </c>
      <c r="M331" s="7" t="s">
        <v>2556</v>
      </c>
      <c r="N331" s="7" t="s">
        <v>2557</v>
      </c>
      <c r="O331" s="7" t="s">
        <v>2558</v>
      </c>
      <c r="P331" s="7" t="s">
        <v>2559</v>
      </c>
      <c r="Q331" s="7"/>
      <c r="R331" s="7"/>
      <c r="S331" s="7"/>
      <c r="T331" s="7"/>
      <c r="U331" s="7"/>
    </row>
    <row r="332" customFormat="false" ht="15" hidden="false" customHeight="false" outlineLevel="0" collapsed="false">
      <c r="A332" s="7" t="s">
        <v>9</v>
      </c>
      <c r="B332" s="7" t="s">
        <v>2560</v>
      </c>
      <c r="C332" s="7" t="s">
        <v>24</v>
      </c>
      <c r="D332" s="7" t="s">
        <v>2561</v>
      </c>
      <c r="E332" s="7" t="s">
        <v>112</v>
      </c>
      <c r="F332" s="7" t="s">
        <v>113</v>
      </c>
      <c r="G332" s="7" t="s">
        <v>2562</v>
      </c>
      <c r="H332" s="7" t="s">
        <v>68</v>
      </c>
      <c r="I332" s="10" t="n">
        <v>1300</v>
      </c>
      <c r="J332" s="7" t="s">
        <v>377</v>
      </c>
      <c r="K332" s="7"/>
      <c r="L332" s="7" t="s">
        <v>2563</v>
      </c>
      <c r="M332" s="7" t="s">
        <v>2564</v>
      </c>
      <c r="N332" s="7" t="s">
        <v>2565</v>
      </c>
      <c r="O332" s="7" t="s">
        <v>2566</v>
      </c>
      <c r="P332" s="7" t="s">
        <v>2567</v>
      </c>
      <c r="Q332" s="7"/>
      <c r="R332" s="7"/>
      <c r="S332" s="7"/>
      <c r="T332" s="7"/>
      <c r="U332" s="7"/>
    </row>
    <row r="333" customFormat="false" ht="15" hidden="false" customHeight="false" outlineLevel="0" collapsed="false">
      <c r="A333" s="7" t="s">
        <v>9</v>
      </c>
      <c r="B333" s="7" t="s">
        <v>2568</v>
      </c>
      <c r="C333" s="7" t="s">
        <v>24</v>
      </c>
      <c r="D333" s="7" t="s">
        <v>2569</v>
      </c>
      <c r="E333" s="7" t="s">
        <v>2570</v>
      </c>
      <c r="F333" s="7" t="s">
        <v>88</v>
      </c>
      <c r="G333" s="7" t="s">
        <v>2571</v>
      </c>
      <c r="H333" s="7" t="s">
        <v>68</v>
      </c>
      <c r="I333" s="10" t="n">
        <v>2000</v>
      </c>
      <c r="J333" s="7" t="s">
        <v>377</v>
      </c>
      <c r="K333" s="7"/>
      <c r="L333" s="7" t="s">
        <v>2572</v>
      </c>
      <c r="M333" s="7" t="s">
        <v>414</v>
      </c>
      <c r="N333" s="7" t="s">
        <v>2573</v>
      </c>
      <c r="O333" s="7" t="s">
        <v>2574</v>
      </c>
      <c r="P333" s="7" t="s">
        <v>2575</v>
      </c>
      <c r="Q333" s="7"/>
      <c r="R333" s="7"/>
      <c r="S333" s="7"/>
      <c r="T333" s="7"/>
      <c r="U333" s="7"/>
    </row>
    <row r="334" customFormat="false" ht="15" hidden="false" customHeight="false" outlineLevel="0" collapsed="false">
      <c r="A334" s="7" t="s">
        <v>9</v>
      </c>
      <c r="B334" s="7" t="s">
        <v>2576</v>
      </c>
      <c r="C334" s="7" t="s">
        <v>24</v>
      </c>
      <c r="D334" s="7" t="s">
        <v>2577</v>
      </c>
      <c r="E334" s="7" t="s">
        <v>2578</v>
      </c>
      <c r="F334" s="7" t="s">
        <v>78</v>
      </c>
      <c r="G334" s="7" t="s">
        <v>2579</v>
      </c>
      <c r="H334" s="7" t="s">
        <v>68</v>
      </c>
      <c r="I334" s="10" t="n">
        <v>3000</v>
      </c>
      <c r="J334" s="7" t="s">
        <v>377</v>
      </c>
      <c r="K334" s="7"/>
      <c r="L334" s="7" t="s">
        <v>2580</v>
      </c>
      <c r="M334" s="7" t="s">
        <v>2581</v>
      </c>
      <c r="N334" s="7" t="s">
        <v>2582</v>
      </c>
      <c r="O334" s="7" t="s">
        <v>2583</v>
      </c>
      <c r="P334" s="7" t="s">
        <v>2584</v>
      </c>
      <c r="Q334" s="7"/>
      <c r="R334" s="7"/>
      <c r="S334" s="7"/>
      <c r="T334" s="7"/>
      <c r="U334" s="7"/>
    </row>
    <row r="335" customFormat="false" ht="15" hidden="false" customHeight="false" outlineLevel="0" collapsed="false">
      <c r="A335" s="7" t="s">
        <v>9</v>
      </c>
      <c r="B335" s="7" t="s">
        <v>2585</v>
      </c>
      <c r="C335" s="7" t="s">
        <v>24</v>
      </c>
      <c r="D335" s="7" t="s">
        <v>2586</v>
      </c>
      <c r="E335" s="7" t="s">
        <v>112</v>
      </c>
      <c r="F335" s="7" t="s">
        <v>113</v>
      </c>
      <c r="G335" s="7" t="s">
        <v>2587</v>
      </c>
      <c r="H335" s="7" t="s">
        <v>68</v>
      </c>
      <c r="I335" s="10" t="n">
        <v>700</v>
      </c>
      <c r="J335" s="7" t="s">
        <v>377</v>
      </c>
      <c r="K335" s="7"/>
      <c r="L335" s="7" t="s">
        <v>2588</v>
      </c>
      <c r="M335" s="7" t="s">
        <v>321</v>
      </c>
      <c r="N335" s="7" t="s">
        <v>2589</v>
      </c>
      <c r="O335" s="7" t="s">
        <v>2590</v>
      </c>
      <c r="P335" s="7" t="s">
        <v>2591</v>
      </c>
      <c r="Q335" s="7"/>
      <c r="R335" s="7"/>
      <c r="S335" s="7"/>
      <c r="T335" s="7"/>
      <c r="U335" s="7"/>
    </row>
    <row r="336" customFormat="false" ht="15" hidden="false" customHeight="false" outlineLevel="0" collapsed="false">
      <c r="A336" s="7" t="s">
        <v>9</v>
      </c>
      <c r="B336" s="7" t="s">
        <v>2592</v>
      </c>
      <c r="C336" s="7" t="s">
        <v>24</v>
      </c>
      <c r="D336" s="7" t="s">
        <v>2593</v>
      </c>
      <c r="E336" s="7" t="s">
        <v>2594</v>
      </c>
      <c r="F336" s="7" t="s">
        <v>78</v>
      </c>
      <c r="G336" s="7" t="s">
        <v>2595</v>
      </c>
      <c r="H336" s="7" t="s">
        <v>68</v>
      </c>
      <c r="I336" s="10" t="n">
        <v>400</v>
      </c>
      <c r="J336" s="7" t="s">
        <v>377</v>
      </c>
      <c r="K336" s="7"/>
      <c r="L336" s="7" t="s">
        <v>2596</v>
      </c>
      <c r="M336" s="7" t="s">
        <v>2597</v>
      </c>
      <c r="N336" s="7" t="s">
        <v>2598</v>
      </c>
      <c r="O336" s="7" t="s">
        <v>2599</v>
      </c>
      <c r="P336" s="7" t="s">
        <v>2559</v>
      </c>
      <c r="Q336" s="7"/>
      <c r="R336" s="7"/>
      <c r="S336" s="7"/>
      <c r="T336" s="7"/>
      <c r="U336" s="7"/>
    </row>
    <row r="337" customFormat="false" ht="15" hidden="false" customHeight="false" outlineLevel="0" collapsed="false">
      <c r="A337" s="7" t="s">
        <v>9</v>
      </c>
      <c r="B337" s="7" t="s">
        <v>2600</v>
      </c>
      <c r="C337" s="7" t="s">
        <v>24</v>
      </c>
      <c r="D337" s="7" t="s">
        <v>2601</v>
      </c>
      <c r="E337" s="7" t="s">
        <v>723</v>
      </c>
      <c r="F337" s="7" t="s">
        <v>105</v>
      </c>
      <c r="G337" s="7" t="s">
        <v>2602</v>
      </c>
      <c r="H337" s="7" t="s">
        <v>68</v>
      </c>
      <c r="I337" s="10" t="n">
        <v>1500</v>
      </c>
      <c r="J337" s="7" t="s">
        <v>377</v>
      </c>
      <c r="K337" s="7"/>
      <c r="L337" s="7" t="s">
        <v>2603</v>
      </c>
      <c r="M337" s="7" t="s">
        <v>2604</v>
      </c>
      <c r="N337" s="7" t="s">
        <v>2605</v>
      </c>
      <c r="O337" s="7" t="s">
        <v>2606</v>
      </c>
      <c r="P337" s="7" t="s">
        <v>2607</v>
      </c>
      <c r="Q337" s="7"/>
      <c r="R337" s="7"/>
      <c r="S337" s="7"/>
      <c r="T337" s="7"/>
      <c r="U337" s="7"/>
    </row>
    <row r="338" customFormat="false" ht="15" hidden="false" customHeight="false" outlineLevel="0" collapsed="false">
      <c r="A338" s="7" t="s">
        <v>9</v>
      </c>
      <c r="B338" s="7" t="s">
        <v>2608</v>
      </c>
      <c r="C338" s="7" t="s">
        <v>24</v>
      </c>
      <c r="D338" s="7" t="s">
        <v>2609</v>
      </c>
      <c r="E338" s="7" t="s">
        <v>2610</v>
      </c>
      <c r="F338" s="7" t="s">
        <v>190</v>
      </c>
      <c r="G338" s="7" t="s">
        <v>2611</v>
      </c>
      <c r="H338" s="7" t="s">
        <v>68</v>
      </c>
      <c r="I338" s="10" t="n">
        <v>2000</v>
      </c>
      <c r="J338" s="7" t="s">
        <v>377</v>
      </c>
      <c r="K338" s="7"/>
      <c r="L338" s="7" t="s">
        <v>2612</v>
      </c>
      <c r="M338" s="7" t="s">
        <v>2613</v>
      </c>
      <c r="N338" s="7" t="s">
        <v>2614</v>
      </c>
      <c r="O338" s="7" t="s">
        <v>2615</v>
      </c>
      <c r="P338" s="7" t="s">
        <v>2616</v>
      </c>
      <c r="Q338" s="7"/>
      <c r="R338" s="7"/>
      <c r="S338" s="7"/>
      <c r="T338" s="7"/>
      <c r="U338" s="7"/>
    </row>
    <row r="339" customFormat="false" ht="15" hidden="false" customHeight="false" outlineLevel="0" collapsed="false">
      <c r="A339" s="7" t="s">
        <v>9</v>
      </c>
      <c r="B339" s="7" t="s">
        <v>2617</v>
      </c>
      <c r="C339" s="7" t="s">
        <v>24</v>
      </c>
      <c r="D339" s="7" t="s">
        <v>2618</v>
      </c>
      <c r="E339" s="7" t="s">
        <v>2619</v>
      </c>
      <c r="F339" s="7" t="s">
        <v>147</v>
      </c>
      <c r="G339" s="7" t="s">
        <v>2620</v>
      </c>
      <c r="H339" s="7" t="s">
        <v>68</v>
      </c>
      <c r="I339" s="10" t="n">
        <v>1500</v>
      </c>
      <c r="J339" s="7" t="s">
        <v>377</v>
      </c>
      <c r="K339" s="7"/>
      <c r="L339" s="7" t="s">
        <v>2621</v>
      </c>
      <c r="M339" s="7" t="s">
        <v>2622</v>
      </c>
      <c r="N339" s="7" t="s">
        <v>2623</v>
      </c>
      <c r="O339" s="7" t="s">
        <v>2624</v>
      </c>
      <c r="P339" s="7" t="s">
        <v>2625</v>
      </c>
      <c r="Q339" s="7"/>
      <c r="R339" s="7"/>
      <c r="S339" s="7"/>
      <c r="T339" s="7"/>
      <c r="U339" s="7"/>
    </row>
    <row r="340" customFormat="false" ht="15" hidden="false" customHeight="false" outlineLevel="0" collapsed="false">
      <c r="A340" s="7" t="s">
        <v>9</v>
      </c>
      <c r="B340" s="7" t="s">
        <v>2626</v>
      </c>
      <c r="C340" s="7" t="s">
        <v>24</v>
      </c>
      <c r="D340" s="7" t="s">
        <v>305</v>
      </c>
      <c r="E340" s="7" t="s">
        <v>316</v>
      </c>
      <c r="F340" s="7" t="s">
        <v>317</v>
      </c>
      <c r="G340" s="7" t="s">
        <v>2627</v>
      </c>
      <c r="H340" s="7" t="s">
        <v>68</v>
      </c>
      <c r="I340" s="10" t="n">
        <v>800</v>
      </c>
      <c r="J340" s="7" t="s">
        <v>377</v>
      </c>
      <c r="K340" s="7"/>
      <c r="L340" s="7" t="s">
        <v>2628</v>
      </c>
      <c r="M340" s="7" t="s">
        <v>2629</v>
      </c>
      <c r="N340" s="7" t="s">
        <v>2630</v>
      </c>
      <c r="O340" s="7" t="s">
        <v>2631</v>
      </c>
      <c r="P340" s="7" t="s">
        <v>2632</v>
      </c>
      <c r="Q340" s="7"/>
      <c r="R340" s="7"/>
      <c r="S340" s="7"/>
      <c r="T340" s="7"/>
      <c r="U340" s="7"/>
    </row>
    <row r="341" customFormat="false" ht="15" hidden="false" customHeight="false" outlineLevel="0" collapsed="false">
      <c r="A341" s="7" t="s">
        <v>9</v>
      </c>
      <c r="B341" s="7" t="s">
        <v>2633</v>
      </c>
      <c r="C341" s="7" t="s">
        <v>24</v>
      </c>
      <c r="D341" s="7" t="s">
        <v>2634</v>
      </c>
      <c r="E341" s="7" t="s">
        <v>1867</v>
      </c>
      <c r="F341" s="7" t="s">
        <v>78</v>
      </c>
      <c r="G341" s="7" t="s">
        <v>2635</v>
      </c>
      <c r="H341" s="7" t="s">
        <v>68</v>
      </c>
      <c r="I341" s="10" t="n">
        <v>1500</v>
      </c>
      <c r="J341" s="7" t="s">
        <v>377</v>
      </c>
      <c r="K341" s="7"/>
      <c r="L341" s="7" t="s">
        <v>2636</v>
      </c>
      <c r="M341" s="7" t="s">
        <v>2637</v>
      </c>
      <c r="N341" s="7" t="s">
        <v>2638</v>
      </c>
      <c r="O341" s="7" t="s">
        <v>2639</v>
      </c>
      <c r="P341" s="7" t="s">
        <v>2640</v>
      </c>
      <c r="Q341" s="7"/>
      <c r="R341" s="7"/>
      <c r="S341" s="7"/>
      <c r="T341" s="7"/>
      <c r="U341" s="7"/>
    </row>
    <row r="342" customFormat="false" ht="15" hidden="false" customHeight="false" outlineLevel="0" collapsed="false">
      <c r="A342" s="7" t="s">
        <v>9</v>
      </c>
      <c r="B342" s="7" t="s">
        <v>2641</v>
      </c>
      <c r="C342" s="7" t="s">
        <v>24</v>
      </c>
      <c r="D342" s="7" t="s">
        <v>2520</v>
      </c>
      <c r="E342" s="7" t="s">
        <v>1612</v>
      </c>
      <c r="F342" s="7" t="s">
        <v>147</v>
      </c>
      <c r="G342" s="7" t="s">
        <v>2642</v>
      </c>
      <c r="H342" s="7" t="s">
        <v>68</v>
      </c>
      <c r="I342" s="10" t="n">
        <v>2300</v>
      </c>
      <c r="J342" s="7" t="s">
        <v>350</v>
      </c>
      <c r="K342" s="7"/>
      <c r="L342" s="7" t="s">
        <v>2643</v>
      </c>
      <c r="M342" s="7" t="s">
        <v>2506</v>
      </c>
      <c r="N342" s="7" t="s">
        <v>2644</v>
      </c>
      <c r="O342" s="7" t="s">
        <v>2645</v>
      </c>
      <c r="P342" s="7" t="s">
        <v>2525</v>
      </c>
      <c r="Q342" s="7"/>
      <c r="R342" s="7"/>
      <c r="S342" s="7"/>
      <c r="T342" s="7"/>
      <c r="U342" s="7"/>
    </row>
    <row r="343" customFormat="false" ht="15" hidden="false" customHeight="false" outlineLevel="0" collapsed="false">
      <c r="A343" s="7" t="s">
        <v>9</v>
      </c>
      <c r="B343" s="7" t="s">
        <v>2646</v>
      </c>
      <c r="C343" s="7" t="s">
        <v>24</v>
      </c>
      <c r="D343" s="7" t="s">
        <v>2618</v>
      </c>
      <c r="E343" s="7" t="s">
        <v>515</v>
      </c>
      <c r="F343" s="7" t="s">
        <v>428</v>
      </c>
      <c r="G343" s="7" t="s">
        <v>2647</v>
      </c>
      <c r="H343" s="7" t="s">
        <v>68</v>
      </c>
      <c r="I343" s="10" t="n">
        <v>2100</v>
      </c>
      <c r="J343" s="7" t="s">
        <v>377</v>
      </c>
      <c r="K343" s="7"/>
      <c r="L343" s="7" t="s">
        <v>2648</v>
      </c>
      <c r="M343" s="7" t="s">
        <v>414</v>
      </c>
      <c r="N343" s="7" t="s">
        <v>2649</v>
      </c>
      <c r="O343" s="7" t="s">
        <v>2650</v>
      </c>
      <c r="P343" s="7" t="s">
        <v>2651</v>
      </c>
      <c r="Q343" s="7"/>
      <c r="R343" s="7"/>
      <c r="S343" s="7"/>
      <c r="T343" s="7"/>
      <c r="U343" s="7"/>
    </row>
    <row r="344" customFormat="false" ht="15" hidden="false" customHeight="false" outlineLevel="0" collapsed="false">
      <c r="A344" s="7" t="s">
        <v>9</v>
      </c>
      <c r="B344" s="7" t="s">
        <v>2652</v>
      </c>
      <c r="C344" s="7" t="s">
        <v>24</v>
      </c>
      <c r="D344" s="7" t="s">
        <v>2653</v>
      </c>
      <c r="E344" s="7" t="s">
        <v>112</v>
      </c>
      <c r="F344" s="7" t="s">
        <v>113</v>
      </c>
      <c r="G344" s="7" t="s">
        <v>2654</v>
      </c>
      <c r="H344" s="7" t="s">
        <v>149</v>
      </c>
      <c r="I344" s="10" t="n">
        <v>300</v>
      </c>
      <c r="J344" s="7" t="s">
        <v>377</v>
      </c>
      <c r="K344" s="7"/>
      <c r="L344" s="7" t="s">
        <v>2655</v>
      </c>
      <c r="M344" s="7" t="s">
        <v>2597</v>
      </c>
      <c r="N344" s="7" t="s">
        <v>2656</v>
      </c>
      <c r="O344" s="7" t="s">
        <v>2657</v>
      </c>
      <c r="P344" s="7" t="s">
        <v>2658</v>
      </c>
      <c r="Q344" s="7"/>
      <c r="R344" s="7"/>
      <c r="S344" s="7"/>
      <c r="T344" s="7"/>
      <c r="U344" s="7"/>
    </row>
    <row r="345" customFormat="false" ht="15" hidden="false" customHeight="false" outlineLevel="0" collapsed="false">
      <c r="A345" s="7" t="s">
        <v>9</v>
      </c>
      <c r="B345" s="7" t="s">
        <v>2659</v>
      </c>
      <c r="C345" s="7" t="s">
        <v>24</v>
      </c>
      <c r="D345" s="7" t="s">
        <v>2660</v>
      </c>
      <c r="E345" s="7" t="s">
        <v>723</v>
      </c>
      <c r="F345" s="7" t="s">
        <v>105</v>
      </c>
      <c r="G345" s="7" t="s">
        <v>2661</v>
      </c>
      <c r="H345" s="7" t="s">
        <v>149</v>
      </c>
      <c r="I345" s="10" t="n">
        <v>2000</v>
      </c>
      <c r="J345" s="7" t="s">
        <v>350</v>
      </c>
      <c r="K345" s="7"/>
      <c r="L345" s="7" t="s">
        <v>2662</v>
      </c>
      <c r="M345" s="7" t="s">
        <v>2564</v>
      </c>
      <c r="N345" s="7" t="s">
        <v>2663</v>
      </c>
      <c r="O345" s="7" t="s">
        <v>2664</v>
      </c>
      <c r="P345" s="7" t="s">
        <v>2665</v>
      </c>
      <c r="Q345" s="7"/>
      <c r="R345" s="7"/>
      <c r="S345" s="7"/>
      <c r="T345" s="7"/>
      <c r="U345" s="7"/>
    </row>
    <row r="346" customFormat="false" ht="15" hidden="false" customHeight="false" outlineLevel="0" collapsed="false">
      <c r="A346" s="7" t="s">
        <v>9</v>
      </c>
      <c r="B346" s="7" t="s">
        <v>2666</v>
      </c>
      <c r="C346" s="7" t="s">
        <v>24</v>
      </c>
      <c r="D346" s="7" t="s">
        <v>305</v>
      </c>
      <c r="E346" s="7" t="s">
        <v>2667</v>
      </c>
      <c r="F346" s="7" t="s">
        <v>428</v>
      </c>
      <c r="G346" s="7" t="s">
        <v>2668</v>
      </c>
      <c r="H346" s="7" t="s">
        <v>149</v>
      </c>
      <c r="I346" s="10" t="n">
        <v>600</v>
      </c>
      <c r="J346" s="7" t="s">
        <v>377</v>
      </c>
      <c r="K346" s="7"/>
      <c r="L346" s="7" t="s">
        <v>2669</v>
      </c>
      <c r="M346" s="7" t="s">
        <v>2670</v>
      </c>
      <c r="N346" s="7" t="s">
        <v>2671</v>
      </c>
      <c r="O346" s="7" t="s">
        <v>2672</v>
      </c>
      <c r="P346" s="7" t="s">
        <v>2673</v>
      </c>
      <c r="Q346" s="7"/>
      <c r="R346" s="7"/>
      <c r="S346" s="7"/>
      <c r="T346" s="7"/>
      <c r="U346" s="7"/>
    </row>
    <row r="347" customFormat="false" ht="15" hidden="false" customHeight="false" outlineLevel="0" collapsed="false">
      <c r="A347" s="7" t="s">
        <v>9</v>
      </c>
      <c r="B347" s="7" t="s">
        <v>2674</v>
      </c>
      <c r="C347" s="7" t="s">
        <v>24</v>
      </c>
      <c r="D347" s="7" t="s">
        <v>2675</v>
      </c>
      <c r="E347" s="7" t="s">
        <v>1599</v>
      </c>
      <c r="F347" s="7" t="s">
        <v>78</v>
      </c>
      <c r="G347" s="7" t="s">
        <v>2676</v>
      </c>
      <c r="H347" s="7" t="s">
        <v>149</v>
      </c>
      <c r="I347" s="10" t="n">
        <v>300</v>
      </c>
      <c r="J347" s="7" t="s">
        <v>377</v>
      </c>
      <c r="K347" s="7"/>
      <c r="L347" s="7" t="s">
        <v>2677</v>
      </c>
      <c r="M347" s="7" t="s">
        <v>321</v>
      </c>
      <c r="N347" s="7" t="s">
        <v>2678</v>
      </c>
      <c r="O347" s="7" t="s">
        <v>2679</v>
      </c>
      <c r="P347" s="7" t="s">
        <v>2680</v>
      </c>
      <c r="Q347" s="7"/>
      <c r="R347" s="7"/>
      <c r="S347" s="7"/>
      <c r="T347" s="7"/>
      <c r="U347" s="7"/>
    </row>
    <row r="348" customFormat="false" ht="15" hidden="false" customHeight="false" outlineLevel="0" collapsed="false">
      <c r="A348" s="7" t="s">
        <v>9</v>
      </c>
      <c r="B348" s="7" t="s">
        <v>2681</v>
      </c>
      <c r="C348" s="7" t="s">
        <v>24</v>
      </c>
      <c r="D348" s="7" t="s">
        <v>2682</v>
      </c>
      <c r="E348" s="7" t="s">
        <v>316</v>
      </c>
      <c r="F348" s="7" t="s">
        <v>105</v>
      </c>
      <c r="G348" s="7" t="s">
        <v>2683</v>
      </c>
      <c r="H348" s="7" t="s">
        <v>149</v>
      </c>
      <c r="I348" s="10" t="n">
        <v>1000</v>
      </c>
      <c r="J348" s="7" t="s">
        <v>377</v>
      </c>
      <c r="K348" s="7"/>
      <c r="L348" s="7" t="s">
        <v>2684</v>
      </c>
      <c r="M348" s="7" t="s">
        <v>2685</v>
      </c>
      <c r="N348" s="7" t="s">
        <v>2686</v>
      </c>
      <c r="O348" s="7" t="s">
        <v>2687</v>
      </c>
      <c r="P348" s="7" t="s">
        <v>2688</v>
      </c>
      <c r="Q348" s="7"/>
      <c r="R348" s="7"/>
      <c r="S348" s="7"/>
      <c r="T348" s="7"/>
      <c r="U348" s="7"/>
    </row>
    <row r="349" customFormat="false" ht="15" hidden="false" customHeight="false" outlineLevel="0" collapsed="false">
      <c r="A349" s="7" t="s">
        <v>9</v>
      </c>
      <c r="B349" s="7" t="s">
        <v>2689</v>
      </c>
      <c r="C349" s="7" t="s">
        <v>24</v>
      </c>
      <c r="D349" s="7" t="s">
        <v>2520</v>
      </c>
      <c r="E349" s="7" t="s">
        <v>2690</v>
      </c>
      <c r="F349" s="7" t="s">
        <v>163</v>
      </c>
      <c r="G349" s="7" t="s">
        <v>2691</v>
      </c>
      <c r="H349" s="7" t="s">
        <v>149</v>
      </c>
      <c r="I349" s="10" t="n">
        <v>1300</v>
      </c>
      <c r="J349" s="7" t="s">
        <v>350</v>
      </c>
      <c r="K349" s="7"/>
      <c r="L349" s="7" t="s">
        <v>2692</v>
      </c>
      <c r="M349" s="7" t="s">
        <v>2693</v>
      </c>
      <c r="N349" s="7" t="s">
        <v>2694</v>
      </c>
      <c r="O349" s="7" t="s">
        <v>2695</v>
      </c>
      <c r="P349" s="7" t="s">
        <v>2525</v>
      </c>
      <c r="Q349" s="7"/>
      <c r="R349" s="7"/>
      <c r="S349" s="7"/>
      <c r="T349" s="7"/>
      <c r="U349" s="7"/>
    </row>
    <row r="350" customFormat="false" ht="15" hidden="false" customHeight="false" outlineLevel="0" collapsed="false">
      <c r="A350" s="7" t="s">
        <v>9</v>
      </c>
      <c r="B350" s="7" t="s">
        <v>2696</v>
      </c>
      <c r="C350" s="7" t="s">
        <v>24</v>
      </c>
      <c r="D350" s="7" t="s">
        <v>2697</v>
      </c>
      <c r="E350" s="7" t="s">
        <v>2698</v>
      </c>
      <c r="F350" s="7" t="s">
        <v>1212</v>
      </c>
      <c r="G350" s="7" t="s">
        <v>2699</v>
      </c>
      <c r="H350" s="7" t="s">
        <v>149</v>
      </c>
      <c r="I350" s="10" t="n">
        <v>1000</v>
      </c>
      <c r="J350" s="7" t="s">
        <v>377</v>
      </c>
      <c r="K350" s="7"/>
      <c r="L350" s="7" t="s">
        <v>2700</v>
      </c>
      <c r="M350" s="7" t="s">
        <v>2701</v>
      </c>
      <c r="N350" s="7" t="s">
        <v>2702</v>
      </c>
      <c r="O350" s="7" t="s">
        <v>2703</v>
      </c>
      <c r="P350" s="7" t="s">
        <v>2704</v>
      </c>
      <c r="Q350" s="7"/>
      <c r="R350" s="7"/>
      <c r="S350" s="7"/>
      <c r="T350" s="7"/>
      <c r="U350" s="7"/>
    </row>
    <row r="351" customFormat="false" ht="15" hidden="false" customHeight="false" outlineLevel="0" collapsed="false">
      <c r="A351" s="7" t="s">
        <v>9</v>
      </c>
      <c r="B351" s="7" t="s">
        <v>2705</v>
      </c>
      <c r="C351" s="7" t="s">
        <v>24</v>
      </c>
      <c r="D351" s="7" t="s">
        <v>2520</v>
      </c>
      <c r="E351" s="7" t="s">
        <v>2706</v>
      </c>
      <c r="F351" s="7" t="s">
        <v>78</v>
      </c>
      <c r="G351" s="7" t="s">
        <v>2707</v>
      </c>
      <c r="H351" s="7" t="s">
        <v>149</v>
      </c>
      <c r="I351" s="10" t="n">
        <v>900</v>
      </c>
      <c r="J351" s="7" t="s">
        <v>350</v>
      </c>
      <c r="K351" s="7"/>
      <c r="L351" s="7" t="s">
        <v>2708</v>
      </c>
      <c r="M351" s="7" t="s">
        <v>2709</v>
      </c>
      <c r="N351" s="7" t="s">
        <v>2710</v>
      </c>
      <c r="O351" s="7" t="s">
        <v>2711</v>
      </c>
      <c r="P351" s="7" t="s">
        <v>2525</v>
      </c>
      <c r="Q351" s="7"/>
      <c r="R351" s="7"/>
      <c r="S351" s="7"/>
      <c r="T351" s="7"/>
      <c r="U351" s="7"/>
    </row>
    <row r="352" customFormat="false" ht="15" hidden="false" customHeight="false" outlineLevel="0" collapsed="false">
      <c r="A352" s="7" t="s">
        <v>9</v>
      </c>
      <c r="B352" s="7" t="s">
        <v>2712</v>
      </c>
      <c r="C352" s="7" t="s">
        <v>24</v>
      </c>
      <c r="D352" s="7" t="s">
        <v>2713</v>
      </c>
      <c r="E352" s="7" t="s">
        <v>249</v>
      </c>
      <c r="F352" s="7" t="s">
        <v>250</v>
      </c>
      <c r="G352" s="7" t="s">
        <v>2714</v>
      </c>
      <c r="H352" s="7" t="s">
        <v>149</v>
      </c>
      <c r="I352" s="10" t="n">
        <v>1700</v>
      </c>
      <c r="J352" s="7" t="s">
        <v>377</v>
      </c>
      <c r="K352" s="7"/>
      <c r="L352" s="7" t="s">
        <v>2715</v>
      </c>
      <c r="M352" s="7" t="s">
        <v>2716</v>
      </c>
      <c r="N352" s="7" t="s">
        <v>2717</v>
      </c>
      <c r="O352" s="7" t="s">
        <v>2718</v>
      </c>
      <c r="P352" s="7" t="s">
        <v>2719</v>
      </c>
      <c r="Q352" s="7"/>
      <c r="R352" s="7"/>
      <c r="S352" s="7"/>
      <c r="T352" s="7"/>
      <c r="U352" s="7"/>
    </row>
    <row r="353" customFormat="false" ht="15" hidden="false" customHeight="false" outlineLevel="0" collapsed="false">
      <c r="A353" s="7" t="s">
        <v>9</v>
      </c>
      <c r="B353" s="7" t="s">
        <v>2720</v>
      </c>
      <c r="C353" s="7" t="s">
        <v>24</v>
      </c>
      <c r="D353" s="7" t="s">
        <v>2721</v>
      </c>
      <c r="E353" s="7" t="s">
        <v>112</v>
      </c>
      <c r="F353" s="7" t="s">
        <v>113</v>
      </c>
      <c r="G353" s="7" t="s">
        <v>2722</v>
      </c>
      <c r="H353" s="7" t="s">
        <v>174</v>
      </c>
      <c r="I353" s="10" t="n">
        <v>900</v>
      </c>
      <c r="J353" s="7" t="s">
        <v>377</v>
      </c>
      <c r="K353" s="7"/>
      <c r="L353" s="7" t="s">
        <v>2723</v>
      </c>
      <c r="M353" s="7" t="s">
        <v>300</v>
      </c>
      <c r="N353" s="7" t="s">
        <v>2724</v>
      </c>
      <c r="O353" s="7" t="s">
        <v>2725</v>
      </c>
      <c r="P353" s="7" t="s">
        <v>2726</v>
      </c>
      <c r="Q353" s="7"/>
      <c r="R353" s="7"/>
      <c r="S353" s="7"/>
      <c r="T353" s="7"/>
      <c r="U353" s="7"/>
    </row>
    <row r="354" customFormat="false" ht="15" hidden="false" customHeight="false" outlineLevel="0" collapsed="false">
      <c r="A354" s="7" t="s">
        <v>9</v>
      </c>
      <c r="B354" s="7" t="s">
        <v>2727</v>
      </c>
      <c r="C354" s="7" t="s">
        <v>24</v>
      </c>
      <c r="D354" s="7" t="s">
        <v>2728</v>
      </c>
      <c r="E354" s="7" t="s">
        <v>264</v>
      </c>
      <c r="F354" s="7" t="s">
        <v>250</v>
      </c>
      <c r="G354" s="7" t="s">
        <v>2729</v>
      </c>
      <c r="H354" s="7" t="s">
        <v>258</v>
      </c>
      <c r="I354" s="10" t="n">
        <v>200</v>
      </c>
      <c r="J354" s="7" t="s">
        <v>377</v>
      </c>
      <c r="K354" s="7"/>
      <c r="L354" s="7" t="s">
        <v>2730</v>
      </c>
      <c r="M354" s="7" t="s">
        <v>2604</v>
      </c>
      <c r="N354" s="7" t="s">
        <v>2731</v>
      </c>
      <c r="O354" s="7" t="s">
        <v>2732</v>
      </c>
      <c r="P354" s="7" t="s">
        <v>2733</v>
      </c>
      <c r="Q354" s="7"/>
      <c r="R354" s="7"/>
      <c r="S354" s="7"/>
      <c r="T354" s="7"/>
      <c r="U354" s="7"/>
    </row>
    <row r="355" customFormat="false" ht="15" hidden="false" customHeight="false" outlineLevel="0" collapsed="false">
      <c r="A355" s="7" t="s">
        <v>9</v>
      </c>
      <c r="B355" s="7" t="s">
        <v>2734</v>
      </c>
      <c r="C355" s="7" t="s">
        <v>26</v>
      </c>
      <c r="D355" s="7" t="s">
        <v>2735</v>
      </c>
      <c r="E355" s="7" t="s">
        <v>2736</v>
      </c>
      <c r="F355" s="7" t="s">
        <v>338</v>
      </c>
      <c r="G355" s="7" t="s">
        <v>2737</v>
      </c>
      <c r="H355" s="7" t="s">
        <v>68</v>
      </c>
      <c r="I355" s="10" t="n">
        <v>800</v>
      </c>
      <c r="J355" s="7" t="s">
        <v>350</v>
      </c>
      <c r="K355" s="7"/>
      <c r="L355" s="7"/>
      <c r="M355" s="7" t="s">
        <v>2738</v>
      </c>
      <c r="N355" s="7" t="s">
        <v>2739</v>
      </c>
      <c r="O355" s="7" t="s">
        <v>2740</v>
      </c>
      <c r="P355" s="7" t="s">
        <v>2741</v>
      </c>
      <c r="Q355" s="7"/>
      <c r="R355" s="7"/>
      <c r="S355" s="7"/>
      <c r="T355" s="7"/>
      <c r="U355" s="7"/>
    </row>
    <row r="356" customFormat="false" ht="15" hidden="false" customHeight="false" outlineLevel="0" collapsed="false">
      <c r="A356" s="7" t="s">
        <v>9</v>
      </c>
      <c r="B356" s="7" t="s">
        <v>2742</v>
      </c>
      <c r="C356" s="7" t="s">
        <v>26</v>
      </c>
      <c r="D356" s="7" t="s">
        <v>2743</v>
      </c>
      <c r="E356" s="7" t="s">
        <v>1029</v>
      </c>
      <c r="F356" s="7" t="s">
        <v>1030</v>
      </c>
      <c r="G356" s="7" t="s">
        <v>2744</v>
      </c>
      <c r="H356" s="7" t="s">
        <v>68</v>
      </c>
      <c r="I356" s="10" t="n">
        <v>2500</v>
      </c>
      <c r="J356" s="7" t="s">
        <v>386</v>
      </c>
      <c r="K356" s="7"/>
      <c r="L356" s="7"/>
      <c r="M356" s="7" t="s">
        <v>1491</v>
      </c>
      <c r="N356" s="7" t="s">
        <v>2745</v>
      </c>
      <c r="O356" s="7" t="s">
        <v>2746</v>
      </c>
      <c r="P356" s="7" t="s">
        <v>2747</v>
      </c>
      <c r="Q356" s="7"/>
      <c r="R356" s="7"/>
      <c r="S356" s="7"/>
      <c r="T356" s="7"/>
      <c r="U356" s="7"/>
    </row>
    <row r="357" customFormat="false" ht="15" hidden="false" customHeight="false" outlineLevel="0" collapsed="false">
      <c r="A357" s="7" t="s">
        <v>9</v>
      </c>
      <c r="B357" s="7" t="s">
        <v>2748</v>
      </c>
      <c r="C357" s="7" t="s">
        <v>26</v>
      </c>
      <c r="D357" s="7" t="s">
        <v>2749</v>
      </c>
      <c r="E357" s="7" t="s">
        <v>2750</v>
      </c>
      <c r="F357" s="7" t="s">
        <v>1081</v>
      </c>
      <c r="G357" s="7" t="s">
        <v>2751</v>
      </c>
      <c r="H357" s="7" t="s">
        <v>149</v>
      </c>
      <c r="I357" s="10" t="n">
        <v>600</v>
      </c>
      <c r="J357" s="7" t="s">
        <v>386</v>
      </c>
      <c r="K357" s="7"/>
      <c r="L357" s="7"/>
      <c r="M357" s="7" t="s">
        <v>2752</v>
      </c>
      <c r="N357" s="7" t="s">
        <v>2753</v>
      </c>
      <c r="O357" s="7" t="s">
        <v>2754</v>
      </c>
      <c r="P357" s="7" t="s">
        <v>2755</v>
      </c>
      <c r="Q357" s="7"/>
      <c r="R357" s="7"/>
      <c r="S357" s="7"/>
      <c r="T357" s="7"/>
      <c r="U357" s="7"/>
    </row>
    <row r="358" customFormat="false" ht="15" hidden="false" customHeight="false" outlineLevel="0" collapsed="false">
      <c r="A358" s="7" t="s">
        <v>9</v>
      </c>
      <c r="B358" s="7" t="s">
        <v>2756</v>
      </c>
      <c r="C358" s="7" t="s">
        <v>27</v>
      </c>
      <c r="D358" s="7" t="s">
        <v>2757</v>
      </c>
      <c r="E358" s="7" t="s">
        <v>146</v>
      </c>
      <c r="F358" s="7" t="s">
        <v>147</v>
      </c>
      <c r="G358" s="7" t="s">
        <v>2758</v>
      </c>
      <c r="H358" s="7" t="s">
        <v>68</v>
      </c>
      <c r="I358" s="10" t="n">
        <v>5000</v>
      </c>
      <c r="J358" s="7" t="s">
        <v>350</v>
      </c>
      <c r="K358" s="7"/>
      <c r="L358" s="7" t="s">
        <v>2759</v>
      </c>
      <c r="M358" s="7" t="s">
        <v>2760</v>
      </c>
      <c r="N358" s="7" t="s">
        <v>2761</v>
      </c>
      <c r="O358" s="7" t="s">
        <v>2762</v>
      </c>
      <c r="P358" s="7" t="s">
        <v>2763</v>
      </c>
      <c r="Q358" s="7"/>
      <c r="R358" s="7"/>
      <c r="S358" s="7"/>
      <c r="T358" s="7"/>
      <c r="U358" s="7"/>
    </row>
    <row r="359" customFormat="false" ht="15" hidden="false" customHeight="false" outlineLevel="0" collapsed="false">
      <c r="A359" s="7" t="s">
        <v>9</v>
      </c>
      <c r="B359" s="7" t="s">
        <v>2764</v>
      </c>
      <c r="C359" s="7" t="s">
        <v>27</v>
      </c>
      <c r="D359" s="7" t="s">
        <v>2757</v>
      </c>
      <c r="E359" s="7" t="s">
        <v>2765</v>
      </c>
      <c r="F359" s="7" t="s">
        <v>78</v>
      </c>
      <c r="G359" s="7" t="s">
        <v>2766</v>
      </c>
      <c r="H359" s="7" t="s">
        <v>68</v>
      </c>
      <c r="I359" s="10" t="n">
        <v>3000</v>
      </c>
      <c r="J359" s="7" t="s">
        <v>350</v>
      </c>
      <c r="K359" s="7"/>
      <c r="L359" s="7"/>
      <c r="M359" s="7" t="s">
        <v>2760</v>
      </c>
      <c r="N359" s="7" t="s">
        <v>2767</v>
      </c>
      <c r="O359" s="7" t="s">
        <v>2768</v>
      </c>
      <c r="P359" s="7" t="s">
        <v>2769</v>
      </c>
      <c r="Q359" s="7"/>
      <c r="R359" s="7"/>
      <c r="S359" s="7"/>
      <c r="T359" s="7"/>
      <c r="U359" s="7"/>
    </row>
    <row r="360" customFormat="false" ht="15" hidden="false" customHeight="false" outlineLevel="0" collapsed="false">
      <c r="A360" s="7" t="s">
        <v>9</v>
      </c>
      <c r="B360" s="7" t="s">
        <v>2770</v>
      </c>
      <c r="C360" s="7" t="s">
        <v>28</v>
      </c>
      <c r="D360" s="7" t="s">
        <v>2771</v>
      </c>
      <c r="E360" s="7" t="s">
        <v>2772</v>
      </c>
      <c r="F360" s="7" t="s">
        <v>338</v>
      </c>
      <c r="G360" s="7" t="s">
        <v>2773</v>
      </c>
      <c r="H360" s="7" t="s">
        <v>68</v>
      </c>
      <c r="I360" s="10" t="n">
        <v>3500</v>
      </c>
      <c r="J360" s="7" t="s">
        <v>386</v>
      </c>
      <c r="K360" s="7"/>
      <c r="L360" s="7" t="s">
        <v>2774</v>
      </c>
      <c r="M360" s="7" t="s">
        <v>2775</v>
      </c>
      <c r="N360" s="7" t="s">
        <v>2776</v>
      </c>
      <c r="O360" s="7" t="s">
        <v>2777</v>
      </c>
      <c r="P360" s="7" t="s">
        <v>2778</v>
      </c>
      <c r="Q360" s="7"/>
      <c r="R360" s="7"/>
      <c r="S360" s="7"/>
      <c r="T360" s="7"/>
      <c r="U360" s="7"/>
    </row>
    <row r="361" customFormat="false" ht="15" hidden="false" customHeight="false" outlineLevel="0" collapsed="false">
      <c r="A361" s="7" t="s">
        <v>9</v>
      </c>
      <c r="B361" s="7" t="s">
        <v>2779</v>
      </c>
      <c r="C361" s="7" t="s">
        <v>28</v>
      </c>
      <c r="D361" s="7" t="s">
        <v>2780</v>
      </c>
      <c r="E361" s="7" t="s">
        <v>2781</v>
      </c>
      <c r="F361" s="7" t="s">
        <v>222</v>
      </c>
      <c r="G361" s="7" t="s">
        <v>2782</v>
      </c>
      <c r="H361" s="7" t="s">
        <v>68</v>
      </c>
      <c r="I361" s="10" t="n">
        <v>15000</v>
      </c>
      <c r="J361" s="7" t="s">
        <v>350</v>
      </c>
      <c r="K361" s="7"/>
      <c r="L361" s="7" t="s">
        <v>2783</v>
      </c>
      <c r="M361" s="7" t="s">
        <v>2784</v>
      </c>
      <c r="N361" s="7" t="s">
        <v>2785</v>
      </c>
      <c r="O361" s="7" t="s">
        <v>2786</v>
      </c>
      <c r="P361" s="7" t="s">
        <v>2787</v>
      </c>
      <c r="Q361" s="7"/>
      <c r="R361" s="7"/>
      <c r="S361" s="7"/>
      <c r="T361" s="7"/>
      <c r="U361" s="7"/>
    </row>
    <row r="362" customFormat="false" ht="15" hidden="false" customHeight="false" outlineLevel="0" collapsed="false">
      <c r="A362" s="7" t="s">
        <v>9</v>
      </c>
      <c r="B362" s="7" t="s">
        <v>2788</v>
      </c>
      <c r="C362" s="7" t="s">
        <v>28</v>
      </c>
      <c r="D362" s="7" t="s">
        <v>2789</v>
      </c>
      <c r="E362" s="7" t="s">
        <v>986</v>
      </c>
      <c r="F362" s="7" t="s">
        <v>215</v>
      </c>
      <c r="G362" s="7" t="s">
        <v>2790</v>
      </c>
      <c r="H362" s="7" t="s">
        <v>68</v>
      </c>
      <c r="I362" s="10" t="n">
        <v>1500</v>
      </c>
      <c r="J362" s="7" t="s">
        <v>350</v>
      </c>
      <c r="K362" s="7"/>
      <c r="L362" s="7" t="s">
        <v>2791</v>
      </c>
      <c r="M362" s="7" t="s">
        <v>2792</v>
      </c>
      <c r="N362" s="7" t="s">
        <v>2793</v>
      </c>
      <c r="O362" s="7" t="s">
        <v>2794</v>
      </c>
      <c r="P362" s="7" t="s">
        <v>2795</v>
      </c>
      <c r="Q362" s="7"/>
      <c r="R362" s="7"/>
      <c r="S362" s="7"/>
      <c r="T362" s="7"/>
      <c r="U362" s="7"/>
    </row>
    <row r="363" customFormat="false" ht="15" hidden="false" customHeight="false" outlineLevel="0" collapsed="false">
      <c r="A363" s="7" t="s">
        <v>9</v>
      </c>
      <c r="B363" s="7" t="s">
        <v>2796</v>
      </c>
      <c r="C363" s="7" t="s">
        <v>28</v>
      </c>
      <c r="D363" s="7" t="s">
        <v>2797</v>
      </c>
      <c r="E363" s="7" t="s">
        <v>249</v>
      </c>
      <c r="F363" s="7" t="s">
        <v>250</v>
      </c>
      <c r="G363" s="7" t="s">
        <v>2798</v>
      </c>
      <c r="H363" s="7" t="s">
        <v>68</v>
      </c>
      <c r="I363" s="10" t="n">
        <v>900</v>
      </c>
      <c r="J363" s="7" t="s">
        <v>350</v>
      </c>
      <c r="K363" s="7"/>
      <c r="L363" s="7" t="s">
        <v>2799</v>
      </c>
      <c r="M363" s="7" t="s">
        <v>811</v>
      </c>
      <c r="N363" s="7" t="s">
        <v>2800</v>
      </c>
      <c r="O363" s="7" t="s">
        <v>2801</v>
      </c>
      <c r="P363" s="7" t="s">
        <v>2802</v>
      </c>
      <c r="Q363" s="7"/>
      <c r="R363" s="7"/>
      <c r="S363" s="7"/>
      <c r="T363" s="7"/>
      <c r="U363" s="7"/>
    </row>
    <row r="364" customFormat="false" ht="15" hidden="false" customHeight="false" outlineLevel="0" collapsed="false">
      <c r="A364" s="7" t="s">
        <v>9</v>
      </c>
      <c r="B364" s="7" t="s">
        <v>2803</v>
      </c>
      <c r="C364" s="7" t="s">
        <v>28</v>
      </c>
      <c r="D364" s="7" t="s">
        <v>2804</v>
      </c>
      <c r="E364" s="7" t="s">
        <v>2570</v>
      </c>
      <c r="F364" s="7" t="s">
        <v>88</v>
      </c>
      <c r="G364" s="7" t="s">
        <v>2805</v>
      </c>
      <c r="H364" s="7" t="s">
        <v>68</v>
      </c>
      <c r="I364" s="10" t="n">
        <v>700</v>
      </c>
      <c r="J364" s="7" t="s">
        <v>350</v>
      </c>
      <c r="K364" s="7"/>
      <c r="L364" s="7" t="s">
        <v>2806</v>
      </c>
      <c r="M364" s="7" t="s">
        <v>2807</v>
      </c>
      <c r="N364" s="7" t="s">
        <v>2808</v>
      </c>
      <c r="O364" s="7" t="s">
        <v>2809</v>
      </c>
      <c r="P364" s="7" t="s">
        <v>2810</v>
      </c>
      <c r="Q364" s="7"/>
      <c r="R364" s="7"/>
      <c r="S364" s="7"/>
      <c r="T364" s="7"/>
      <c r="U364" s="7"/>
    </row>
    <row r="365" customFormat="false" ht="15" hidden="false" customHeight="false" outlineLevel="0" collapsed="false">
      <c r="A365" s="7" t="s">
        <v>9</v>
      </c>
      <c r="B365" s="7" t="s">
        <v>2811</v>
      </c>
      <c r="C365" s="7" t="s">
        <v>28</v>
      </c>
      <c r="D365" s="7" t="s">
        <v>806</v>
      </c>
      <c r="E365" s="7" t="s">
        <v>112</v>
      </c>
      <c r="F365" s="7" t="s">
        <v>113</v>
      </c>
      <c r="G365" s="7" t="s">
        <v>2812</v>
      </c>
      <c r="H365" s="7" t="s">
        <v>68</v>
      </c>
      <c r="I365" s="10" t="n">
        <v>1200</v>
      </c>
      <c r="J365" s="7" t="s">
        <v>386</v>
      </c>
      <c r="K365" s="7"/>
      <c r="L365" s="7" t="s">
        <v>2813</v>
      </c>
      <c r="M365" s="7" t="s">
        <v>811</v>
      </c>
      <c r="N365" s="7" t="s">
        <v>2814</v>
      </c>
      <c r="O365" s="7" t="s">
        <v>2815</v>
      </c>
      <c r="P365" s="7" t="s">
        <v>2816</v>
      </c>
      <c r="Q365" s="7"/>
      <c r="R365" s="7"/>
      <c r="S365" s="7"/>
      <c r="T365" s="7"/>
      <c r="U365" s="7"/>
    </row>
    <row r="366" customFormat="false" ht="15" hidden="false" customHeight="false" outlineLevel="0" collapsed="false">
      <c r="A366" s="7" t="s">
        <v>9</v>
      </c>
      <c r="B366" s="7" t="s">
        <v>2817</v>
      </c>
      <c r="C366" s="7" t="s">
        <v>28</v>
      </c>
      <c r="D366" s="7" t="s">
        <v>2818</v>
      </c>
      <c r="E366" s="7" t="s">
        <v>2819</v>
      </c>
      <c r="F366" s="7" t="s">
        <v>147</v>
      </c>
      <c r="G366" s="7" t="s">
        <v>2820</v>
      </c>
      <c r="H366" s="7" t="s">
        <v>68</v>
      </c>
      <c r="I366" s="10" t="n">
        <v>500</v>
      </c>
      <c r="J366" s="7" t="s">
        <v>350</v>
      </c>
      <c r="K366" s="7"/>
      <c r="L366" s="7" t="s">
        <v>2821</v>
      </c>
      <c r="M366" s="7" t="s">
        <v>2822</v>
      </c>
      <c r="N366" s="7" t="s">
        <v>2823</v>
      </c>
      <c r="O366" s="7" t="s">
        <v>2824</v>
      </c>
      <c r="P366" s="7" t="s">
        <v>2825</v>
      </c>
      <c r="Q366" s="7"/>
      <c r="R366" s="7"/>
      <c r="S366" s="7"/>
      <c r="T366" s="7"/>
      <c r="U366" s="7"/>
    </row>
    <row r="367" customFormat="false" ht="15" hidden="false" customHeight="false" outlineLevel="0" collapsed="false">
      <c r="A367" s="7" t="s">
        <v>9</v>
      </c>
      <c r="B367" s="7" t="s">
        <v>2826</v>
      </c>
      <c r="C367" s="7" t="s">
        <v>28</v>
      </c>
      <c r="D367" s="7" t="s">
        <v>2804</v>
      </c>
      <c r="E367" s="7" t="s">
        <v>1889</v>
      </c>
      <c r="F367" s="7" t="s">
        <v>88</v>
      </c>
      <c r="G367" s="7" t="s">
        <v>2827</v>
      </c>
      <c r="H367" s="7" t="s">
        <v>68</v>
      </c>
      <c r="I367" s="10" t="n">
        <v>300</v>
      </c>
      <c r="J367" s="7" t="s">
        <v>350</v>
      </c>
      <c r="K367" s="7"/>
      <c r="L367" s="7" t="s">
        <v>2828</v>
      </c>
      <c r="M367" s="7" t="s">
        <v>2829</v>
      </c>
      <c r="N367" s="7" t="s">
        <v>2830</v>
      </c>
      <c r="O367" s="7" t="s">
        <v>2831</v>
      </c>
      <c r="P367" s="7" t="s">
        <v>2832</v>
      </c>
      <c r="Q367" s="7"/>
      <c r="R367" s="7"/>
      <c r="S367" s="7"/>
      <c r="T367" s="7"/>
      <c r="U367" s="7"/>
    </row>
    <row r="368" customFormat="false" ht="15" hidden="false" customHeight="false" outlineLevel="0" collapsed="false">
      <c r="A368" s="7" t="s">
        <v>9</v>
      </c>
      <c r="B368" s="7" t="s">
        <v>2833</v>
      </c>
      <c r="C368" s="7" t="s">
        <v>28</v>
      </c>
      <c r="D368" s="7" t="s">
        <v>2834</v>
      </c>
      <c r="E368" s="7" t="s">
        <v>2835</v>
      </c>
      <c r="F368" s="7" t="s">
        <v>113</v>
      </c>
      <c r="G368" s="7" t="s">
        <v>2836</v>
      </c>
      <c r="H368" s="7" t="s">
        <v>149</v>
      </c>
      <c r="I368" s="10" t="n">
        <v>3500</v>
      </c>
      <c r="J368" s="7" t="s">
        <v>386</v>
      </c>
      <c r="K368" s="7"/>
      <c r="L368" s="7" t="s">
        <v>2837</v>
      </c>
      <c r="M368" s="7" t="s">
        <v>2838</v>
      </c>
      <c r="N368" s="7" t="s">
        <v>2839</v>
      </c>
      <c r="O368" s="7" t="s">
        <v>2840</v>
      </c>
      <c r="P368" s="7" t="s">
        <v>2841</v>
      </c>
      <c r="Q368" s="7"/>
      <c r="R368" s="7"/>
      <c r="S368" s="7"/>
      <c r="T368" s="7"/>
      <c r="U368" s="7"/>
    </row>
    <row r="369" customFormat="false" ht="15" hidden="false" customHeight="false" outlineLevel="0" collapsed="false">
      <c r="A369" s="7" t="s">
        <v>9</v>
      </c>
      <c r="B369" s="7" t="s">
        <v>2842</v>
      </c>
      <c r="C369" s="7" t="s">
        <v>28</v>
      </c>
      <c r="D369" s="7" t="s">
        <v>2797</v>
      </c>
      <c r="E369" s="7" t="s">
        <v>2843</v>
      </c>
      <c r="F369" s="7" t="s">
        <v>428</v>
      </c>
      <c r="G369" s="7" t="s">
        <v>2844</v>
      </c>
      <c r="H369" s="7" t="s">
        <v>149</v>
      </c>
      <c r="I369" s="10" t="n">
        <v>400</v>
      </c>
      <c r="J369" s="7" t="s">
        <v>350</v>
      </c>
      <c r="K369" s="7"/>
      <c r="L369" s="7" t="s">
        <v>2845</v>
      </c>
      <c r="M369" s="7" t="s">
        <v>2846</v>
      </c>
      <c r="N369" s="7" t="s">
        <v>2847</v>
      </c>
      <c r="O369" s="7" t="s">
        <v>2848</v>
      </c>
      <c r="P369" s="7" t="s">
        <v>2849</v>
      </c>
      <c r="Q369" s="7"/>
      <c r="R369" s="7"/>
      <c r="S369" s="7"/>
      <c r="T369" s="7"/>
      <c r="U369" s="7"/>
    </row>
    <row r="370" customFormat="false" ht="15" hidden="false" customHeight="false" outlineLevel="0" collapsed="false">
      <c r="A370" s="7" t="s">
        <v>9</v>
      </c>
      <c r="B370" s="7" t="s">
        <v>2850</v>
      </c>
      <c r="C370" s="7" t="s">
        <v>28</v>
      </c>
      <c r="D370" s="7" t="s">
        <v>834</v>
      </c>
      <c r="E370" s="7" t="s">
        <v>112</v>
      </c>
      <c r="F370" s="7" t="s">
        <v>113</v>
      </c>
      <c r="G370" s="7" t="s">
        <v>2851</v>
      </c>
      <c r="H370" s="7" t="s">
        <v>149</v>
      </c>
      <c r="I370" s="10" t="n">
        <v>3000</v>
      </c>
      <c r="J370" s="7" t="s">
        <v>350</v>
      </c>
      <c r="K370" s="7"/>
      <c r="L370" s="7" t="s">
        <v>2852</v>
      </c>
      <c r="M370" s="7" t="s">
        <v>2853</v>
      </c>
      <c r="N370" s="7" t="s">
        <v>2854</v>
      </c>
      <c r="O370" s="7" t="s">
        <v>2855</v>
      </c>
      <c r="P370" s="7" t="s">
        <v>2856</v>
      </c>
      <c r="Q370" s="7"/>
      <c r="R370" s="7"/>
      <c r="S370" s="7"/>
      <c r="T370" s="7"/>
      <c r="U370" s="7"/>
    </row>
    <row r="371" customFormat="false" ht="15" hidden="false" customHeight="false" outlineLevel="0" collapsed="false">
      <c r="A371" s="7" t="s">
        <v>9</v>
      </c>
      <c r="B371" s="7" t="s">
        <v>2857</v>
      </c>
      <c r="C371" s="7" t="s">
        <v>28</v>
      </c>
      <c r="D371" s="7" t="s">
        <v>703</v>
      </c>
      <c r="E371" s="7" t="s">
        <v>77</v>
      </c>
      <c r="F371" s="7" t="s">
        <v>78</v>
      </c>
      <c r="G371" s="7" t="s">
        <v>2858</v>
      </c>
      <c r="H371" s="7" t="s">
        <v>149</v>
      </c>
      <c r="I371" s="10" t="n">
        <v>4000</v>
      </c>
      <c r="J371" s="7" t="s">
        <v>377</v>
      </c>
      <c r="K371" s="7"/>
      <c r="L371" s="7" t="s">
        <v>2859</v>
      </c>
      <c r="M371" s="7" t="s">
        <v>801</v>
      </c>
      <c r="N371" s="7" t="s">
        <v>2860</v>
      </c>
      <c r="O371" s="7" t="s">
        <v>2861</v>
      </c>
      <c r="P371" s="7" t="s">
        <v>2862</v>
      </c>
      <c r="Q371" s="7"/>
      <c r="R371" s="7"/>
      <c r="S371" s="7"/>
      <c r="T371" s="7"/>
      <c r="U371" s="7"/>
    </row>
    <row r="372" customFormat="false" ht="15" hidden="false" customHeight="false" outlineLevel="0" collapsed="false">
      <c r="A372" s="7" t="s">
        <v>9</v>
      </c>
      <c r="B372" s="7" t="s">
        <v>2863</v>
      </c>
      <c r="C372" s="7" t="s">
        <v>28</v>
      </c>
      <c r="D372" s="7" t="s">
        <v>852</v>
      </c>
      <c r="E372" s="7" t="s">
        <v>2765</v>
      </c>
      <c r="F372" s="7" t="s">
        <v>155</v>
      </c>
      <c r="G372" s="7" t="s">
        <v>2864</v>
      </c>
      <c r="H372" s="7" t="s">
        <v>149</v>
      </c>
      <c r="I372" s="10" t="n">
        <v>900</v>
      </c>
      <c r="J372" s="7" t="s">
        <v>350</v>
      </c>
      <c r="K372" s="7"/>
      <c r="L372" s="7" t="s">
        <v>2865</v>
      </c>
      <c r="M372" s="7" t="s">
        <v>2866</v>
      </c>
      <c r="N372" s="7" t="s">
        <v>2867</v>
      </c>
      <c r="O372" s="7" t="s">
        <v>2868</v>
      </c>
      <c r="P372" s="7" t="s">
        <v>2869</v>
      </c>
      <c r="Q372" s="7"/>
      <c r="R372" s="7"/>
      <c r="S372" s="7"/>
      <c r="T372" s="7"/>
      <c r="U372" s="7"/>
    </row>
    <row r="373" customFormat="false" ht="15" hidden="false" customHeight="false" outlineLevel="0" collapsed="false">
      <c r="A373" s="7" t="s">
        <v>9</v>
      </c>
      <c r="B373" s="7" t="s">
        <v>2870</v>
      </c>
      <c r="C373" s="7" t="s">
        <v>28</v>
      </c>
      <c r="D373" s="7" t="s">
        <v>2797</v>
      </c>
      <c r="E373" s="7" t="s">
        <v>112</v>
      </c>
      <c r="F373" s="7" t="s">
        <v>113</v>
      </c>
      <c r="G373" s="7" t="s">
        <v>2871</v>
      </c>
      <c r="H373" s="7" t="s">
        <v>149</v>
      </c>
      <c r="I373" s="10" t="n">
        <v>300</v>
      </c>
      <c r="J373" s="7" t="s">
        <v>350</v>
      </c>
      <c r="K373" s="7"/>
      <c r="L373" s="7" t="s">
        <v>2872</v>
      </c>
      <c r="M373" s="7" t="s">
        <v>2873</v>
      </c>
      <c r="N373" s="7" t="s">
        <v>2874</v>
      </c>
      <c r="O373" s="7" t="s">
        <v>2875</v>
      </c>
      <c r="P373" s="7" t="s">
        <v>2876</v>
      </c>
      <c r="Q373" s="7"/>
      <c r="R373" s="7"/>
      <c r="S373" s="7"/>
      <c r="T373" s="7"/>
      <c r="U373" s="7"/>
    </row>
    <row r="374" customFormat="false" ht="15" hidden="false" customHeight="false" outlineLevel="0" collapsed="false">
      <c r="A374" s="7" t="s">
        <v>9</v>
      </c>
      <c r="B374" s="7" t="s">
        <v>2877</v>
      </c>
      <c r="C374" s="7" t="s">
        <v>28</v>
      </c>
      <c r="D374" s="7" t="s">
        <v>2818</v>
      </c>
      <c r="E374" s="7" t="s">
        <v>2878</v>
      </c>
      <c r="F374" s="7" t="s">
        <v>155</v>
      </c>
      <c r="G374" s="7" t="s">
        <v>2879</v>
      </c>
      <c r="H374" s="7" t="s">
        <v>149</v>
      </c>
      <c r="I374" s="10" t="n">
        <v>300</v>
      </c>
      <c r="J374" s="7" t="s">
        <v>350</v>
      </c>
      <c r="K374" s="7"/>
      <c r="L374" s="7" t="s">
        <v>2880</v>
      </c>
      <c r="M374" s="7" t="s">
        <v>2873</v>
      </c>
      <c r="N374" s="7" t="s">
        <v>2881</v>
      </c>
      <c r="O374" s="7" t="s">
        <v>2882</v>
      </c>
      <c r="P374" s="7" t="s">
        <v>2883</v>
      </c>
      <c r="Q374" s="7"/>
      <c r="R374" s="7"/>
      <c r="S374" s="7"/>
      <c r="T374" s="7"/>
      <c r="U374" s="7"/>
    </row>
    <row r="375" customFormat="false" ht="15" hidden="false" customHeight="false" outlineLevel="0" collapsed="false">
      <c r="A375" s="7" t="s">
        <v>9</v>
      </c>
      <c r="B375" s="7" t="s">
        <v>2884</v>
      </c>
      <c r="C375" s="7" t="s">
        <v>28</v>
      </c>
      <c r="D375" s="7" t="s">
        <v>806</v>
      </c>
      <c r="E375" s="7" t="s">
        <v>713</v>
      </c>
      <c r="F375" s="7" t="s">
        <v>155</v>
      </c>
      <c r="G375" s="7" t="s">
        <v>2885</v>
      </c>
      <c r="H375" s="7" t="s">
        <v>149</v>
      </c>
      <c r="I375" s="10" t="n">
        <v>600</v>
      </c>
      <c r="J375" s="7" t="s">
        <v>350</v>
      </c>
      <c r="K375" s="7"/>
      <c r="L375" s="7" t="s">
        <v>2886</v>
      </c>
      <c r="M375" s="7" t="s">
        <v>2887</v>
      </c>
      <c r="N375" s="7" t="s">
        <v>2888</v>
      </c>
      <c r="O375" s="7" t="s">
        <v>2889</v>
      </c>
      <c r="P375" s="7" t="s">
        <v>2890</v>
      </c>
      <c r="Q375" s="7"/>
      <c r="R375" s="7"/>
      <c r="S375" s="7"/>
      <c r="T375" s="7"/>
      <c r="U375" s="7"/>
    </row>
    <row r="376" customFormat="false" ht="15" hidden="false" customHeight="false" outlineLevel="0" collapsed="false">
      <c r="A376" s="7" t="s">
        <v>9</v>
      </c>
      <c r="B376" s="7" t="s">
        <v>2891</v>
      </c>
      <c r="C376" s="7" t="s">
        <v>28</v>
      </c>
      <c r="D376" s="7" t="s">
        <v>2818</v>
      </c>
      <c r="E376" s="7" t="s">
        <v>2892</v>
      </c>
      <c r="F376" s="7" t="s">
        <v>854</v>
      </c>
      <c r="G376" s="7" t="s">
        <v>2893</v>
      </c>
      <c r="H376" s="7" t="s">
        <v>174</v>
      </c>
      <c r="I376" s="10" t="n">
        <v>200</v>
      </c>
      <c r="J376" s="7" t="s">
        <v>350</v>
      </c>
      <c r="K376" s="7"/>
      <c r="L376" s="7" t="s">
        <v>2894</v>
      </c>
      <c r="M376" s="7" t="s">
        <v>2846</v>
      </c>
      <c r="N376" s="7" t="s">
        <v>2895</v>
      </c>
      <c r="O376" s="7" t="s">
        <v>2896</v>
      </c>
      <c r="P376" s="7" t="s">
        <v>2897</v>
      </c>
      <c r="Q376" s="7"/>
      <c r="R376" s="7"/>
      <c r="S376" s="7"/>
      <c r="T376" s="7"/>
      <c r="U376" s="7"/>
    </row>
    <row r="377" customFormat="false" ht="15" hidden="false" customHeight="false" outlineLevel="0" collapsed="false">
      <c r="A377" s="7" t="s">
        <v>9</v>
      </c>
      <c r="B377" s="7" t="s">
        <v>2898</v>
      </c>
      <c r="C377" s="7" t="s">
        <v>28</v>
      </c>
      <c r="D377" s="7" t="s">
        <v>2899</v>
      </c>
      <c r="E377" s="7" t="s">
        <v>337</v>
      </c>
      <c r="F377" s="7" t="s">
        <v>338</v>
      </c>
      <c r="G377" s="7" t="s">
        <v>2900</v>
      </c>
      <c r="H377" s="7" t="s">
        <v>174</v>
      </c>
      <c r="I377" s="10" t="n">
        <v>1200</v>
      </c>
      <c r="J377" s="7" t="s">
        <v>377</v>
      </c>
      <c r="K377" s="7"/>
      <c r="L377" s="7" t="s">
        <v>2901</v>
      </c>
      <c r="M377" s="7" t="s">
        <v>2902</v>
      </c>
      <c r="N377" s="7" t="s">
        <v>2903</v>
      </c>
      <c r="O377" s="7" t="s">
        <v>2904</v>
      </c>
      <c r="P377" s="7" t="s">
        <v>2905</v>
      </c>
      <c r="Q377" s="7"/>
      <c r="R377" s="7"/>
      <c r="S377" s="7"/>
      <c r="T377" s="7"/>
      <c r="U377" s="7"/>
    </row>
    <row r="378" customFormat="false" ht="15" hidden="false" customHeight="false" outlineLevel="0" collapsed="false">
      <c r="A378" s="7" t="s">
        <v>9</v>
      </c>
      <c r="B378" s="7" t="s">
        <v>2906</v>
      </c>
      <c r="C378" s="7" t="s">
        <v>28</v>
      </c>
      <c r="D378" s="7" t="s">
        <v>2907</v>
      </c>
      <c r="E378" s="7" t="s">
        <v>249</v>
      </c>
      <c r="F378" s="7" t="s">
        <v>250</v>
      </c>
      <c r="G378" s="7" t="s">
        <v>2908</v>
      </c>
      <c r="H378" s="7" t="s">
        <v>174</v>
      </c>
      <c r="I378" s="10" t="n">
        <v>700</v>
      </c>
      <c r="J378" s="7" t="s">
        <v>517</v>
      </c>
      <c r="K378" s="7"/>
      <c r="L378" s="7" t="s">
        <v>2909</v>
      </c>
      <c r="M378" s="7" t="s">
        <v>2910</v>
      </c>
      <c r="N378" s="7" t="s">
        <v>2911</v>
      </c>
      <c r="O378" s="7" t="s">
        <v>2912</v>
      </c>
      <c r="P378" s="7" t="s">
        <v>2913</v>
      </c>
      <c r="Q378" s="7"/>
      <c r="R378" s="7"/>
      <c r="S378" s="7"/>
      <c r="T378" s="7"/>
      <c r="U378" s="7"/>
    </row>
    <row r="379" customFormat="false" ht="15" hidden="false" customHeight="false" outlineLevel="0" collapsed="false">
      <c r="A379" s="7" t="s">
        <v>9</v>
      </c>
      <c r="B379" s="7" t="s">
        <v>2914</v>
      </c>
      <c r="C379" s="7" t="s">
        <v>28</v>
      </c>
      <c r="D379" s="7" t="s">
        <v>2915</v>
      </c>
      <c r="E379" s="7" t="s">
        <v>515</v>
      </c>
      <c r="F379" s="7" t="s">
        <v>428</v>
      </c>
      <c r="G379" s="7" t="s">
        <v>2916</v>
      </c>
      <c r="H379" s="7" t="s">
        <v>258</v>
      </c>
      <c r="I379" s="10" t="n">
        <v>300</v>
      </c>
      <c r="J379" s="7" t="s">
        <v>350</v>
      </c>
      <c r="K379" s="7"/>
      <c r="L379" s="7" t="s">
        <v>2917</v>
      </c>
      <c r="M379" s="7" t="s">
        <v>2918</v>
      </c>
      <c r="N379" s="7" t="s">
        <v>2919</v>
      </c>
      <c r="O379" s="7" t="s">
        <v>2920</v>
      </c>
      <c r="P379" s="7" t="s">
        <v>2921</v>
      </c>
      <c r="Q379" s="7"/>
      <c r="R379" s="7"/>
      <c r="S379" s="7"/>
      <c r="T379" s="7"/>
      <c r="U379" s="7"/>
    </row>
    <row r="380" customFormat="false" ht="15" hidden="false" customHeight="false" outlineLevel="0" collapsed="false">
      <c r="A380" s="7" t="s">
        <v>9</v>
      </c>
      <c r="B380" s="7" t="s">
        <v>2922</v>
      </c>
      <c r="C380" s="7" t="s">
        <v>28</v>
      </c>
      <c r="D380" s="7" t="s">
        <v>788</v>
      </c>
      <c r="E380" s="7" t="s">
        <v>2189</v>
      </c>
      <c r="F380" s="7" t="s">
        <v>428</v>
      </c>
      <c r="G380" s="7" t="s">
        <v>2923</v>
      </c>
      <c r="H380" s="7" t="s">
        <v>258</v>
      </c>
      <c r="I380" s="10" t="n">
        <v>500</v>
      </c>
      <c r="J380" s="7" t="s">
        <v>350</v>
      </c>
      <c r="K380" s="7"/>
      <c r="L380" s="7" t="s">
        <v>2924</v>
      </c>
      <c r="M380" s="7" t="s">
        <v>2925</v>
      </c>
      <c r="N380" s="7" t="s">
        <v>2926</v>
      </c>
      <c r="O380" s="7" t="s">
        <v>2927</v>
      </c>
      <c r="P380" s="7" t="s">
        <v>2928</v>
      </c>
      <c r="Q380" s="7"/>
      <c r="R380" s="7"/>
      <c r="S380" s="7"/>
      <c r="T380" s="7"/>
      <c r="U380" s="7"/>
    </row>
    <row r="381" customFormat="false" ht="15" hidden="false" customHeight="false" outlineLevel="0" collapsed="false">
      <c r="A381" s="7" t="s">
        <v>9</v>
      </c>
      <c r="B381" s="7" t="s">
        <v>2929</v>
      </c>
      <c r="C381" s="7" t="s">
        <v>28</v>
      </c>
      <c r="D381" s="7" t="s">
        <v>788</v>
      </c>
      <c r="E381" s="7" t="s">
        <v>515</v>
      </c>
      <c r="F381" s="7" t="s">
        <v>428</v>
      </c>
      <c r="G381" s="7" t="s">
        <v>2930</v>
      </c>
      <c r="H381" s="7" t="s">
        <v>258</v>
      </c>
      <c r="I381" s="10" t="n">
        <v>400</v>
      </c>
      <c r="J381" s="7" t="s">
        <v>350</v>
      </c>
      <c r="K381" s="7"/>
      <c r="L381" s="7" t="s">
        <v>2931</v>
      </c>
      <c r="M381" s="7" t="s">
        <v>2932</v>
      </c>
      <c r="N381" s="7" t="s">
        <v>2933</v>
      </c>
      <c r="O381" s="7" t="s">
        <v>2934</v>
      </c>
      <c r="P381" s="7" t="s">
        <v>2935</v>
      </c>
      <c r="Q381" s="7"/>
      <c r="R381" s="7"/>
      <c r="S381" s="7"/>
      <c r="T381" s="7"/>
      <c r="U381" s="7"/>
    </row>
    <row r="382" customFormat="false" ht="15" hidden="false" customHeight="false" outlineLevel="0" collapsed="false">
      <c r="A382" s="7" t="s">
        <v>9</v>
      </c>
      <c r="B382" s="7" t="s">
        <v>2936</v>
      </c>
      <c r="C382" s="7" t="s">
        <v>29</v>
      </c>
      <c r="D382" s="7" t="s">
        <v>2937</v>
      </c>
      <c r="E382" s="7" t="s">
        <v>549</v>
      </c>
      <c r="F382" s="7" t="s">
        <v>147</v>
      </c>
      <c r="G382" s="7" t="s">
        <v>2938</v>
      </c>
      <c r="H382" s="7" t="s">
        <v>68</v>
      </c>
      <c r="I382" s="10" t="n">
        <v>1200</v>
      </c>
      <c r="J382" s="7" t="s">
        <v>350</v>
      </c>
      <c r="K382" s="7"/>
      <c r="L382" s="7" t="s">
        <v>2939</v>
      </c>
      <c r="M382" s="7" t="s">
        <v>2940</v>
      </c>
      <c r="N382" s="7" t="s">
        <v>2941</v>
      </c>
      <c r="O382" s="7" t="s">
        <v>2942</v>
      </c>
      <c r="P382" s="7" t="s">
        <v>2943</v>
      </c>
      <c r="Q382" s="7"/>
      <c r="R382" s="7"/>
      <c r="S382" s="7"/>
      <c r="T382" s="7"/>
      <c r="U382" s="7"/>
    </row>
    <row r="383" customFormat="false" ht="15" hidden="false" customHeight="false" outlineLevel="0" collapsed="false">
      <c r="A383" s="7" t="s">
        <v>9</v>
      </c>
      <c r="B383" s="7" t="s">
        <v>2944</v>
      </c>
      <c r="C383" s="7" t="s">
        <v>29</v>
      </c>
      <c r="D383" s="7" t="s">
        <v>2945</v>
      </c>
      <c r="E383" s="7" t="s">
        <v>970</v>
      </c>
      <c r="F383" s="7" t="s">
        <v>250</v>
      </c>
      <c r="G383" s="7" t="s">
        <v>2946</v>
      </c>
      <c r="H383" s="7" t="s">
        <v>68</v>
      </c>
      <c r="I383" s="10" t="n">
        <v>1300</v>
      </c>
      <c r="J383" s="7" t="s">
        <v>350</v>
      </c>
      <c r="K383" s="7"/>
      <c r="L383" s="7" t="s">
        <v>2947</v>
      </c>
      <c r="M383" s="7" t="s">
        <v>2948</v>
      </c>
      <c r="N383" s="7" t="s">
        <v>2949</v>
      </c>
      <c r="O383" s="7" t="s">
        <v>2950</v>
      </c>
      <c r="P383" s="7" t="s">
        <v>2951</v>
      </c>
      <c r="Q383" s="7"/>
      <c r="R383" s="7"/>
      <c r="S383" s="7"/>
      <c r="T383" s="7"/>
      <c r="U383" s="7"/>
    </row>
    <row r="384" customFormat="false" ht="15" hidden="false" customHeight="false" outlineLevel="0" collapsed="false">
      <c r="A384" s="7" t="s">
        <v>9</v>
      </c>
      <c r="B384" s="7" t="s">
        <v>2952</v>
      </c>
      <c r="C384" s="7" t="s">
        <v>29</v>
      </c>
      <c r="D384" s="7" t="s">
        <v>2945</v>
      </c>
      <c r="E384" s="7" t="s">
        <v>2953</v>
      </c>
      <c r="F384" s="7" t="s">
        <v>779</v>
      </c>
      <c r="G384" s="7" t="s">
        <v>2954</v>
      </c>
      <c r="H384" s="7" t="s">
        <v>68</v>
      </c>
      <c r="I384" s="10" t="n">
        <v>1300</v>
      </c>
      <c r="J384" s="7" t="s">
        <v>350</v>
      </c>
      <c r="K384" s="7"/>
      <c r="L384" s="7" t="s">
        <v>2955</v>
      </c>
      <c r="M384" s="7" t="s">
        <v>2940</v>
      </c>
      <c r="N384" s="7" t="s">
        <v>2956</v>
      </c>
      <c r="O384" s="7" t="s">
        <v>2957</v>
      </c>
      <c r="P384" s="7" t="s">
        <v>2958</v>
      </c>
      <c r="Q384" s="7"/>
      <c r="R384" s="7"/>
      <c r="S384" s="7"/>
      <c r="T384" s="7"/>
      <c r="U384" s="7"/>
    </row>
    <row r="385" customFormat="false" ht="15" hidden="false" customHeight="false" outlineLevel="0" collapsed="false">
      <c r="A385" s="7" t="s">
        <v>9</v>
      </c>
      <c r="B385" s="7" t="s">
        <v>2959</v>
      </c>
      <c r="C385" s="7" t="s">
        <v>29</v>
      </c>
      <c r="D385" s="7" t="s">
        <v>2937</v>
      </c>
      <c r="E385" s="7" t="s">
        <v>2458</v>
      </c>
      <c r="F385" s="7" t="s">
        <v>338</v>
      </c>
      <c r="G385" s="7" t="s">
        <v>2960</v>
      </c>
      <c r="H385" s="7" t="s">
        <v>68</v>
      </c>
      <c r="I385" s="10" t="n">
        <v>1400</v>
      </c>
      <c r="J385" s="7" t="s">
        <v>350</v>
      </c>
      <c r="K385" s="7"/>
      <c r="L385" s="7" t="s">
        <v>2961</v>
      </c>
      <c r="M385" s="7" t="s">
        <v>2940</v>
      </c>
      <c r="N385" s="7" t="s">
        <v>2962</v>
      </c>
      <c r="O385" s="7" t="s">
        <v>2963</v>
      </c>
      <c r="P385" s="7" t="s">
        <v>2964</v>
      </c>
      <c r="Q385" s="7"/>
      <c r="R385" s="7"/>
      <c r="S385" s="7"/>
      <c r="T385" s="7"/>
      <c r="U385" s="7"/>
    </row>
    <row r="386" customFormat="false" ht="15" hidden="false" customHeight="false" outlineLevel="0" collapsed="false">
      <c r="A386" s="7" t="s">
        <v>9</v>
      </c>
      <c r="B386" s="7" t="s">
        <v>2965</v>
      </c>
      <c r="C386" s="7" t="s">
        <v>29</v>
      </c>
      <c r="D386" s="7" t="s">
        <v>2937</v>
      </c>
      <c r="E386" s="7" t="s">
        <v>1029</v>
      </c>
      <c r="F386" s="7" t="s">
        <v>1030</v>
      </c>
      <c r="G386" s="7" t="s">
        <v>2966</v>
      </c>
      <c r="H386" s="7" t="s">
        <v>68</v>
      </c>
      <c r="I386" s="10" t="n">
        <v>1500</v>
      </c>
      <c r="J386" s="7" t="s">
        <v>350</v>
      </c>
      <c r="K386" s="7"/>
      <c r="L386" s="7" t="s">
        <v>2967</v>
      </c>
      <c r="M386" s="7" t="s">
        <v>2940</v>
      </c>
      <c r="N386" s="7" t="s">
        <v>2968</v>
      </c>
      <c r="O386" s="7" t="s">
        <v>2969</v>
      </c>
      <c r="P386" s="7" t="s">
        <v>2970</v>
      </c>
      <c r="Q386" s="7"/>
      <c r="R386" s="7"/>
      <c r="S386" s="7"/>
      <c r="T386" s="7"/>
      <c r="U386" s="7"/>
    </row>
    <row r="387" customFormat="false" ht="15" hidden="false" customHeight="false" outlineLevel="0" collapsed="false">
      <c r="A387" s="7" t="s">
        <v>9</v>
      </c>
      <c r="B387" s="7" t="s">
        <v>2971</v>
      </c>
      <c r="C387" s="7" t="s">
        <v>29</v>
      </c>
      <c r="D387" s="7" t="s">
        <v>2945</v>
      </c>
      <c r="E387" s="7" t="s">
        <v>515</v>
      </c>
      <c r="F387" s="7" t="s">
        <v>428</v>
      </c>
      <c r="G387" s="7" t="s">
        <v>2972</v>
      </c>
      <c r="H387" s="7" t="s">
        <v>68</v>
      </c>
      <c r="I387" s="10" t="n">
        <v>1200</v>
      </c>
      <c r="J387" s="7" t="s">
        <v>350</v>
      </c>
      <c r="K387" s="7"/>
      <c r="L387" s="7" t="s">
        <v>2973</v>
      </c>
      <c r="M387" s="7" t="s">
        <v>2940</v>
      </c>
      <c r="N387" s="7" t="s">
        <v>2974</v>
      </c>
      <c r="O387" s="7" t="s">
        <v>2975</v>
      </c>
      <c r="P387" s="7" t="s">
        <v>2976</v>
      </c>
      <c r="Q387" s="7"/>
      <c r="R387" s="7"/>
      <c r="S387" s="7"/>
      <c r="T387" s="7"/>
      <c r="U387" s="7"/>
    </row>
    <row r="388" customFormat="false" ht="15" hidden="false" customHeight="false" outlineLevel="0" collapsed="false">
      <c r="A388" s="7" t="s">
        <v>9</v>
      </c>
      <c r="B388" s="7" t="s">
        <v>2977</v>
      </c>
      <c r="C388" s="7" t="s">
        <v>29</v>
      </c>
      <c r="D388" s="7" t="s">
        <v>2937</v>
      </c>
      <c r="E388" s="7" t="s">
        <v>2978</v>
      </c>
      <c r="F388" s="7" t="s">
        <v>78</v>
      </c>
      <c r="G388" s="7" t="s">
        <v>2979</v>
      </c>
      <c r="H388" s="7" t="s">
        <v>68</v>
      </c>
      <c r="I388" s="10" t="n">
        <v>1000</v>
      </c>
      <c r="J388" s="7" t="s">
        <v>350</v>
      </c>
      <c r="K388" s="7"/>
      <c r="L388" s="7" t="s">
        <v>2980</v>
      </c>
      <c r="M388" s="7" t="s">
        <v>2940</v>
      </c>
      <c r="N388" s="7" t="s">
        <v>2981</v>
      </c>
      <c r="O388" s="7" t="s">
        <v>2982</v>
      </c>
      <c r="P388" s="7" t="s">
        <v>2983</v>
      </c>
      <c r="Q388" s="7"/>
      <c r="R388" s="7"/>
      <c r="S388" s="7"/>
      <c r="T388" s="7"/>
      <c r="U388" s="7"/>
    </row>
    <row r="389" customFormat="false" ht="15" hidden="false" customHeight="false" outlineLevel="0" collapsed="false">
      <c r="A389" s="7" t="s">
        <v>9</v>
      </c>
      <c r="B389" s="7" t="s">
        <v>2984</v>
      </c>
      <c r="C389" s="7" t="s">
        <v>29</v>
      </c>
      <c r="D389" s="7" t="s">
        <v>2985</v>
      </c>
      <c r="E389" s="7" t="s">
        <v>347</v>
      </c>
      <c r="F389" s="7" t="s">
        <v>348</v>
      </c>
      <c r="G389" s="7" t="s">
        <v>2986</v>
      </c>
      <c r="H389" s="7" t="s">
        <v>68</v>
      </c>
      <c r="I389" s="10" t="n">
        <v>900</v>
      </c>
      <c r="J389" s="7" t="s">
        <v>350</v>
      </c>
      <c r="K389" s="7"/>
      <c r="L389" s="7" t="s">
        <v>2987</v>
      </c>
      <c r="M389" s="7" t="s">
        <v>2948</v>
      </c>
      <c r="N389" s="7" t="s">
        <v>2988</v>
      </c>
      <c r="O389" s="7" t="s">
        <v>2989</v>
      </c>
      <c r="P389" s="7" t="s">
        <v>2958</v>
      </c>
      <c r="Q389" s="7"/>
      <c r="R389" s="7"/>
      <c r="S389" s="7"/>
      <c r="T389" s="7"/>
      <c r="U389" s="7"/>
    </row>
    <row r="390" customFormat="false" ht="15" hidden="false" customHeight="false" outlineLevel="0" collapsed="false">
      <c r="A390" s="7" t="s">
        <v>9</v>
      </c>
      <c r="B390" s="7" t="s">
        <v>2990</v>
      </c>
      <c r="C390" s="7" t="s">
        <v>29</v>
      </c>
      <c r="D390" s="7" t="s">
        <v>2937</v>
      </c>
      <c r="E390" s="7" t="s">
        <v>2458</v>
      </c>
      <c r="F390" s="7" t="s">
        <v>338</v>
      </c>
      <c r="G390" s="7" t="s">
        <v>2991</v>
      </c>
      <c r="H390" s="7" t="s">
        <v>68</v>
      </c>
      <c r="I390" s="10" t="n">
        <v>1500</v>
      </c>
      <c r="J390" s="7" t="s">
        <v>350</v>
      </c>
      <c r="K390" s="7"/>
      <c r="L390" s="7" t="s">
        <v>2992</v>
      </c>
      <c r="M390" s="7" t="s">
        <v>2993</v>
      </c>
      <c r="N390" s="7" t="s">
        <v>2994</v>
      </c>
      <c r="O390" s="7" t="s">
        <v>2963</v>
      </c>
      <c r="P390" s="7" t="s">
        <v>2995</v>
      </c>
      <c r="Q390" s="7"/>
      <c r="R390" s="7"/>
      <c r="S390" s="7"/>
      <c r="T390" s="7"/>
      <c r="U390" s="7"/>
    </row>
    <row r="391" customFormat="false" ht="15" hidden="false" customHeight="false" outlineLevel="0" collapsed="false">
      <c r="A391" s="7" t="s">
        <v>9</v>
      </c>
      <c r="B391" s="7" t="s">
        <v>2996</v>
      </c>
      <c r="C391" s="7" t="s">
        <v>29</v>
      </c>
      <c r="D391" s="7" t="s">
        <v>2997</v>
      </c>
      <c r="E391" s="7" t="s">
        <v>1245</v>
      </c>
      <c r="F391" s="7" t="s">
        <v>78</v>
      </c>
      <c r="G391" s="7" t="s">
        <v>2998</v>
      </c>
      <c r="H391" s="7" t="s">
        <v>68</v>
      </c>
      <c r="I391" s="10" t="n">
        <v>1500</v>
      </c>
      <c r="J391" s="7" t="s">
        <v>350</v>
      </c>
      <c r="K391" s="7"/>
      <c r="L391" s="7" t="s">
        <v>2999</v>
      </c>
      <c r="M391" s="7" t="s">
        <v>1120</v>
      </c>
      <c r="N391" s="7" t="s">
        <v>3000</v>
      </c>
      <c r="O391" s="7" t="s">
        <v>3001</v>
      </c>
      <c r="P391" s="7" t="s">
        <v>3002</v>
      </c>
      <c r="Q391" s="7"/>
      <c r="R391" s="7"/>
      <c r="S391" s="7"/>
      <c r="T391" s="7"/>
      <c r="U391" s="7"/>
    </row>
    <row r="392" customFormat="false" ht="15" hidden="false" customHeight="false" outlineLevel="0" collapsed="false">
      <c r="A392" s="7" t="s">
        <v>9</v>
      </c>
      <c r="B392" s="7" t="s">
        <v>3003</v>
      </c>
      <c r="C392" s="7" t="s">
        <v>29</v>
      </c>
      <c r="D392" s="7" t="s">
        <v>2945</v>
      </c>
      <c r="E392" s="7" t="s">
        <v>2153</v>
      </c>
      <c r="F392" s="7" t="s">
        <v>78</v>
      </c>
      <c r="G392" s="7" t="s">
        <v>3004</v>
      </c>
      <c r="H392" s="7" t="s">
        <v>68</v>
      </c>
      <c r="I392" s="10" t="n">
        <v>800</v>
      </c>
      <c r="J392" s="7" t="s">
        <v>350</v>
      </c>
      <c r="K392" s="7"/>
      <c r="L392" s="7" t="s">
        <v>3005</v>
      </c>
      <c r="M392" s="7" t="s">
        <v>2993</v>
      </c>
      <c r="N392" s="7" t="s">
        <v>3006</v>
      </c>
      <c r="O392" s="7" t="s">
        <v>3007</v>
      </c>
      <c r="P392" s="7" t="s">
        <v>2958</v>
      </c>
      <c r="Q392" s="7"/>
      <c r="R392" s="7"/>
      <c r="S392" s="7"/>
      <c r="T392" s="7"/>
      <c r="U392" s="7"/>
    </row>
    <row r="393" customFormat="false" ht="15" hidden="false" customHeight="false" outlineLevel="0" collapsed="false">
      <c r="A393" s="7" t="s">
        <v>9</v>
      </c>
      <c r="B393" s="7" t="s">
        <v>3008</v>
      </c>
      <c r="C393" s="7" t="s">
        <v>29</v>
      </c>
      <c r="D393" s="7" t="s">
        <v>2945</v>
      </c>
      <c r="E393" s="7" t="s">
        <v>249</v>
      </c>
      <c r="F393" s="7" t="s">
        <v>250</v>
      </c>
      <c r="G393" s="7" t="s">
        <v>3009</v>
      </c>
      <c r="H393" s="7" t="s">
        <v>68</v>
      </c>
      <c r="I393" s="10" t="n">
        <v>1000</v>
      </c>
      <c r="J393" s="7" t="s">
        <v>350</v>
      </c>
      <c r="K393" s="7"/>
      <c r="L393" s="7" t="s">
        <v>3010</v>
      </c>
      <c r="M393" s="7" t="s">
        <v>2940</v>
      </c>
      <c r="N393" s="7" t="s">
        <v>3011</v>
      </c>
      <c r="O393" s="7" t="s">
        <v>3012</v>
      </c>
      <c r="P393" s="7" t="s">
        <v>3013</v>
      </c>
      <c r="Q393" s="7"/>
      <c r="R393" s="7"/>
      <c r="S393" s="7"/>
      <c r="T393" s="7"/>
      <c r="U393" s="7"/>
    </row>
    <row r="394" customFormat="false" ht="15" hidden="false" customHeight="false" outlineLevel="0" collapsed="false">
      <c r="A394" s="7" t="s">
        <v>9</v>
      </c>
      <c r="B394" s="7" t="s">
        <v>3014</v>
      </c>
      <c r="C394" s="7" t="s">
        <v>29</v>
      </c>
      <c r="D394" s="7" t="s">
        <v>2937</v>
      </c>
      <c r="E394" s="7" t="s">
        <v>827</v>
      </c>
      <c r="F394" s="7" t="s">
        <v>480</v>
      </c>
      <c r="G394" s="7" t="s">
        <v>3015</v>
      </c>
      <c r="H394" s="7" t="s">
        <v>68</v>
      </c>
      <c r="I394" s="10" t="n">
        <v>1700</v>
      </c>
      <c r="J394" s="7" t="s">
        <v>350</v>
      </c>
      <c r="K394" s="7"/>
      <c r="L394" s="7" t="s">
        <v>3016</v>
      </c>
      <c r="M394" s="7" t="s">
        <v>2940</v>
      </c>
      <c r="N394" s="7" t="s">
        <v>3017</v>
      </c>
      <c r="O394" s="7" t="s">
        <v>3018</v>
      </c>
      <c r="P394" s="7" t="s">
        <v>3019</v>
      </c>
      <c r="Q394" s="7"/>
      <c r="R394" s="7"/>
      <c r="S394" s="7"/>
      <c r="T394" s="7"/>
      <c r="U394" s="7"/>
    </row>
    <row r="395" customFormat="false" ht="15" hidden="false" customHeight="false" outlineLevel="0" collapsed="false">
      <c r="A395" s="7" t="s">
        <v>9</v>
      </c>
      <c r="B395" s="7" t="s">
        <v>3020</v>
      </c>
      <c r="C395" s="7" t="s">
        <v>29</v>
      </c>
      <c r="D395" s="7" t="s">
        <v>3021</v>
      </c>
      <c r="E395" s="7" t="s">
        <v>1535</v>
      </c>
      <c r="F395" s="7" t="s">
        <v>78</v>
      </c>
      <c r="G395" s="7" t="s">
        <v>3022</v>
      </c>
      <c r="H395" s="7" t="s">
        <v>68</v>
      </c>
      <c r="I395" s="10" t="n">
        <v>1800</v>
      </c>
      <c r="J395" s="7" t="s">
        <v>377</v>
      </c>
      <c r="K395" s="7"/>
      <c r="L395" s="7" t="s">
        <v>3023</v>
      </c>
      <c r="M395" s="7" t="s">
        <v>1129</v>
      </c>
      <c r="N395" s="7" t="s">
        <v>3024</v>
      </c>
      <c r="O395" s="7" t="s">
        <v>3025</v>
      </c>
      <c r="P395" s="7" t="s">
        <v>3026</v>
      </c>
      <c r="Q395" s="7"/>
      <c r="R395" s="7"/>
      <c r="S395" s="7"/>
      <c r="T395" s="7"/>
      <c r="U395" s="7"/>
    </row>
    <row r="396" customFormat="false" ht="15" hidden="false" customHeight="false" outlineLevel="0" collapsed="false">
      <c r="A396" s="7" t="s">
        <v>9</v>
      </c>
      <c r="B396" s="7" t="s">
        <v>3027</v>
      </c>
      <c r="C396" s="7" t="s">
        <v>29</v>
      </c>
      <c r="D396" s="7" t="s">
        <v>3028</v>
      </c>
      <c r="E396" s="7" t="s">
        <v>3029</v>
      </c>
      <c r="F396" s="7" t="s">
        <v>222</v>
      </c>
      <c r="G396" s="7" t="s">
        <v>3030</v>
      </c>
      <c r="H396" s="7" t="s">
        <v>68</v>
      </c>
      <c r="I396" s="10" t="n">
        <v>2000</v>
      </c>
      <c r="J396" s="7" t="s">
        <v>350</v>
      </c>
      <c r="K396" s="7"/>
      <c r="L396" s="7" t="s">
        <v>3031</v>
      </c>
      <c r="M396" s="7" t="s">
        <v>2940</v>
      </c>
      <c r="N396" s="7" t="s">
        <v>3032</v>
      </c>
      <c r="O396" s="7" t="s">
        <v>3033</v>
      </c>
      <c r="P396" s="7" t="s">
        <v>3034</v>
      </c>
      <c r="Q396" s="7"/>
      <c r="R396" s="7"/>
      <c r="S396" s="7"/>
      <c r="T396" s="7"/>
      <c r="U396" s="7"/>
    </row>
    <row r="397" customFormat="false" ht="15" hidden="false" customHeight="false" outlineLevel="0" collapsed="false">
      <c r="A397" s="7" t="s">
        <v>9</v>
      </c>
      <c r="B397" s="7" t="s">
        <v>3035</v>
      </c>
      <c r="C397" s="7" t="s">
        <v>29</v>
      </c>
      <c r="D397" s="7" t="s">
        <v>3036</v>
      </c>
      <c r="E397" s="7" t="s">
        <v>264</v>
      </c>
      <c r="F397" s="7" t="s">
        <v>250</v>
      </c>
      <c r="G397" s="7" t="s">
        <v>3037</v>
      </c>
      <c r="H397" s="7" t="s">
        <v>68</v>
      </c>
      <c r="I397" s="10" t="n">
        <v>1000</v>
      </c>
      <c r="J397" s="7" t="s">
        <v>377</v>
      </c>
      <c r="K397" s="7"/>
      <c r="L397" s="7" t="s">
        <v>3038</v>
      </c>
      <c r="M397" s="7" t="s">
        <v>3039</v>
      </c>
      <c r="N397" s="7" t="s">
        <v>3040</v>
      </c>
      <c r="O397" s="7" t="s">
        <v>3041</v>
      </c>
      <c r="P397" s="7" t="s">
        <v>3042</v>
      </c>
      <c r="Q397" s="7"/>
      <c r="R397" s="7"/>
      <c r="S397" s="7"/>
      <c r="T397" s="7"/>
      <c r="U397" s="7"/>
    </row>
    <row r="398" customFormat="false" ht="15" hidden="false" customHeight="false" outlineLevel="0" collapsed="false">
      <c r="A398" s="7" t="s">
        <v>9</v>
      </c>
      <c r="B398" s="7" t="s">
        <v>3043</v>
      </c>
      <c r="C398" s="7" t="s">
        <v>29</v>
      </c>
      <c r="D398" s="7" t="s">
        <v>3028</v>
      </c>
      <c r="E398" s="7" t="s">
        <v>1245</v>
      </c>
      <c r="F398" s="7" t="s">
        <v>78</v>
      </c>
      <c r="G398" s="7" t="s">
        <v>3044</v>
      </c>
      <c r="H398" s="7" t="s">
        <v>68</v>
      </c>
      <c r="I398" s="10" t="n">
        <v>2500</v>
      </c>
      <c r="J398" s="7" t="s">
        <v>350</v>
      </c>
      <c r="K398" s="7"/>
      <c r="L398" s="7" t="s">
        <v>3045</v>
      </c>
      <c r="M398" s="7" t="s">
        <v>2940</v>
      </c>
      <c r="N398" s="7" t="s">
        <v>3046</v>
      </c>
      <c r="O398" s="7" t="s">
        <v>3047</v>
      </c>
      <c r="P398" s="7" t="s">
        <v>3048</v>
      </c>
      <c r="Q398" s="7"/>
      <c r="R398" s="7"/>
      <c r="S398" s="7"/>
      <c r="T398" s="7"/>
      <c r="U398" s="7"/>
    </row>
    <row r="399" customFormat="false" ht="15" hidden="false" customHeight="false" outlineLevel="0" collapsed="false">
      <c r="A399" s="7" t="s">
        <v>9</v>
      </c>
      <c r="B399" s="7" t="s">
        <v>3049</v>
      </c>
      <c r="C399" s="7" t="s">
        <v>29</v>
      </c>
      <c r="D399" s="7" t="s">
        <v>2945</v>
      </c>
      <c r="E399" s="7" t="s">
        <v>3050</v>
      </c>
      <c r="F399" s="7" t="s">
        <v>222</v>
      </c>
      <c r="G399" s="7" t="s">
        <v>3051</v>
      </c>
      <c r="H399" s="7" t="s">
        <v>68</v>
      </c>
      <c r="I399" s="10" t="n">
        <v>700</v>
      </c>
      <c r="J399" s="7" t="s">
        <v>350</v>
      </c>
      <c r="K399" s="7"/>
      <c r="L399" s="7" t="s">
        <v>3052</v>
      </c>
      <c r="M399" s="7" t="s">
        <v>2993</v>
      </c>
      <c r="N399" s="7" t="s">
        <v>3053</v>
      </c>
      <c r="O399" s="7" t="s">
        <v>3054</v>
      </c>
      <c r="P399" s="7" t="s">
        <v>2958</v>
      </c>
      <c r="Q399" s="7"/>
      <c r="R399" s="7"/>
      <c r="S399" s="7"/>
      <c r="T399" s="7"/>
      <c r="U399" s="7"/>
    </row>
    <row r="400" customFormat="false" ht="15" hidden="false" customHeight="false" outlineLevel="0" collapsed="false">
      <c r="A400" s="7" t="s">
        <v>9</v>
      </c>
      <c r="B400" s="7" t="s">
        <v>3055</v>
      </c>
      <c r="C400" s="7" t="s">
        <v>29</v>
      </c>
      <c r="D400" s="7" t="s">
        <v>3056</v>
      </c>
      <c r="E400" s="7" t="s">
        <v>1599</v>
      </c>
      <c r="F400" s="7" t="s">
        <v>78</v>
      </c>
      <c r="G400" s="7" t="s">
        <v>3057</v>
      </c>
      <c r="H400" s="7" t="s">
        <v>68</v>
      </c>
      <c r="I400" s="10" t="n">
        <v>800</v>
      </c>
      <c r="J400" s="7" t="s">
        <v>350</v>
      </c>
      <c r="K400" s="7"/>
      <c r="L400" s="7" t="s">
        <v>3058</v>
      </c>
      <c r="M400" s="7" t="s">
        <v>2993</v>
      </c>
      <c r="N400" s="7" t="s">
        <v>3059</v>
      </c>
      <c r="O400" s="7" t="s">
        <v>3060</v>
      </c>
      <c r="P400" s="7" t="s">
        <v>2958</v>
      </c>
      <c r="Q400" s="7"/>
      <c r="R400" s="7"/>
      <c r="S400" s="7"/>
      <c r="T400" s="7"/>
      <c r="U400" s="7"/>
    </row>
    <row r="401" customFormat="false" ht="15" hidden="false" customHeight="false" outlineLevel="0" collapsed="false">
      <c r="A401" s="7" t="s">
        <v>9</v>
      </c>
      <c r="B401" s="7" t="s">
        <v>3061</v>
      </c>
      <c r="C401" s="7" t="s">
        <v>29</v>
      </c>
      <c r="D401" s="7" t="s">
        <v>3028</v>
      </c>
      <c r="E401" s="7" t="s">
        <v>65</v>
      </c>
      <c r="F401" s="7" t="s">
        <v>66</v>
      </c>
      <c r="G401" s="7" t="s">
        <v>3062</v>
      </c>
      <c r="H401" s="7" t="s">
        <v>68</v>
      </c>
      <c r="I401" s="10" t="n">
        <v>1800</v>
      </c>
      <c r="J401" s="7" t="s">
        <v>350</v>
      </c>
      <c r="K401" s="7"/>
      <c r="L401" s="7" t="s">
        <v>3063</v>
      </c>
      <c r="M401" s="7" t="s">
        <v>2940</v>
      </c>
      <c r="N401" s="7" t="s">
        <v>3064</v>
      </c>
      <c r="O401" s="7" t="s">
        <v>3065</v>
      </c>
      <c r="P401" s="7" t="s">
        <v>3066</v>
      </c>
      <c r="Q401" s="7"/>
      <c r="R401" s="7"/>
      <c r="S401" s="7"/>
      <c r="T401" s="7"/>
      <c r="U401" s="7"/>
    </row>
    <row r="402" customFormat="false" ht="15" hidden="false" customHeight="false" outlineLevel="0" collapsed="false">
      <c r="A402" s="7" t="s">
        <v>9</v>
      </c>
      <c r="B402" s="7" t="s">
        <v>3067</v>
      </c>
      <c r="C402" s="7" t="s">
        <v>29</v>
      </c>
      <c r="D402" s="7" t="s">
        <v>2945</v>
      </c>
      <c r="E402" s="7" t="s">
        <v>827</v>
      </c>
      <c r="F402" s="7" t="s">
        <v>480</v>
      </c>
      <c r="G402" s="7" t="s">
        <v>3068</v>
      </c>
      <c r="H402" s="7" t="s">
        <v>68</v>
      </c>
      <c r="I402" s="10" t="n">
        <v>1000</v>
      </c>
      <c r="J402" s="7" t="s">
        <v>350</v>
      </c>
      <c r="K402" s="7"/>
      <c r="L402" s="7" t="s">
        <v>3069</v>
      </c>
      <c r="M402" s="7" t="s">
        <v>2993</v>
      </c>
      <c r="N402" s="7" t="s">
        <v>3070</v>
      </c>
      <c r="O402" s="7" t="s">
        <v>3071</v>
      </c>
      <c r="P402" s="7" t="s">
        <v>3019</v>
      </c>
      <c r="Q402" s="7"/>
      <c r="R402" s="7"/>
      <c r="S402" s="7"/>
      <c r="T402" s="7"/>
      <c r="U402" s="7"/>
    </row>
    <row r="403" customFormat="false" ht="15" hidden="false" customHeight="false" outlineLevel="0" collapsed="false">
      <c r="A403" s="7" t="s">
        <v>9</v>
      </c>
      <c r="B403" s="7" t="s">
        <v>3072</v>
      </c>
      <c r="C403" s="7" t="s">
        <v>29</v>
      </c>
      <c r="D403" s="7" t="s">
        <v>2937</v>
      </c>
      <c r="E403" s="7" t="s">
        <v>3073</v>
      </c>
      <c r="F403" s="7" t="s">
        <v>172</v>
      </c>
      <c r="G403" s="7" t="s">
        <v>3074</v>
      </c>
      <c r="H403" s="7" t="s">
        <v>68</v>
      </c>
      <c r="I403" s="10" t="n">
        <v>1600</v>
      </c>
      <c r="J403" s="7" t="s">
        <v>350</v>
      </c>
      <c r="K403" s="7"/>
      <c r="L403" s="7" t="s">
        <v>3075</v>
      </c>
      <c r="M403" s="7" t="s">
        <v>2940</v>
      </c>
      <c r="N403" s="7" t="s">
        <v>3076</v>
      </c>
      <c r="O403" s="7" t="s">
        <v>3077</v>
      </c>
      <c r="P403" s="7" t="s">
        <v>3078</v>
      </c>
      <c r="Q403" s="7"/>
      <c r="R403" s="7"/>
      <c r="S403" s="7"/>
      <c r="T403" s="7"/>
      <c r="U403" s="7"/>
    </row>
    <row r="404" customFormat="false" ht="15" hidden="false" customHeight="false" outlineLevel="0" collapsed="false">
      <c r="A404" s="7" t="s">
        <v>9</v>
      </c>
      <c r="B404" s="7" t="s">
        <v>3079</v>
      </c>
      <c r="C404" s="7" t="s">
        <v>29</v>
      </c>
      <c r="D404" s="7" t="s">
        <v>2937</v>
      </c>
      <c r="E404" s="7" t="s">
        <v>1237</v>
      </c>
      <c r="F404" s="7" t="s">
        <v>105</v>
      </c>
      <c r="G404" s="7" t="s">
        <v>3080</v>
      </c>
      <c r="H404" s="7" t="s">
        <v>68</v>
      </c>
      <c r="I404" s="10" t="n">
        <v>1300</v>
      </c>
      <c r="J404" s="7" t="s">
        <v>350</v>
      </c>
      <c r="K404" s="7"/>
      <c r="L404" s="7" t="s">
        <v>3081</v>
      </c>
      <c r="M404" s="7" t="s">
        <v>2993</v>
      </c>
      <c r="N404" s="7" t="s">
        <v>3082</v>
      </c>
      <c r="O404" s="7" t="s">
        <v>3083</v>
      </c>
      <c r="P404" s="7" t="s">
        <v>3084</v>
      </c>
      <c r="Q404" s="7"/>
      <c r="R404" s="7"/>
      <c r="S404" s="7"/>
      <c r="T404" s="7"/>
      <c r="U404" s="7"/>
    </row>
    <row r="405" customFormat="false" ht="15" hidden="false" customHeight="false" outlineLevel="0" collapsed="false">
      <c r="A405" s="7" t="s">
        <v>9</v>
      </c>
      <c r="B405" s="7" t="s">
        <v>3085</v>
      </c>
      <c r="C405" s="7" t="s">
        <v>29</v>
      </c>
      <c r="D405" s="7" t="s">
        <v>2945</v>
      </c>
      <c r="E405" s="7" t="s">
        <v>171</v>
      </c>
      <c r="F405" s="7" t="s">
        <v>172</v>
      </c>
      <c r="G405" s="7" t="s">
        <v>3086</v>
      </c>
      <c r="H405" s="7" t="s">
        <v>149</v>
      </c>
      <c r="I405" s="10" t="n">
        <v>600</v>
      </c>
      <c r="J405" s="7" t="s">
        <v>350</v>
      </c>
      <c r="K405" s="7"/>
      <c r="L405" s="7" t="s">
        <v>3087</v>
      </c>
      <c r="M405" s="7" t="s">
        <v>2993</v>
      </c>
      <c r="N405" s="7" t="s">
        <v>3088</v>
      </c>
      <c r="O405" s="7" t="s">
        <v>3089</v>
      </c>
      <c r="P405" s="7" t="s">
        <v>3090</v>
      </c>
      <c r="Q405" s="7"/>
      <c r="R405" s="7"/>
      <c r="S405" s="7"/>
      <c r="T405" s="7"/>
      <c r="U405" s="7"/>
    </row>
    <row r="406" customFormat="false" ht="15" hidden="false" customHeight="false" outlineLevel="0" collapsed="false">
      <c r="A406" s="7" t="s">
        <v>9</v>
      </c>
      <c r="B406" s="7" t="s">
        <v>3091</v>
      </c>
      <c r="C406" s="7" t="s">
        <v>29</v>
      </c>
      <c r="D406" s="7" t="s">
        <v>3092</v>
      </c>
      <c r="E406" s="7" t="s">
        <v>549</v>
      </c>
      <c r="F406" s="7" t="s">
        <v>147</v>
      </c>
      <c r="G406" s="7" t="s">
        <v>3093</v>
      </c>
      <c r="H406" s="7" t="s">
        <v>149</v>
      </c>
      <c r="I406" s="10" t="n">
        <v>1000</v>
      </c>
      <c r="J406" s="7" t="s">
        <v>350</v>
      </c>
      <c r="K406" s="7"/>
      <c r="L406" s="7" t="s">
        <v>3094</v>
      </c>
      <c r="M406" s="7" t="s">
        <v>3095</v>
      </c>
      <c r="N406" s="7" t="s">
        <v>3096</v>
      </c>
      <c r="O406" s="7" t="s">
        <v>3097</v>
      </c>
      <c r="P406" s="7" t="s">
        <v>2943</v>
      </c>
      <c r="Q406" s="7"/>
      <c r="R406" s="7"/>
      <c r="S406" s="7"/>
      <c r="T406" s="7"/>
      <c r="U406" s="7"/>
    </row>
    <row r="407" customFormat="false" ht="15" hidden="false" customHeight="false" outlineLevel="0" collapsed="false">
      <c r="A407" s="7" t="s">
        <v>9</v>
      </c>
      <c r="B407" s="7" t="s">
        <v>3098</v>
      </c>
      <c r="C407" s="7" t="s">
        <v>29</v>
      </c>
      <c r="D407" s="7" t="s">
        <v>3099</v>
      </c>
      <c r="E407" s="7" t="s">
        <v>358</v>
      </c>
      <c r="F407" s="7" t="s">
        <v>359</v>
      </c>
      <c r="G407" s="7" t="s">
        <v>3100</v>
      </c>
      <c r="H407" s="7" t="s">
        <v>149</v>
      </c>
      <c r="I407" s="10" t="n">
        <v>1500</v>
      </c>
      <c r="J407" s="7" t="s">
        <v>386</v>
      </c>
      <c r="K407" s="7"/>
      <c r="L407" s="7" t="s">
        <v>3101</v>
      </c>
      <c r="M407" s="7" t="s">
        <v>1120</v>
      </c>
      <c r="N407" s="7" t="s">
        <v>3102</v>
      </c>
      <c r="O407" s="7" t="s">
        <v>3103</v>
      </c>
      <c r="P407" s="7" t="s">
        <v>3104</v>
      </c>
      <c r="Q407" s="7"/>
      <c r="R407" s="7"/>
      <c r="S407" s="7"/>
      <c r="T407" s="7"/>
      <c r="U407" s="7"/>
    </row>
    <row r="408" customFormat="false" ht="15" hidden="false" customHeight="false" outlineLevel="0" collapsed="false">
      <c r="A408" s="7" t="s">
        <v>9</v>
      </c>
      <c r="B408" s="7" t="s">
        <v>3105</v>
      </c>
      <c r="C408" s="7" t="s">
        <v>29</v>
      </c>
      <c r="D408" s="7" t="s">
        <v>3106</v>
      </c>
      <c r="E408" s="7" t="s">
        <v>65</v>
      </c>
      <c r="F408" s="7" t="s">
        <v>66</v>
      </c>
      <c r="G408" s="7" t="s">
        <v>3107</v>
      </c>
      <c r="H408" s="7" t="s">
        <v>149</v>
      </c>
      <c r="I408" s="10" t="n">
        <v>900</v>
      </c>
      <c r="J408" s="7" t="s">
        <v>350</v>
      </c>
      <c r="K408" s="7"/>
      <c r="L408" s="7" t="s">
        <v>3108</v>
      </c>
      <c r="M408" s="7" t="s">
        <v>2993</v>
      </c>
      <c r="N408" s="7" t="s">
        <v>3109</v>
      </c>
      <c r="O408" s="7" t="s">
        <v>3110</v>
      </c>
      <c r="P408" s="7" t="s">
        <v>2958</v>
      </c>
      <c r="Q408" s="7"/>
      <c r="R408" s="7"/>
      <c r="S408" s="7"/>
      <c r="T408" s="7"/>
      <c r="U408" s="7"/>
    </row>
    <row r="409" customFormat="false" ht="15" hidden="false" customHeight="false" outlineLevel="0" collapsed="false">
      <c r="A409" s="7" t="s">
        <v>9</v>
      </c>
      <c r="B409" s="7" t="s">
        <v>3111</v>
      </c>
      <c r="C409" s="7" t="s">
        <v>29</v>
      </c>
      <c r="D409" s="7" t="s">
        <v>2945</v>
      </c>
      <c r="E409" s="7" t="s">
        <v>3112</v>
      </c>
      <c r="F409" s="7" t="s">
        <v>163</v>
      </c>
      <c r="G409" s="7" t="s">
        <v>3113</v>
      </c>
      <c r="H409" s="7" t="s">
        <v>149</v>
      </c>
      <c r="I409" s="10" t="n">
        <v>700</v>
      </c>
      <c r="J409" s="7" t="s">
        <v>350</v>
      </c>
      <c r="K409" s="7"/>
      <c r="L409" s="7" t="s">
        <v>3114</v>
      </c>
      <c r="M409" s="7" t="s">
        <v>2993</v>
      </c>
      <c r="N409" s="7" t="s">
        <v>3115</v>
      </c>
      <c r="O409" s="7" t="s">
        <v>3116</v>
      </c>
      <c r="P409" s="7" t="s">
        <v>3117</v>
      </c>
      <c r="Q409" s="7"/>
      <c r="R409" s="7"/>
      <c r="S409" s="7"/>
      <c r="T409" s="7"/>
      <c r="U409" s="7"/>
    </row>
    <row r="410" customFormat="false" ht="15" hidden="false" customHeight="false" outlineLevel="0" collapsed="false">
      <c r="A410" s="7" t="s">
        <v>9</v>
      </c>
      <c r="B410" s="7" t="s">
        <v>3118</v>
      </c>
      <c r="C410" s="7" t="s">
        <v>29</v>
      </c>
      <c r="D410" s="7" t="s">
        <v>3119</v>
      </c>
      <c r="E410" s="7" t="s">
        <v>1010</v>
      </c>
      <c r="F410" s="7" t="s">
        <v>88</v>
      </c>
      <c r="G410" s="7" t="s">
        <v>3120</v>
      </c>
      <c r="H410" s="7" t="s">
        <v>149</v>
      </c>
      <c r="I410" s="10" t="n">
        <v>1500</v>
      </c>
      <c r="J410" s="7" t="s">
        <v>350</v>
      </c>
      <c r="K410" s="7"/>
      <c r="L410" s="7" t="s">
        <v>3121</v>
      </c>
      <c r="M410" s="7" t="s">
        <v>1120</v>
      </c>
      <c r="N410" s="7" t="s">
        <v>3122</v>
      </c>
      <c r="O410" s="7" t="s">
        <v>3123</v>
      </c>
      <c r="P410" s="7" t="s">
        <v>1139</v>
      </c>
      <c r="Q410" s="7"/>
      <c r="R410" s="7"/>
      <c r="S410" s="7"/>
      <c r="T410" s="7"/>
      <c r="U410" s="7"/>
    </row>
    <row r="411" customFormat="false" ht="15" hidden="false" customHeight="false" outlineLevel="0" collapsed="false">
      <c r="A411" s="7" t="s">
        <v>9</v>
      </c>
      <c r="B411" s="7" t="s">
        <v>3124</v>
      </c>
      <c r="C411" s="7" t="s">
        <v>29</v>
      </c>
      <c r="D411" s="7" t="s">
        <v>2945</v>
      </c>
      <c r="E411" s="7" t="s">
        <v>136</v>
      </c>
      <c r="F411" s="7" t="s">
        <v>137</v>
      </c>
      <c r="G411" s="7" t="s">
        <v>3125</v>
      </c>
      <c r="H411" s="7" t="s">
        <v>149</v>
      </c>
      <c r="I411" s="10" t="n">
        <v>900</v>
      </c>
      <c r="J411" s="7" t="s">
        <v>350</v>
      </c>
      <c r="K411" s="7"/>
      <c r="L411" s="7" t="s">
        <v>3126</v>
      </c>
      <c r="M411" s="7" t="s">
        <v>2993</v>
      </c>
      <c r="N411" s="7" t="s">
        <v>3127</v>
      </c>
      <c r="O411" s="7" t="s">
        <v>3128</v>
      </c>
      <c r="P411" s="7" t="s">
        <v>3129</v>
      </c>
      <c r="Q411" s="7"/>
      <c r="R411" s="7"/>
      <c r="S411" s="7"/>
      <c r="T411" s="7"/>
      <c r="U411" s="7"/>
    </row>
    <row r="412" customFormat="false" ht="15" hidden="false" customHeight="false" outlineLevel="0" collapsed="false">
      <c r="A412" s="7" t="s">
        <v>9</v>
      </c>
      <c r="B412" s="7" t="s">
        <v>3130</v>
      </c>
      <c r="C412" s="7" t="s">
        <v>29</v>
      </c>
      <c r="D412" s="7" t="s">
        <v>2945</v>
      </c>
      <c r="E412" s="7" t="s">
        <v>827</v>
      </c>
      <c r="F412" s="7" t="s">
        <v>480</v>
      </c>
      <c r="G412" s="7" t="s">
        <v>3131</v>
      </c>
      <c r="H412" s="7" t="s">
        <v>149</v>
      </c>
      <c r="I412" s="10" t="n">
        <v>900</v>
      </c>
      <c r="J412" s="7" t="s">
        <v>350</v>
      </c>
      <c r="K412" s="7"/>
      <c r="L412" s="7" t="s">
        <v>3132</v>
      </c>
      <c r="M412" s="7" t="s">
        <v>2948</v>
      </c>
      <c r="N412" s="7" t="s">
        <v>3133</v>
      </c>
      <c r="O412" s="7" t="s">
        <v>3134</v>
      </c>
      <c r="P412" s="7" t="s">
        <v>3019</v>
      </c>
      <c r="Q412" s="7"/>
      <c r="R412" s="7"/>
      <c r="S412" s="7"/>
      <c r="T412" s="7"/>
      <c r="U412" s="7"/>
    </row>
    <row r="413" customFormat="false" ht="15" hidden="false" customHeight="false" outlineLevel="0" collapsed="false">
      <c r="A413" s="7" t="s">
        <v>9</v>
      </c>
      <c r="B413" s="7" t="s">
        <v>3135</v>
      </c>
      <c r="C413" s="7" t="s">
        <v>29</v>
      </c>
      <c r="D413" s="7" t="s">
        <v>2945</v>
      </c>
      <c r="E413" s="7" t="s">
        <v>171</v>
      </c>
      <c r="F413" s="7" t="s">
        <v>172</v>
      </c>
      <c r="G413" s="7" t="s">
        <v>3136</v>
      </c>
      <c r="H413" s="7" t="s">
        <v>149</v>
      </c>
      <c r="I413" s="10" t="n">
        <v>700</v>
      </c>
      <c r="J413" s="7" t="s">
        <v>350</v>
      </c>
      <c r="K413" s="7"/>
      <c r="L413" s="7" t="s">
        <v>3137</v>
      </c>
      <c r="M413" s="7" t="s">
        <v>2993</v>
      </c>
      <c r="N413" s="7" t="s">
        <v>3138</v>
      </c>
      <c r="O413" s="7" t="s">
        <v>3139</v>
      </c>
      <c r="P413" s="7" t="s">
        <v>3140</v>
      </c>
      <c r="Q413" s="7"/>
      <c r="R413" s="7"/>
      <c r="S413" s="7"/>
      <c r="T413" s="7"/>
      <c r="U413" s="7"/>
    </row>
    <row r="414" customFormat="false" ht="15" hidden="false" customHeight="false" outlineLevel="0" collapsed="false">
      <c r="A414" s="7" t="s">
        <v>9</v>
      </c>
      <c r="B414" s="7" t="s">
        <v>3141</v>
      </c>
      <c r="C414" s="7" t="s">
        <v>29</v>
      </c>
      <c r="D414" s="7" t="s">
        <v>3142</v>
      </c>
      <c r="E414" s="7" t="s">
        <v>112</v>
      </c>
      <c r="F414" s="7" t="s">
        <v>113</v>
      </c>
      <c r="G414" s="7" t="s">
        <v>3143</v>
      </c>
      <c r="H414" s="7" t="s">
        <v>149</v>
      </c>
      <c r="I414" s="10" t="n">
        <v>1500</v>
      </c>
      <c r="J414" s="7" t="s">
        <v>386</v>
      </c>
      <c r="K414" s="7"/>
      <c r="L414" s="7" t="s">
        <v>3144</v>
      </c>
      <c r="M414" s="7" t="s">
        <v>1120</v>
      </c>
      <c r="N414" s="7" t="s">
        <v>3145</v>
      </c>
      <c r="O414" s="7" t="s">
        <v>3146</v>
      </c>
      <c r="P414" s="7" t="s">
        <v>3147</v>
      </c>
      <c r="Q414" s="7"/>
      <c r="R414" s="7"/>
      <c r="S414" s="7"/>
      <c r="T414" s="7"/>
      <c r="U414" s="7"/>
    </row>
    <row r="415" customFormat="false" ht="15" hidden="false" customHeight="false" outlineLevel="0" collapsed="false">
      <c r="A415" s="7" t="s">
        <v>9</v>
      </c>
      <c r="B415" s="7" t="s">
        <v>3148</v>
      </c>
      <c r="C415" s="7" t="s">
        <v>29</v>
      </c>
      <c r="D415" s="7" t="s">
        <v>2945</v>
      </c>
      <c r="E415" s="7" t="s">
        <v>3149</v>
      </c>
      <c r="F415" s="7" t="s">
        <v>172</v>
      </c>
      <c r="G415" s="7" t="s">
        <v>3150</v>
      </c>
      <c r="H415" s="7" t="s">
        <v>149</v>
      </c>
      <c r="I415" s="10" t="n">
        <v>800</v>
      </c>
      <c r="J415" s="7" t="s">
        <v>350</v>
      </c>
      <c r="K415" s="7"/>
      <c r="L415" s="7" t="s">
        <v>3151</v>
      </c>
      <c r="M415" s="7" t="s">
        <v>2948</v>
      </c>
      <c r="N415" s="7" t="s">
        <v>3152</v>
      </c>
      <c r="O415" s="7" t="s">
        <v>3153</v>
      </c>
      <c r="P415" s="7" t="s">
        <v>3154</v>
      </c>
      <c r="Q415" s="7"/>
      <c r="R415" s="7"/>
      <c r="S415" s="7"/>
      <c r="T415" s="7"/>
      <c r="U415" s="7"/>
    </row>
    <row r="416" customFormat="false" ht="15" hidden="false" customHeight="false" outlineLevel="0" collapsed="false">
      <c r="A416" s="7" t="s">
        <v>9</v>
      </c>
      <c r="B416" s="7" t="s">
        <v>3155</v>
      </c>
      <c r="C416" s="7" t="s">
        <v>29</v>
      </c>
      <c r="D416" s="7" t="s">
        <v>2945</v>
      </c>
      <c r="E416" s="7" t="s">
        <v>358</v>
      </c>
      <c r="F416" s="7" t="s">
        <v>359</v>
      </c>
      <c r="G416" s="7" t="s">
        <v>3156</v>
      </c>
      <c r="H416" s="7" t="s">
        <v>149</v>
      </c>
      <c r="I416" s="10" t="n">
        <v>500</v>
      </c>
      <c r="J416" s="7" t="s">
        <v>350</v>
      </c>
      <c r="K416" s="7"/>
      <c r="L416" s="7" t="s">
        <v>3157</v>
      </c>
      <c r="M416" s="7" t="s">
        <v>2948</v>
      </c>
      <c r="N416" s="7" t="s">
        <v>3158</v>
      </c>
      <c r="O416" s="7" t="s">
        <v>3159</v>
      </c>
      <c r="P416" s="7" t="s">
        <v>3160</v>
      </c>
      <c r="Q416" s="7"/>
      <c r="R416" s="7"/>
      <c r="S416" s="7"/>
      <c r="T416" s="7"/>
      <c r="U416" s="7"/>
    </row>
    <row r="417" customFormat="false" ht="15" hidden="false" customHeight="false" outlineLevel="0" collapsed="false">
      <c r="A417" s="7" t="s">
        <v>9</v>
      </c>
      <c r="B417" s="7" t="s">
        <v>3161</v>
      </c>
      <c r="C417" s="7" t="s">
        <v>29</v>
      </c>
      <c r="D417" s="7" t="s">
        <v>3092</v>
      </c>
      <c r="E417" s="7" t="s">
        <v>3162</v>
      </c>
      <c r="F417" s="7" t="s">
        <v>113</v>
      </c>
      <c r="G417" s="7" t="s">
        <v>3163</v>
      </c>
      <c r="H417" s="7" t="s">
        <v>149</v>
      </c>
      <c r="I417" s="10" t="n">
        <v>1800</v>
      </c>
      <c r="J417" s="7" t="s">
        <v>350</v>
      </c>
      <c r="K417" s="7"/>
      <c r="L417" s="7" t="s">
        <v>3164</v>
      </c>
      <c r="M417" s="7" t="s">
        <v>2993</v>
      </c>
      <c r="N417" s="7" t="s">
        <v>3165</v>
      </c>
      <c r="O417" s="7" t="s">
        <v>3166</v>
      </c>
      <c r="P417" s="7" t="s">
        <v>3090</v>
      </c>
      <c r="Q417" s="7"/>
      <c r="R417" s="7"/>
      <c r="S417" s="7"/>
      <c r="T417" s="7"/>
      <c r="U417" s="7"/>
    </row>
    <row r="418" customFormat="false" ht="15" hidden="false" customHeight="false" outlineLevel="0" collapsed="false">
      <c r="A418" s="7" t="s">
        <v>9</v>
      </c>
      <c r="B418" s="7" t="s">
        <v>3167</v>
      </c>
      <c r="C418" s="7" t="s">
        <v>29</v>
      </c>
      <c r="D418" s="7" t="s">
        <v>3168</v>
      </c>
      <c r="E418" s="7" t="s">
        <v>154</v>
      </c>
      <c r="F418" s="7" t="s">
        <v>155</v>
      </c>
      <c r="G418" s="7" t="s">
        <v>3169</v>
      </c>
      <c r="H418" s="7" t="s">
        <v>174</v>
      </c>
      <c r="I418" s="10" t="n">
        <v>400</v>
      </c>
      <c r="J418" s="7" t="s">
        <v>350</v>
      </c>
      <c r="K418" s="7"/>
      <c r="L418" s="7" t="s">
        <v>3170</v>
      </c>
      <c r="M418" s="7" t="s">
        <v>2993</v>
      </c>
      <c r="N418" s="7" t="s">
        <v>3171</v>
      </c>
      <c r="O418" s="7" t="s">
        <v>3172</v>
      </c>
      <c r="P418" s="7" t="s">
        <v>3173</v>
      </c>
      <c r="Q418" s="7"/>
      <c r="R418" s="7"/>
      <c r="S418" s="7"/>
      <c r="T418" s="7"/>
      <c r="U418" s="7"/>
    </row>
    <row r="419" customFormat="false" ht="15" hidden="false" customHeight="false" outlineLevel="0" collapsed="false">
      <c r="A419" s="7" t="s">
        <v>9</v>
      </c>
      <c r="B419" s="7" t="s">
        <v>3174</v>
      </c>
      <c r="C419" s="7" t="s">
        <v>29</v>
      </c>
      <c r="D419" s="7" t="s">
        <v>3175</v>
      </c>
      <c r="E419" s="7" t="s">
        <v>1599</v>
      </c>
      <c r="F419" s="7" t="s">
        <v>78</v>
      </c>
      <c r="G419" s="7" t="s">
        <v>3176</v>
      </c>
      <c r="H419" s="7" t="s">
        <v>174</v>
      </c>
      <c r="I419" s="10" t="n">
        <v>1500</v>
      </c>
      <c r="J419" s="7" t="s">
        <v>350</v>
      </c>
      <c r="K419" s="7"/>
      <c r="L419" s="7" t="s">
        <v>3177</v>
      </c>
      <c r="M419" s="7" t="s">
        <v>1120</v>
      </c>
      <c r="N419" s="7" t="s">
        <v>3178</v>
      </c>
      <c r="O419" s="7" t="s">
        <v>3179</v>
      </c>
      <c r="P419" s="7" t="s">
        <v>1139</v>
      </c>
      <c r="Q419" s="7"/>
      <c r="R419" s="7"/>
      <c r="S419" s="7"/>
      <c r="T419" s="7"/>
      <c r="U419" s="7"/>
    </row>
    <row r="420" customFormat="false" ht="15" hidden="false" customHeight="false" outlineLevel="0" collapsed="false">
      <c r="A420" s="7" t="s">
        <v>9</v>
      </c>
      <c r="B420" s="7" t="s">
        <v>3180</v>
      </c>
      <c r="C420" s="7" t="s">
        <v>29</v>
      </c>
      <c r="D420" s="7" t="s">
        <v>3181</v>
      </c>
      <c r="E420" s="7" t="s">
        <v>112</v>
      </c>
      <c r="F420" s="7" t="s">
        <v>113</v>
      </c>
      <c r="G420" s="7" t="s">
        <v>3182</v>
      </c>
      <c r="H420" s="7" t="s">
        <v>174</v>
      </c>
      <c r="I420" s="10" t="n">
        <v>700</v>
      </c>
      <c r="J420" s="7" t="s">
        <v>350</v>
      </c>
      <c r="K420" s="7"/>
      <c r="L420" s="7" t="s">
        <v>3183</v>
      </c>
      <c r="M420" s="7" t="s">
        <v>1120</v>
      </c>
      <c r="N420" s="7" t="s">
        <v>3184</v>
      </c>
      <c r="O420" s="7" t="s">
        <v>3185</v>
      </c>
      <c r="P420" s="7" t="s">
        <v>3186</v>
      </c>
      <c r="Q420" s="7"/>
      <c r="R420" s="7"/>
      <c r="S420" s="7"/>
      <c r="T420" s="7"/>
      <c r="U420" s="7"/>
    </row>
    <row r="421" customFormat="false" ht="15" hidden="false" customHeight="false" outlineLevel="0" collapsed="false">
      <c r="A421" s="7" t="s">
        <v>9</v>
      </c>
      <c r="B421" s="7" t="s">
        <v>3187</v>
      </c>
      <c r="C421" s="7" t="s">
        <v>29</v>
      </c>
      <c r="D421" s="7" t="s">
        <v>3168</v>
      </c>
      <c r="E421" s="7" t="s">
        <v>1202</v>
      </c>
      <c r="F421" s="7" t="s">
        <v>296</v>
      </c>
      <c r="G421" s="7" t="s">
        <v>3188</v>
      </c>
      <c r="H421" s="7" t="s">
        <v>174</v>
      </c>
      <c r="I421" s="10" t="n">
        <v>500</v>
      </c>
      <c r="J421" s="7" t="s">
        <v>350</v>
      </c>
      <c r="K421" s="7"/>
      <c r="L421" s="7" t="s">
        <v>3189</v>
      </c>
      <c r="M421" s="7" t="s">
        <v>2993</v>
      </c>
      <c r="N421" s="7" t="s">
        <v>3190</v>
      </c>
      <c r="O421" s="7" t="s">
        <v>3191</v>
      </c>
      <c r="P421" s="7" t="s">
        <v>3192</v>
      </c>
      <c r="Q421" s="7"/>
      <c r="R421" s="7"/>
      <c r="S421" s="7"/>
      <c r="T421" s="7"/>
      <c r="U421" s="7"/>
    </row>
    <row r="422" customFormat="false" ht="15" hidden="false" customHeight="false" outlineLevel="0" collapsed="false">
      <c r="A422" s="7" t="s">
        <v>9</v>
      </c>
      <c r="B422" s="7" t="s">
        <v>3193</v>
      </c>
      <c r="C422" s="7" t="s">
        <v>29</v>
      </c>
      <c r="D422" s="7" t="s">
        <v>3194</v>
      </c>
      <c r="E422" s="7" t="s">
        <v>2835</v>
      </c>
      <c r="F422" s="7" t="s">
        <v>113</v>
      </c>
      <c r="G422" s="7" t="s">
        <v>3195</v>
      </c>
      <c r="H422" s="7" t="s">
        <v>174</v>
      </c>
      <c r="I422" s="10" t="n">
        <v>800</v>
      </c>
      <c r="J422" s="7" t="s">
        <v>350</v>
      </c>
      <c r="K422" s="7"/>
      <c r="L422" s="7" t="s">
        <v>3196</v>
      </c>
      <c r="M422" s="7" t="s">
        <v>2993</v>
      </c>
      <c r="N422" s="7" t="s">
        <v>3197</v>
      </c>
      <c r="O422" s="7" t="s">
        <v>3198</v>
      </c>
      <c r="P422" s="7" t="s">
        <v>3199</v>
      </c>
      <c r="Q422" s="7"/>
      <c r="R422" s="7"/>
      <c r="S422" s="7"/>
      <c r="T422" s="7"/>
      <c r="U422" s="7"/>
    </row>
    <row r="423" customFormat="false" ht="15" hidden="false" customHeight="false" outlineLevel="0" collapsed="false">
      <c r="A423" s="7" t="s">
        <v>9</v>
      </c>
      <c r="B423" s="7" t="s">
        <v>3200</v>
      </c>
      <c r="C423" s="7" t="s">
        <v>29</v>
      </c>
      <c r="D423" s="7" t="s">
        <v>2945</v>
      </c>
      <c r="E423" s="7" t="s">
        <v>136</v>
      </c>
      <c r="F423" s="7" t="s">
        <v>137</v>
      </c>
      <c r="G423" s="7" t="s">
        <v>3201</v>
      </c>
      <c r="H423" s="7" t="s">
        <v>174</v>
      </c>
      <c r="I423" s="10" t="n">
        <v>600</v>
      </c>
      <c r="J423" s="7" t="s">
        <v>350</v>
      </c>
      <c r="K423" s="7"/>
      <c r="L423" s="7" t="s">
        <v>3202</v>
      </c>
      <c r="M423" s="7" t="s">
        <v>3095</v>
      </c>
      <c r="N423" s="7" t="s">
        <v>3203</v>
      </c>
      <c r="O423" s="7" t="s">
        <v>3204</v>
      </c>
      <c r="P423" s="7" t="s">
        <v>3205</v>
      </c>
      <c r="Q423" s="7"/>
      <c r="R423" s="7"/>
      <c r="S423" s="7"/>
      <c r="T423" s="7"/>
      <c r="U423" s="7"/>
    </row>
    <row r="424" customFormat="false" ht="15" hidden="false" customHeight="false" outlineLevel="0" collapsed="false">
      <c r="A424" s="7" t="s">
        <v>9</v>
      </c>
      <c r="B424" s="7" t="s">
        <v>3206</v>
      </c>
      <c r="C424" s="7" t="s">
        <v>29</v>
      </c>
      <c r="D424" s="7" t="s">
        <v>2945</v>
      </c>
      <c r="E424" s="7" t="s">
        <v>1443</v>
      </c>
      <c r="F424" s="7" t="s">
        <v>455</v>
      </c>
      <c r="G424" s="7" t="s">
        <v>3207</v>
      </c>
      <c r="H424" s="7" t="s">
        <v>174</v>
      </c>
      <c r="I424" s="10" t="n">
        <v>450</v>
      </c>
      <c r="J424" s="7" t="s">
        <v>350</v>
      </c>
      <c r="K424" s="7"/>
      <c r="L424" s="7" t="s">
        <v>3208</v>
      </c>
      <c r="M424" s="7" t="s">
        <v>1120</v>
      </c>
      <c r="N424" s="7" t="s">
        <v>3209</v>
      </c>
      <c r="O424" s="7" t="s">
        <v>3210</v>
      </c>
      <c r="P424" s="7" t="s">
        <v>3090</v>
      </c>
      <c r="Q424" s="7"/>
      <c r="R424" s="7"/>
      <c r="S424" s="7"/>
      <c r="T424" s="7"/>
      <c r="U424" s="7"/>
    </row>
    <row r="425" customFormat="false" ht="15" hidden="false" customHeight="false" outlineLevel="0" collapsed="false">
      <c r="A425" s="7" t="s">
        <v>9</v>
      </c>
      <c r="B425" s="7" t="s">
        <v>3211</v>
      </c>
      <c r="C425" s="7" t="s">
        <v>30</v>
      </c>
      <c r="D425" s="7" t="s">
        <v>3212</v>
      </c>
      <c r="E425" s="7" t="s">
        <v>136</v>
      </c>
      <c r="F425" s="7" t="s">
        <v>137</v>
      </c>
      <c r="G425" s="7" t="s">
        <v>3213</v>
      </c>
      <c r="H425" s="7" t="s">
        <v>68</v>
      </c>
      <c r="I425" s="10" t="n">
        <v>2200</v>
      </c>
      <c r="J425" s="7" t="s">
        <v>377</v>
      </c>
      <c r="K425" s="7"/>
      <c r="L425" s="7" t="s">
        <v>3214</v>
      </c>
      <c r="M425" s="7" t="s">
        <v>3215</v>
      </c>
      <c r="N425" s="7" t="s">
        <v>3216</v>
      </c>
      <c r="O425" s="7" t="s">
        <v>3217</v>
      </c>
      <c r="P425" s="7" t="s">
        <v>3218</v>
      </c>
      <c r="Q425" s="7"/>
      <c r="R425" s="7"/>
      <c r="S425" s="7"/>
      <c r="T425" s="7"/>
      <c r="U425" s="7"/>
    </row>
    <row r="426" customFormat="false" ht="15" hidden="false" customHeight="false" outlineLevel="0" collapsed="false">
      <c r="A426" s="7" t="s">
        <v>9</v>
      </c>
      <c r="B426" s="7" t="s">
        <v>3219</v>
      </c>
      <c r="C426" s="7" t="s">
        <v>30</v>
      </c>
      <c r="D426" s="7" t="s">
        <v>3220</v>
      </c>
      <c r="E426" s="7" t="s">
        <v>3221</v>
      </c>
      <c r="F426" s="7" t="s">
        <v>163</v>
      </c>
      <c r="G426" s="7" t="s">
        <v>3222</v>
      </c>
      <c r="H426" s="7" t="s">
        <v>68</v>
      </c>
      <c r="I426" s="10" t="n">
        <v>4000</v>
      </c>
      <c r="J426" s="7" t="s">
        <v>350</v>
      </c>
      <c r="K426" s="7"/>
      <c r="L426" s="7" t="s">
        <v>3223</v>
      </c>
      <c r="M426" s="7" t="s">
        <v>3224</v>
      </c>
      <c r="N426" s="7" t="s">
        <v>3225</v>
      </c>
      <c r="O426" s="7" t="s">
        <v>3226</v>
      </c>
      <c r="P426" s="7" t="s">
        <v>3227</v>
      </c>
      <c r="Q426" s="7"/>
      <c r="R426" s="7"/>
      <c r="S426" s="7"/>
      <c r="T426" s="7"/>
      <c r="U426" s="7"/>
    </row>
    <row r="427" customFormat="false" ht="15" hidden="false" customHeight="false" outlineLevel="0" collapsed="false">
      <c r="A427" s="7" t="s">
        <v>9</v>
      </c>
      <c r="B427" s="7" t="s">
        <v>3228</v>
      </c>
      <c r="C427" s="7" t="s">
        <v>30</v>
      </c>
      <c r="D427" s="7" t="s">
        <v>3229</v>
      </c>
      <c r="E427" s="7" t="s">
        <v>3230</v>
      </c>
      <c r="F427" s="7" t="s">
        <v>155</v>
      </c>
      <c r="G427" s="7" t="s">
        <v>3231</v>
      </c>
      <c r="H427" s="7" t="s">
        <v>68</v>
      </c>
      <c r="I427" s="10" t="n">
        <v>3000</v>
      </c>
      <c r="J427" s="7" t="s">
        <v>350</v>
      </c>
      <c r="K427" s="7"/>
      <c r="L427" s="7" t="s">
        <v>3232</v>
      </c>
      <c r="M427" s="7" t="s">
        <v>3224</v>
      </c>
      <c r="N427" s="7" t="s">
        <v>3233</v>
      </c>
      <c r="O427" s="7" t="s">
        <v>3234</v>
      </c>
      <c r="P427" s="7" t="s">
        <v>3235</v>
      </c>
      <c r="Q427" s="7"/>
      <c r="R427" s="7"/>
      <c r="S427" s="7"/>
      <c r="T427" s="7"/>
      <c r="U427" s="7"/>
    </row>
    <row r="428" customFormat="false" ht="15" hidden="false" customHeight="false" outlineLevel="0" collapsed="false">
      <c r="A428" s="7" t="s">
        <v>9</v>
      </c>
      <c r="B428" s="7" t="s">
        <v>3236</v>
      </c>
      <c r="C428" s="7" t="s">
        <v>30</v>
      </c>
      <c r="D428" s="7" t="s">
        <v>3237</v>
      </c>
      <c r="E428" s="7" t="s">
        <v>3073</v>
      </c>
      <c r="F428" s="7" t="s">
        <v>172</v>
      </c>
      <c r="G428" s="7" t="s">
        <v>3238</v>
      </c>
      <c r="H428" s="7" t="s">
        <v>68</v>
      </c>
      <c r="I428" s="10" t="n">
        <v>3000</v>
      </c>
      <c r="J428" s="7" t="s">
        <v>3239</v>
      </c>
      <c r="K428" s="7"/>
      <c r="L428" s="7" t="s">
        <v>3240</v>
      </c>
      <c r="M428" s="7" t="s">
        <v>3241</v>
      </c>
      <c r="N428" s="7" t="s">
        <v>3242</v>
      </c>
      <c r="O428" s="7" t="s">
        <v>3243</v>
      </c>
      <c r="P428" s="7" t="s">
        <v>3244</v>
      </c>
      <c r="Q428" s="7"/>
      <c r="R428" s="7"/>
      <c r="S428" s="7"/>
      <c r="T428" s="7"/>
      <c r="U428" s="7"/>
    </row>
    <row r="429" customFormat="false" ht="15" hidden="false" customHeight="false" outlineLevel="0" collapsed="false">
      <c r="A429" s="7" t="s">
        <v>9</v>
      </c>
      <c r="B429" s="7" t="s">
        <v>3245</v>
      </c>
      <c r="C429" s="7" t="s">
        <v>30</v>
      </c>
      <c r="D429" s="7" t="s">
        <v>3246</v>
      </c>
      <c r="E429" s="7" t="s">
        <v>3247</v>
      </c>
      <c r="F429" s="7" t="s">
        <v>155</v>
      </c>
      <c r="G429" s="7" t="s">
        <v>3248</v>
      </c>
      <c r="H429" s="7" t="s">
        <v>149</v>
      </c>
      <c r="I429" s="10" t="n">
        <v>1000</v>
      </c>
      <c r="J429" s="7" t="s">
        <v>350</v>
      </c>
      <c r="K429" s="7"/>
      <c r="L429" s="7" t="s">
        <v>3249</v>
      </c>
      <c r="M429" s="7" t="s">
        <v>3224</v>
      </c>
      <c r="N429" s="7" t="s">
        <v>3250</v>
      </c>
      <c r="O429" s="7" t="s">
        <v>269</v>
      </c>
      <c r="P429" s="7" t="s">
        <v>3251</v>
      </c>
      <c r="Q429" s="7"/>
      <c r="R429" s="7"/>
      <c r="S429" s="7"/>
      <c r="T429" s="7"/>
      <c r="U429" s="7"/>
    </row>
    <row r="430" customFormat="false" ht="15" hidden="false" customHeight="false" outlineLevel="0" collapsed="false">
      <c r="A430" s="7" t="s">
        <v>9</v>
      </c>
      <c r="B430" s="7" t="s">
        <v>3252</v>
      </c>
      <c r="C430" s="7" t="s">
        <v>31</v>
      </c>
      <c r="D430" s="7" t="s">
        <v>3253</v>
      </c>
      <c r="E430" s="7" t="s">
        <v>154</v>
      </c>
      <c r="F430" s="7" t="s">
        <v>155</v>
      </c>
      <c r="G430" s="7" t="s">
        <v>3254</v>
      </c>
      <c r="H430" s="7" t="s">
        <v>68</v>
      </c>
      <c r="I430" s="10" t="n">
        <v>6000</v>
      </c>
      <c r="J430" s="7" t="s">
        <v>3239</v>
      </c>
      <c r="K430" s="7"/>
      <c r="L430" s="7" t="s">
        <v>3255</v>
      </c>
      <c r="M430" s="7" t="s">
        <v>3256</v>
      </c>
      <c r="N430" s="7" t="s">
        <v>3257</v>
      </c>
      <c r="O430" s="7" t="s">
        <v>3258</v>
      </c>
      <c r="P430" s="7" t="s">
        <v>1250</v>
      </c>
      <c r="Q430" s="7"/>
      <c r="R430" s="7"/>
      <c r="S430" s="7"/>
      <c r="T430" s="7"/>
      <c r="U430" s="7"/>
    </row>
    <row r="431" customFormat="false" ht="15" hidden="false" customHeight="false" outlineLevel="0" collapsed="false">
      <c r="A431" s="7" t="s">
        <v>9</v>
      </c>
      <c r="B431" s="7" t="s">
        <v>3259</v>
      </c>
      <c r="C431" s="7" t="s">
        <v>31</v>
      </c>
      <c r="D431" s="7" t="s">
        <v>3260</v>
      </c>
      <c r="E431" s="7" t="s">
        <v>112</v>
      </c>
      <c r="F431" s="7" t="s">
        <v>113</v>
      </c>
      <c r="G431" s="7" t="s">
        <v>3261</v>
      </c>
      <c r="H431" s="7" t="s">
        <v>68</v>
      </c>
      <c r="I431" s="10" t="n">
        <v>2500</v>
      </c>
      <c r="J431" s="7" t="s">
        <v>350</v>
      </c>
      <c r="K431" s="7"/>
      <c r="L431" s="7" t="s">
        <v>3262</v>
      </c>
      <c r="M431" s="7" t="s">
        <v>3263</v>
      </c>
      <c r="N431" s="7" t="s">
        <v>3264</v>
      </c>
      <c r="O431" s="7" t="s">
        <v>3265</v>
      </c>
      <c r="P431" s="7" t="s">
        <v>3266</v>
      </c>
      <c r="Q431" s="7"/>
      <c r="R431" s="7"/>
      <c r="S431" s="7"/>
      <c r="T431" s="7"/>
      <c r="U431" s="7"/>
    </row>
    <row r="432" customFormat="false" ht="15" hidden="false" customHeight="false" outlineLevel="0" collapsed="false">
      <c r="A432" s="7" t="s">
        <v>9</v>
      </c>
      <c r="B432" s="7" t="s">
        <v>3267</v>
      </c>
      <c r="C432" s="7" t="s">
        <v>31</v>
      </c>
      <c r="D432" s="7" t="s">
        <v>3268</v>
      </c>
      <c r="E432" s="7" t="s">
        <v>2213</v>
      </c>
      <c r="F432" s="7" t="s">
        <v>600</v>
      </c>
      <c r="G432" s="7" t="s">
        <v>3269</v>
      </c>
      <c r="H432" s="7" t="s">
        <v>68</v>
      </c>
      <c r="I432" s="10" t="n">
        <v>1800</v>
      </c>
      <c r="J432" s="7" t="s">
        <v>350</v>
      </c>
      <c r="K432" s="7"/>
      <c r="L432" s="7" t="s">
        <v>3270</v>
      </c>
      <c r="M432" s="7" t="s">
        <v>1240</v>
      </c>
      <c r="N432" s="7" t="s">
        <v>3271</v>
      </c>
      <c r="O432" s="7" t="s">
        <v>3272</v>
      </c>
      <c r="P432" s="7" t="s">
        <v>3273</v>
      </c>
      <c r="Q432" s="7"/>
      <c r="R432" s="7"/>
      <c r="S432" s="7"/>
      <c r="T432" s="7"/>
      <c r="U432" s="7"/>
    </row>
    <row r="433" customFormat="false" ht="15" hidden="false" customHeight="false" outlineLevel="0" collapsed="false">
      <c r="A433" s="7" t="s">
        <v>9</v>
      </c>
      <c r="B433" s="7" t="s">
        <v>3274</v>
      </c>
      <c r="C433" s="7" t="s">
        <v>31</v>
      </c>
      <c r="D433" s="7" t="s">
        <v>3275</v>
      </c>
      <c r="E433" s="7" t="s">
        <v>2474</v>
      </c>
      <c r="F433" s="7" t="s">
        <v>1106</v>
      </c>
      <c r="G433" s="7" t="s">
        <v>3276</v>
      </c>
      <c r="H433" s="7" t="s">
        <v>68</v>
      </c>
      <c r="I433" s="10" t="n">
        <v>5000</v>
      </c>
      <c r="J433" s="7" t="s">
        <v>350</v>
      </c>
      <c r="K433" s="7"/>
      <c r="L433" s="7" t="s">
        <v>3277</v>
      </c>
      <c r="M433" s="7" t="s">
        <v>3278</v>
      </c>
      <c r="N433" s="7" t="s">
        <v>3279</v>
      </c>
      <c r="O433" s="7" t="s">
        <v>3280</v>
      </c>
      <c r="P433" s="7" t="s">
        <v>3281</v>
      </c>
      <c r="Q433" s="7"/>
      <c r="R433" s="7"/>
      <c r="S433" s="7"/>
      <c r="T433" s="7"/>
      <c r="U433" s="7"/>
    </row>
    <row r="434" customFormat="false" ht="15" hidden="false" customHeight="false" outlineLevel="0" collapsed="false">
      <c r="A434" s="7" t="s">
        <v>9</v>
      </c>
      <c r="B434" s="7" t="s">
        <v>3282</v>
      </c>
      <c r="C434" s="7" t="s">
        <v>31</v>
      </c>
      <c r="D434" s="7" t="s">
        <v>3283</v>
      </c>
      <c r="E434" s="7" t="s">
        <v>112</v>
      </c>
      <c r="F434" s="7" t="s">
        <v>113</v>
      </c>
      <c r="G434" s="7" t="s">
        <v>3284</v>
      </c>
      <c r="H434" s="7" t="s">
        <v>68</v>
      </c>
      <c r="I434" s="10" t="n">
        <v>7000</v>
      </c>
      <c r="J434" s="7" t="s">
        <v>350</v>
      </c>
      <c r="K434" s="7"/>
      <c r="L434" s="7" t="s">
        <v>3285</v>
      </c>
      <c r="M434" s="7" t="s">
        <v>1231</v>
      </c>
      <c r="N434" s="7" t="s">
        <v>3286</v>
      </c>
      <c r="O434" s="7" t="s">
        <v>3287</v>
      </c>
      <c r="P434" s="7" t="s">
        <v>3288</v>
      </c>
      <c r="Q434" s="7"/>
      <c r="R434" s="7"/>
      <c r="S434" s="7"/>
      <c r="T434" s="7"/>
      <c r="U434" s="7"/>
    </row>
    <row r="435" customFormat="false" ht="15" hidden="false" customHeight="false" outlineLevel="0" collapsed="false">
      <c r="A435" s="7" t="s">
        <v>9</v>
      </c>
      <c r="B435" s="7" t="s">
        <v>3289</v>
      </c>
      <c r="C435" s="7" t="s">
        <v>31</v>
      </c>
      <c r="D435" s="7" t="s">
        <v>3290</v>
      </c>
      <c r="E435" s="7" t="s">
        <v>112</v>
      </c>
      <c r="F435" s="7" t="s">
        <v>113</v>
      </c>
      <c r="G435" s="7" t="s">
        <v>3291</v>
      </c>
      <c r="H435" s="7" t="s">
        <v>68</v>
      </c>
      <c r="I435" s="10" t="n">
        <v>4000</v>
      </c>
      <c r="J435" s="7" t="s">
        <v>386</v>
      </c>
      <c r="K435" s="7"/>
      <c r="L435" s="7" t="s">
        <v>3292</v>
      </c>
      <c r="M435" s="7" t="s">
        <v>3256</v>
      </c>
      <c r="N435" s="7" t="s">
        <v>3293</v>
      </c>
      <c r="O435" s="7" t="s">
        <v>3294</v>
      </c>
      <c r="P435" s="7" t="s">
        <v>3295</v>
      </c>
      <c r="Q435" s="7"/>
      <c r="R435" s="7"/>
      <c r="S435" s="7"/>
      <c r="T435" s="7"/>
      <c r="U435" s="7"/>
    </row>
    <row r="436" customFormat="false" ht="15" hidden="false" customHeight="false" outlineLevel="0" collapsed="false">
      <c r="A436" s="7" t="s">
        <v>9</v>
      </c>
      <c r="B436" s="7" t="s">
        <v>3296</v>
      </c>
      <c r="C436" s="7" t="s">
        <v>31</v>
      </c>
      <c r="D436" s="7" t="s">
        <v>3297</v>
      </c>
      <c r="E436" s="7" t="s">
        <v>3298</v>
      </c>
      <c r="F436" s="7" t="s">
        <v>155</v>
      </c>
      <c r="G436" s="7" t="s">
        <v>3299</v>
      </c>
      <c r="H436" s="7" t="s">
        <v>149</v>
      </c>
      <c r="I436" s="10" t="n">
        <v>1500</v>
      </c>
      <c r="J436" s="7" t="s">
        <v>350</v>
      </c>
      <c r="K436" s="7"/>
      <c r="L436" s="7" t="s">
        <v>3300</v>
      </c>
      <c r="M436" s="7" t="s">
        <v>3278</v>
      </c>
      <c r="N436" s="7" t="s">
        <v>3301</v>
      </c>
      <c r="O436" s="7" t="s">
        <v>3302</v>
      </c>
      <c r="P436" s="7" t="s">
        <v>3303</v>
      </c>
      <c r="Q436" s="7"/>
      <c r="R436" s="7"/>
      <c r="S436" s="7"/>
      <c r="T436" s="7"/>
      <c r="U436" s="7"/>
    </row>
    <row r="437" customFormat="false" ht="15" hidden="false" customHeight="false" outlineLevel="0" collapsed="false">
      <c r="A437" s="7" t="s">
        <v>9</v>
      </c>
      <c r="B437" s="7" t="s">
        <v>3304</v>
      </c>
      <c r="C437" s="7" t="s">
        <v>31</v>
      </c>
      <c r="D437" s="7" t="s">
        <v>3305</v>
      </c>
      <c r="E437" s="7" t="s">
        <v>112</v>
      </c>
      <c r="F437" s="7" t="s">
        <v>113</v>
      </c>
      <c r="G437" s="7" t="s">
        <v>3306</v>
      </c>
      <c r="H437" s="7" t="s">
        <v>149</v>
      </c>
      <c r="I437" s="10" t="n">
        <v>1600</v>
      </c>
      <c r="J437" s="7" t="s">
        <v>386</v>
      </c>
      <c r="K437" s="7"/>
      <c r="L437" s="7" t="s">
        <v>3307</v>
      </c>
      <c r="M437" s="7" t="s">
        <v>3308</v>
      </c>
      <c r="N437" s="7" t="s">
        <v>3309</v>
      </c>
      <c r="O437" s="7" t="s">
        <v>3310</v>
      </c>
      <c r="P437" s="7" t="s">
        <v>3311</v>
      </c>
      <c r="Q437" s="7"/>
      <c r="R437" s="7"/>
      <c r="S437" s="7"/>
      <c r="T437" s="7"/>
      <c r="U437" s="7"/>
    </row>
    <row r="438" customFormat="false" ht="15" hidden="false" customHeight="false" outlineLevel="0" collapsed="false">
      <c r="A438" s="7" t="s">
        <v>9</v>
      </c>
      <c r="B438" s="7" t="s">
        <v>3312</v>
      </c>
      <c r="C438" s="7" t="s">
        <v>31</v>
      </c>
      <c r="D438" s="7" t="s">
        <v>3313</v>
      </c>
      <c r="E438" s="7" t="s">
        <v>154</v>
      </c>
      <c r="F438" s="7" t="s">
        <v>155</v>
      </c>
      <c r="G438" s="7" t="s">
        <v>3314</v>
      </c>
      <c r="H438" s="7" t="s">
        <v>149</v>
      </c>
      <c r="I438" s="10" t="n">
        <v>900</v>
      </c>
      <c r="J438" s="7" t="s">
        <v>350</v>
      </c>
      <c r="K438" s="7"/>
      <c r="L438" s="7" t="s">
        <v>3315</v>
      </c>
      <c r="M438" s="7" t="s">
        <v>3316</v>
      </c>
      <c r="N438" s="7" t="s">
        <v>3317</v>
      </c>
      <c r="O438" s="7" t="s">
        <v>3318</v>
      </c>
      <c r="P438" s="7" t="s">
        <v>3319</v>
      </c>
      <c r="Q438" s="7"/>
      <c r="R438" s="7"/>
      <c r="S438" s="7"/>
      <c r="T438" s="7"/>
      <c r="U438" s="7"/>
    </row>
    <row r="439" customFormat="false" ht="15" hidden="false" customHeight="false" outlineLevel="0" collapsed="false">
      <c r="A439" s="7" t="s">
        <v>9</v>
      </c>
      <c r="B439" s="7" t="s">
        <v>3320</v>
      </c>
      <c r="C439" s="7" t="s">
        <v>31</v>
      </c>
      <c r="D439" s="7" t="s">
        <v>3321</v>
      </c>
      <c r="E439" s="7" t="s">
        <v>1443</v>
      </c>
      <c r="F439" s="7" t="s">
        <v>455</v>
      </c>
      <c r="G439" s="7" t="s">
        <v>3322</v>
      </c>
      <c r="H439" s="7" t="s">
        <v>149</v>
      </c>
      <c r="I439" s="10" t="n">
        <v>2000</v>
      </c>
      <c r="J439" s="7" t="s">
        <v>386</v>
      </c>
      <c r="K439" s="7"/>
      <c r="L439" s="7" t="s">
        <v>3323</v>
      </c>
      <c r="M439" s="7" t="s">
        <v>1273</v>
      </c>
      <c r="N439" s="7" t="s">
        <v>3324</v>
      </c>
      <c r="O439" s="7" t="s">
        <v>3325</v>
      </c>
      <c r="P439" s="7" t="s">
        <v>3326</v>
      </c>
      <c r="Q439" s="7"/>
      <c r="R439" s="7"/>
      <c r="S439" s="7"/>
      <c r="T439" s="7"/>
      <c r="U439" s="7"/>
    </row>
    <row r="440" customFormat="false" ht="15" hidden="false" customHeight="false" outlineLevel="0" collapsed="false">
      <c r="A440" s="7" t="s">
        <v>9</v>
      </c>
      <c r="B440" s="7" t="s">
        <v>3327</v>
      </c>
      <c r="C440" s="7" t="s">
        <v>31</v>
      </c>
      <c r="D440" s="7" t="s">
        <v>3328</v>
      </c>
      <c r="E440" s="7" t="s">
        <v>112</v>
      </c>
      <c r="F440" s="7" t="s">
        <v>113</v>
      </c>
      <c r="G440" s="7" t="s">
        <v>3329</v>
      </c>
      <c r="H440" s="7" t="s">
        <v>149</v>
      </c>
      <c r="I440" s="10" t="n">
        <v>1800</v>
      </c>
      <c r="J440" s="7" t="s">
        <v>350</v>
      </c>
      <c r="K440" s="7"/>
      <c r="L440" s="7" t="s">
        <v>3330</v>
      </c>
      <c r="M440" s="7" t="s">
        <v>3278</v>
      </c>
      <c r="N440" s="7" t="s">
        <v>3331</v>
      </c>
      <c r="O440" s="7" t="s">
        <v>269</v>
      </c>
      <c r="P440" s="7" t="s">
        <v>3332</v>
      </c>
      <c r="Q440" s="7"/>
      <c r="R440" s="7"/>
      <c r="S440" s="7"/>
      <c r="T440" s="7"/>
      <c r="U440" s="7"/>
    </row>
    <row r="441" customFormat="false" ht="15" hidden="false" customHeight="false" outlineLevel="0" collapsed="false">
      <c r="A441" s="7" t="s">
        <v>9</v>
      </c>
      <c r="B441" s="7" t="s">
        <v>3333</v>
      </c>
      <c r="C441" s="7" t="s">
        <v>31</v>
      </c>
      <c r="D441" s="7" t="s">
        <v>3334</v>
      </c>
      <c r="E441" s="7" t="s">
        <v>358</v>
      </c>
      <c r="F441" s="7" t="s">
        <v>359</v>
      </c>
      <c r="G441" s="7" t="s">
        <v>3335</v>
      </c>
      <c r="H441" s="7" t="s">
        <v>174</v>
      </c>
      <c r="I441" s="10" t="n">
        <v>1200</v>
      </c>
      <c r="J441" s="7" t="s">
        <v>350</v>
      </c>
      <c r="K441" s="7"/>
      <c r="L441" s="7" t="s">
        <v>3336</v>
      </c>
      <c r="M441" s="7" t="s">
        <v>3337</v>
      </c>
      <c r="N441" s="7" t="s">
        <v>3338</v>
      </c>
      <c r="O441" s="7" t="s">
        <v>3339</v>
      </c>
      <c r="P441" s="7" t="s">
        <v>1250</v>
      </c>
      <c r="Q441" s="7"/>
      <c r="R441" s="7"/>
      <c r="S441" s="7"/>
      <c r="T441" s="7"/>
      <c r="U441" s="7"/>
    </row>
    <row r="442" customFormat="false" ht="15" hidden="false" customHeight="false" outlineLevel="0" collapsed="false">
      <c r="A442" s="7" t="s">
        <v>9</v>
      </c>
      <c r="B442" s="7" t="s">
        <v>3340</v>
      </c>
      <c r="C442" s="7" t="s">
        <v>31</v>
      </c>
      <c r="D442" s="7" t="s">
        <v>3341</v>
      </c>
      <c r="E442" s="7" t="s">
        <v>986</v>
      </c>
      <c r="F442" s="7" t="s">
        <v>215</v>
      </c>
      <c r="G442" s="7" t="s">
        <v>3342</v>
      </c>
      <c r="H442" s="7" t="s">
        <v>174</v>
      </c>
      <c r="I442" s="10" t="n">
        <v>300</v>
      </c>
      <c r="J442" s="7" t="s">
        <v>350</v>
      </c>
      <c r="K442" s="7"/>
      <c r="L442" s="7" t="s">
        <v>3343</v>
      </c>
      <c r="M442" s="7" t="s">
        <v>3344</v>
      </c>
      <c r="N442" s="7" t="s">
        <v>3345</v>
      </c>
      <c r="O442" s="7" t="s">
        <v>3346</v>
      </c>
      <c r="P442" s="7" t="s">
        <v>3347</v>
      </c>
      <c r="Q442" s="7"/>
      <c r="R442" s="7"/>
      <c r="S442" s="7"/>
      <c r="T442" s="7"/>
      <c r="U442" s="7"/>
    </row>
    <row r="443" customFormat="false" ht="15" hidden="false" customHeight="false" outlineLevel="0" collapsed="false">
      <c r="A443" s="7" t="s">
        <v>9</v>
      </c>
      <c r="B443" s="7" t="s">
        <v>3348</v>
      </c>
      <c r="C443" s="7" t="s">
        <v>31</v>
      </c>
      <c r="D443" s="7" t="s">
        <v>3349</v>
      </c>
      <c r="E443" s="7" t="s">
        <v>112</v>
      </c>
      <c r="F443" s="7" t="s">
        <v>113</v>
      </c>
      <c r="G443" s="7" t="s">
        <v>3350</v>
      </c>
      <c r="H443" s="7" t="s">
        <v>174</v>
      </c>
      <c r="I443" s="10" t="n">
        <v>1800</v>
      </c>
      <c r="J443" s="7" t="s">
        <v>386</v>
      </c>
      <c r="K443" s="7"/>
      <c r="L443" s="7" t="s">
        <v>3351</v>
      </c>
      <c r="M443" s="7" t="s">
        <v>3316</v>
      </c>
      <c r="N443" s="7" t="s">
        <v>3352</v>
      </c>
      <c r="O443" s="7" t="s">
        <v>3353</v>
      </c>
      <c r="P443" s="7" t="s">
        <v>3354</v>
      </c>
      <c r="Q443" s="7"/>
      <c r="R443" s="7"/>
      <c r="S443" s="7"/>
      <c r="T443" s="7"/>
      <c r="U443" s="7"/>
    </row>
    <row r="444" customFormat="false" ht="15" hidden="false" customHeight="false" outlineLevel="0" collapsed="false">
      <c r="A444" s="7" t="s">
        <v>9</v>
      </c>
      <c r="B444" s="7" t="s">
        <v>3355</v>
      </c>
      <c r="C444" s="7" t="s">
        <v>31</v>
      </c>
      <c r="D444" s="7" t="s">
        <v>3356</v>
      </c>
      <c r="E444" s="7" t="s">
        <v>112</v>
      </c>
      <c r="F444" s="7" t="s">
        <v>113</v>
      </c>
      <c r="G444" s="7" t="s">
        <v>3357</v>
      </c>
      <c r="H444" s="7" t="s">
        <v>174</v>
      </c>
      <c r="I444" s="10" t="n">
        <v>700</v>
      </c>
      <c r="J444" s="7" t="s">
        <v>386</v>
      </c>
      <c r="K444" s="7"/>
      <c r="L444" s="7" t="s">
        <v>3358</v>
      </c>
      <c r="M444" s="7" t="s">
        <v>1240</v>
      </c>
      <c r="N444" s="7" t="s">
        <v>3359</v>
      </c>
      <c r="O444" s="7" t="s">
        <v>3360</v>
      </c>
      <c r="P444" s="7" t="s">
        <v>3354</v>
      </c>
      <c r="Q444" s="7"/>
      <c r="R444" s="7"/>
      <c r="S444" s="7"/>
      <c r="T444" s="7"/>
      <c r="U444" s="7"/>
    </row>
    <row r="445" customFormat="false" ht="15" hidden="false" customHeight="false" outlineLevel="0" collapsed="false">
      <c r="A445" s="7" t="s">
        <v>9</v>
      </c>
      <c r="B445" s="7" t="s">
        <v>3361</v>
      </c>
      <c r="C445" s="7" t="s">
        <v>31</v>
      </c>
      <c r="D445" s="7" t="s">
        <v>3260</v>
      </c>
      <c r="E445" s="7" t="s">
        <v>3362</v>
      </c>
      <c r="F445" s="7" t="s">
        <v>338</v>
      </c>
      <c r="G445" s="7" t="s">
        <v>3363</v>
      </c>
      <c r="H445" s="7" t="s">
        <v>174</v>
      </c>
      <c r="I445" s="10" t="n">
        <v>500</v>
      </c>
      <c r="J445" s="7" t="s">
        <v>3239</v>
      </c>
      <c r="K445" s="7"/>
      <c r="L445" s="7" t="s">
        <v>3364</v>
      </c>
      <c r="M445" s="7" t="s">
        <v>3365</v>
      </c>
      <c r="N445" s="7" t="s">
        <v>3366</v>
      </c>
      <c r="O445" s="7" t="s">
        <v>3367</v>
      </c>
      <c r="P445" s="7" t="s">
        <v>3368</v>
      </c>
      <c r="Q445" s="7"/>
      <c r="R445" s="7"/>
      <c r="S445" s="7"/>
      <c r="T445" s="7"/>
      <c r="U445" s="7"/>
    </row>
    <row r="446" customFormat="false" ht="15" hidden="false" customHeight="false" outlineLevel="0" collapsed="false">
      <c r="A446" s="7" t="s">
        <v>9</v>
      </c>
      <c r="B446" s="7" t="s">
        <v>3369</v>
      </c>
      <c r="C446" s="7" t="s">
        <v>31</v>
      </c>
      <c r="D446" s="7" t="s">
        <v>3370</v>
      </c>
      <c r="E446" s="7" t="s">
        <v>3371</v>
      </c>
      <c r="F446" s="7" t="s">
        <v>348</v>
      </c>
      <c r="G446" s="7" t="s">
        <v>3372</v>
      </c>
      <c r="H446" s="7" t="s">
        <v>174</v>
      </c>
      <c r="I446" s="10" t="n">
        <v>2000</v>
      </c>
      <c r="J446" s="7" t="s">
        <v>377</v>
      </c>
      <c r="K446" s="7"/>
      <c r="L446" s="7" t="s">
        <v>3373</v>
      </c>
      <c r="M446" s="7" t="s">
        <v>3374</v>
      </c>
      <c r="N446" s="7" t="s">
        <v>3375</v>
      </c>
      <c r="O446" s="7" t="s">
        <v>3376</v>
      </c>
      <c r="P446" s="7" t="s">
        <v>3377</v>
      </c>
      <c r="Q446" s="7"/>
      <c r="R446" s="7"/>
      <c r="S446" s="7"/>
      <c r="T446" s="7"/>
      <c r="U446" s="7"/>
    </row>
    <row r="447" customFormat="false" ht="15" hidden="false" customHeight="false" outlineLevel="0" collapsed="false">
      <c r="A447" s="7" t="s">
        <v>9</v>
      </c>
      <c r="B447" s="7" t="s">
        <v>3378</v>
      </c>
      <c r="C447" s="7" t="s">
        <v>31</v>
      </c>
      <c r="D447" s="7" t="s">
        <v>3379</v>
      </c>
      <c r="E447" s="7" t="s">
        <v>112</v>
      </c>
      <c r="F447" s="7" t="s">
        <v>113</v>
      </c>
      <c r="G447" s="7" t="s">
        <v>3380</v>
      </c>
      <c r="H447" s="7" t="s">
        <v>174</v>
      </c>
      <c r="I447" s="10" t="n">
        <v>700</v>
      </c>
      <c r="J447" s="7" t="s">
        <v>386</v>
      </c>
      <c r="K447" s="7"/>
      <c r="L447" s="7" t="s">
        <v>3381</v>
      </c>
      <c r="M447" s="7" t="s">
        <v>3308</v>
      </c>
      <c r="N447" s="7" t="s">
        <v>3382</v>
      </c>
      <c r="O447" s="7" t="s">
        <v>3383</v>
      </c>
      <c r="P447" s="7" t="s">
        <v>3384</v>
      </c>
      <c r="Q447" s="7"/>
      <c r="R447" s="7"/>
      <c r="S447" s="7"/>
      <c r="T447" s="7"/>
      <c r="U447" s="7"/>
    </row>
    <row r="448" customFormat="false" ht="15" hidden="false" customHeight="false" outlineLevel="0" collapsed="false">
      <c r="A448" s="7" t="s">
        <v>9</v>
      </c>
      <c r="B448" s="7" t="s">
        <v>3385</v>
      </c>
      <c r="C448" s="7" t="s">
        <v>31</v>
      </c>
      <c r="D448" s="7" t="s">
        <v>3386</v>
      </c>
      <c r="E448" s="7" t="s">
        <v>112</v>
      </c>
      <c r="F448" s="7" t="s">
        <v>113</v>
      </c>
      <c r="G448" s="7" t="s">
        <v>3387</v>
      </c>
      <c r="H448" s="7" t="s">
        <v>174</v>
      </c>
      <c r="I448" s="10" t="n">
        <v>600</v>
      </c>
      <c r="J448" s="7" t="s">
        <v>350</v>
      </c>
      <c r="K448" s="7"/>
      <c r="L448" s="7" t="s">
        <v>3388</v>
      </c>
      <c r="M448" s="7" t="s">
        <v>1240</v>
      </c>
      <c r="N448" s="7" t="s">
        <v>3389</v>
      </c>
      <c r="O448" s="7" t="s">
        <v>269</v>
      </c>
      <c r="P448" s="7" t="s">
        <v>3390</v>
      </c>
      <c r="Q448" s="7"/>
      <c r="R448" s="7"/>
      <c r="S448" s="7"/>
      <c r="T448" s="7"/>
      <c r="U448" s="7"/>
    </row>
    <row r="449" customFormat="false" ht="15" hidden="false" customHeight="false" outlineLevel="0" collapsed="false">
      <c r="A449" s="7" t="s">
        <v>9</v>
      </c>
      <c r="B449" s="7" t="s">
        <v>3391</v>
      </c>
      <c r="C449" s="7" t="s">
        <v>31</v>
      </c>
      <c r="D449" s="7" t="s">
        <v>3321</v>
      </c>
      <c r="E449" s="7" t="s">
        <v>3392</v>
      </c>
      <c r="F449" s="7" t="s">
        <v>147</v>
      </c>
      <c r="G449" s="7" t="s">
        <v>3393</v>
      </c>
      <c r="H449" s="7" t="s">
        <v>174</v>
      </c>
      <c r="I449" s="10" t="n">
        <v>600</v>
      </c>
      <c r="J449" s="7" t="s">
        <v>350</v>
      </c>
      <c r="K449" s="7"/>
      <c r="L449" s="7" t="s">
        <v>3394</v>
      </c>
      <c r="M449" s="7" t="s">
        <v>3374</v>
      </c>
      <c r="N449" s="7" t="s">
        <v>3395</v>
      </c>
      <c r="O449" s="7" t="s">
        <v>3396</v>
      </c>
      <c r="P449" s="7" t="s">
        <v>3397</v>
      </c>
      <c r="Q449" s="7"/>
      <c r="R449" s="7"/>
      <c r="S449" s="7"/>
      <c r="T449" s="7"/>
      <c r="U449" s="7"/>
    </row>
    <row r="450" customFormat="false" ht="15" hidden="false" customHeight="false" outlineLevel="0" collapsed="false">
      <c r="A450" s="7" t="s">
        <v>9</v>
      </c>
      <c r="B450" s="7" t="s">
        <v>3398</v>
      </c>
      <c r="C450" s="7" t="s">
        <v>31</v>
      </c>
      <c r="D450" s="7" t="s">
        <v>3399</v>
      </c>
      <c r="E450" s="7" t="s">
        <v>1881</v>
      </c>
      <c r="F450" s="7" t="s">
        <v>250</v>
      </c>
      <c r="G450" s="7" t="s">
        <v>3400</v>
      </c>
      <c r="H450" s="7" t="s">
        <v>174</v>
      </c>
      <c r="I450" s="10" t="n">
        <v>900</v>
      </c>
      <c r="J450" s="7" t="s">
        <v>350</v>
      </c>
      <c r="K450" s="7"/>
      <c r="L450" s="7" t="s">
        <v>3401</v>
      </c>
      <c r="M450" s="7" t="s">
        <v>1298</v>
      </c>
      <c r="N450" s="7" t="s">
        <v>3402</v>
      </c>
      <c r="O450" s="7" t="s">
        <v>3403</v>
      </c>
      <c r="P450" s="7" t="s">
        <v>3266</v>
      </c>
      <c r="Q450" s="7"/>
      <c r="R450" s="7"/>
      <c r="S450" s="7"/>
      <c r="T450" s="7"/>
      <c r="U450" s="7"/>
    </row>
    <row r="451" customFormat="false" ht="15" hidden="false" customHeight="false" outlineLevel="0" collapsed="false">
      <c r="A451" s="7" t="s">
        <v>9</v>
      </c>
      <c r="B451" s="7" t="s">
        <v>3404</v>
      </c>
      <c r="C451" s="7" t="s">
        <v>31</v>
      </c>
      <c r="D451" s="7" t="s">
        <v>3405</v>
      </c>
      <c r="E451" s="7" t="s">
        <v>154</v>
      </c>
      <c r="F451" s="7" t="s">
        <v>155</v>
      </c>
      <c r="G451" s="7" t="s">
        <v>3406</v>
      </c>
      <c r="H451" s="7" t="s">
        <v>174</v>
      </c>
      <c r="I451" s="10" t="n">
        <v>900</v>
      </c>
      <c r="J451" s="7" t="s">
        <v>386</v>
      </c>
      <c r="K451" s="7"/>
      <c r="L451" s="7" t="s">
        <v>3407</v>
      </c>
      <c r="M451" s="7" t="s">
        <v>1273</v>
      </c>
      <c r="N451" s="7" t="s">
        <v>3408</v>
      </c>
      <c r="O451" s="7" t="s">
        <v>3409</v>
      </c>
      <c r="P451" s="7" t="s">
        <v>3410</v>
      </c>
      <c r="Q451" s="7"/>
      <c r="R451" s="7"/>
      <c r="S451" s="7"/>
      <c r="T451" s="7"/>
      <c r="U451" s="7"/>
    </row>
    <row r="452" customFormat="false" ht="15" hidden="false" customHeight="false" outlineLevel="0" collapsed="false">
      <c r="A452" s="7" t="s">
        <v>9</v>
      </c>
      <c r="B452" s="7" t="s">
        <v>3411</v>
      </c>
      <c r="C452" s="7" t="s">
        <v>31</v>
      </c>
      <c r="D452" s="7" t="s">
        <v>3290</v>
      </c>
      <c r="E452" s="7" t="s">
        <v>112</v>
      </c>
      <c r="F452" s="7" t="s">
        <v>113</v>
      </c>
      <c r="G452" s="7" t="s">
        <v>3412</v>
      </c>
      <c r="H452" s="7" t="s">
        <v>174</v>
      </c>
      <c r="I452" s="10" t="n">
        <v>800</v>
      </c>
      <c r="J452" s="7" t="s">
        <v>350</v>
      </c>
      <c r="K452" s="7"/>
      <c r="L452" s="7" t="s">
        <v>3413</v>
      </c>
      <c r="M452" s="7" t="s">
        <v>3337</v>
      </c>
      <c r="N452" s="7" t="s">
        <v>3414</v>
      </c>
      <c r="O452" s="7" t="s">
        <v>3415</v>
      </c>
      <c r="P452" s="7" t="s">
        <v>1250</v>
      </c>
      <c r="Q452" s="7"/>
      <c r="R452" s="7"/>
      <c r="S452" s="7"/>
      <c r="T452" s="7"/>
      <c r="U452" s="7"/>
    </row>
    <row r="453" customFormat="false" ht="15" hidden="false" customHeight="false" outlineLevel="0" collapsed="false">
      <c r="A453" s="7" t="s">
        <v>9</v>
      </c>
      <c r="B453" s="7" t="s">
        <v>3416</v>
      </c>
      <c r="C453" s="7" t="s">
        <v>31</v>
      </c>
      <c r="D453" s="7" t="s">
        <v>3260</v>
      </c>
      <c r="E453" s="7" t="s">
        <v>3073</v>
      </c>
      <c r="F453" s="7" t="s">
        <v>172</v>
      </c>
      <c r="G453" s="7" t="s">
        <v>3417</v>
      </c>
      <c r="H453" s="7" t="s">
        <v>258</v>
      </c>
      <c r="I453" s="10" t="n">
        <v>300</v>
      </c>
      <c r="J453" s="7" t="s">
        <v>350</v>
      </c>
      <c r="K453" s="7"/>
      <c r="L453" s="7" t="s">
        <v>3418</v>
      </c>
      <c r="M453" s="7" t="s">
        <v>3419</v>
      </c>
      <c r="N453" s="7" t="s">
        <v>3420</v>
      </c>
      <c r="O453" s="7" t="s">
        <v>3421</v>
      </c>
      <c r="P453" s="7" t="s">
        <v>3266</v>
      </c>
      <c r="Q453" s="7"/>
      <c r="R453" s="7"/>
      <c r="S453" s="7"/>
      <c r="T453" s="7"/>
      <c r="U453" s="7"/>
    </row>
    <row r="454" customFormat="false" ht="15" hidden="false" customHeight="false" outlineLevel="0" collapsed="false">
      <c r="A454" s="7" t="s">
        <v>9</v>
      </c>
      <c r="B454" s="7" t="s">
        <v>3422</v>
      </c>
      <c r="C454" s="7" t="s">
        <v>31</v>
      </c>
      <c r="D454" s="7" t="s">
        <v>3423</v>
      </c>
      <c r="E454" s="7" t="s">
        <v>112</v>
      </c>
      <c r="F454" s="7" t="s">
        <v>113</v>
      </c>
      <c r="G454" s="7" t="s">
        <v>3424</v>
      </c>
      <c r="H454" s="7" t="s">
        <v>258</v>
      </c>
      <c r="I454" s="10" t="n">
        <v>300</v>
      </c>
      <c r="J454" s="7" t="s">
        <v>386</v>
      </c>
      <c r="K454" s="7"/>
      <c r="L454" s="7" t="s">
        <v>3425</v>
      </c>
      <c r="M454" s="7" t="s">
        <v>3337</v>
      </c>
      <c r="N454" s="7" t="s">
        <v>3426</v>
      </c>
      <c r="O454" s="7" t="s">
        <v>3427</v>
      </c>
      <c r="P454" s="7" t="s">
        <v>1250</v>
      </c>
      <c r="Q454" s="7"/>
      <c r="R454" s="7"/>
      <c r="S454" s="7"/>
      <c r="T454" s="7"/>
      <c r="U454" s="7"/>
    </row>
    <row r="455" customFormat="false" ht="15" hidden="false" customHeight="false" outlineLevel="0" collapsed="false">
      <c r="A455" s="7" t="s">
        <v>9</v>
      </c>
      <c r="B455" s="7" t="s">
        <v>3428</v>
      </c>
      <c r="C455" s="7" t="s">
        <v>31</v>
      </c>
      <c r="D455" s="7" t="s">
        <v>3429</v>
      </c>
      <c r="E455" s="7" t="s">
        <v>515</v>
      </c>
      <c r="F455" s="7" t="s">
        <v>428</v>
      </c>
      <c r="G455" s="7" t="s">
        <v>3430</v>
      </c>
      <c r="H455" s="7" t="s">
        <v>258</v>
      </c>
      <c r="I455" s="10" t="n">
        <v>400</v>
      </c>
      <c r="J455" s="7" t="s">
        <v>350</v>
      </c>
      <c r="K455" s="7"/>
      <c r="L455" s="7" t="s">
        <v>3431</v>
      </c>
      <c r="M455" s="7" t="s">
        <v>3432</v>
      </c>
      <c r="N455" s="7" t="s">
        <v>3433</v>
      </c>
      <c r="O455" s="7" t="s">
        <v>3434</v>
      </c>
      <c r="P455" s="7" t="s">
        <v>3435</v>
      </c>
      <c r="Q455" s="7"/>
      <c r="R455" s="7"/>
      <c r="S455" s="7"/>
      <c r="T455" s="7"/>
      <c r="U455" s="7"/>
    </row>
    <row r="456" customFormat="false" ht="15" hidden="false" customHeight="false" outlineLevel="0" collapsed="false">
      <c r="A456" s="7" t="s">
        <v>9</v>
      </c>
      <c r="B456" s="7" t="s">
        <v>3436</v>
      </c>
      <c r="C456" s="7" t="s">
        <v>31</v>
      </c>
      <c r="D456" s="7" t="s">
        <v>3437</v>
      </c>
      <c r="E456" s="7" t="s">
        <v>1579</v>
      </c>
      <c r="F456" s="7" t="s">
        <v>854</v>
      </c>
      <c r="G456" s="7" t="s">
        <v>3438</v>
      </c>
      <c r="H456" s="7" t="s">
        <v>258</v>
      </c>
      <c r="I456" s="10" t="n">
        <v>400</v>
      </c>
      <c r="J456" s="7" t="s">
        <v>350</v>
      </c>
      <c r="K456" s="7"/>
      <c r="L456" s="7" t="s">
        <v>3439</v>
      </c>
      <c r="M456" s="7" t="s">
        <v>3440</v>
      </c>
      <c r="N456" s="7" t="s">
        <v>3441</v>
      </c>
      <c r="O456" s="7" t="s">
        <v>269</v>
      </c>
      <c r="P456" s="7" t="s">
        <v>3442</v>
      </c>
      <c r="Q456" s="7"/>
      <c r="R456" s="7"/>
      <c r="S456" s="7"/>
      <c r="T456" s="7"/>
      <c r="U456" s="7"/>
    </row>
    <row r="457" customFormat="false" ht="15" hidden="false" customHeight="false" outlineLevel="0" collapsed="false">
      <c r="A457" s="7" t="s">
        <v>9</v>
      </c>
      <c r="B457" s="7" t="s">
        <v>3443</v>
      </c>
      <c r="C457" s="7" t="s">
        <v>31</v>
      </c>
      <c r="D457" s="7" t="s">
        <v>3444</v>
      </c>
      <c r="E457" s="7" t="s">
        <v>358</v>
      </c>
      <c r="F457" s="7" t="s">
        <v>359</v>
      </c>
      <c r="G457" s="7" t="s">
        <v>3445</v>
      </c>
      <c r="H457" s="7" t="s">
        <v>258</v>
      </c>
      <c r="I457" s="10" t="n">
        <v>600</v>
      </c>
      <c r="J457" s="7" t="s">
        <v>350</v>
      </c>
      <c r="K457" s="7"/>
      <c r="L457" s="7" t="s">
        <v>3446</v>
      </c>
      <c r="M457" s="7" t="s">
        <v>3374</v>
      </c>
      <c r="N457" s="7" t="s">
        <v>3447</v>
      </c>
      <c r="O457" s="7" t="s">
        <v>3448</v>
      </c>
      <c r="P457" s="7" t="s">
        <v>1301</v>
      </c>
      <c r="Q457" s="7"/>
      <c r="R457" s="7"/>
      <c r="S457" s="7"/>
      <c r="T457" s="7"/>
      <c r="U457" s="7"/>
    </row>
    <row r="458" customFormat="false" ht="15" hidden="false" customHeight="false" outlineLevel="0" collapsed="false">
      <c r="A458" s="7" t="s">
        <v>9</v>
      </c>
      <c r="B458" s="7" t="s">
        <v>3449</v>
      </c>
      <c r="C458" s="7" t="s">
        <v>31</v>
      </c>
      <c r="D458" s="7" t="s">
        <v>3450</v>
      </c>
      <c r="E458" s="7" t="s">
        <v>3451</v>
      </c>
      <c r="F458" s="7" t="s">
        <v>113</v>
      </c>
      <c r="G458" s="7" t="s">
        <v>3452</v>
      </c>
      <c r="H458" s="7" t="s">
        <v>258</v>
      </c>
      <c r="I458" s="10" t="n">
        <v>400</v>
      </c>
      <c r="J458" s="7" t="s">
        <v>350</v>
      </c>
      <c r="K458" s="7"/>
      <c r="L458" s="7" t="s">
        <v>3453</v>
      </c>
      <c r="M458" s="7" t="s">
        <v>3374</v>
      </c>
      <c r="N458" s="7" t="s">
        <v>3454</v>
      </c>
      <c r="O458" s="7" t="s">
        <v>269</v>
      </c>
      <c r="P458" s="7" t="s">
        <v>3455</v>
      </c>
      <c r="Q458" s="7"/>
      <c r="R458" s="7"/>
      <c r="S458" s="7"/>
      <c r="T458" s="7"/>
      <c r="U458" s="7"/>
    </row>
    <row r="459" customFormat="false" ht="15" hidden="false" customHeight="false" outlineLevel="0" collapsed="false">
      <c r="A459" s="7" t="s">
        <v>9</v>
      </c>
      <c r="B459" s="7" t="s">
        <v>3456</v>
      </c>
      <c r="C459" s="7" t="s">
        <v>31</v>
      </c>
      <c r="D459" s="7" t="s">
        <v>3457</v>
      </c>
      <c r="E459" s="7" t="s">
        <v>2484</v>
      </c>
      <c r="F459" s="7" t="s">
        <v>779</v>
      </c>
      <c r="G459" s="7" t="s">
        <v>3458</v>
      </c>
      <c r="H459" s="7" t="s">
        <v>258</v>
      </c>
      <c r="I459" s="10" t="n">
        <v>400</v>
      </c>
      <c r="J459" s="7" t="s">
        <v>350</v>
      </c>
      <c r="K459" s="7"/>
      <c r="L459" s="7" t="s">
        <v>3459</v>
      </c>
      <c r="M459" s="7" t="s">
        <v>3278</v>
      </c>
      <c r="N459" s="7" t="s">
        <v>3460</v>
      </c>
      <c r="O459" s="7" t="s">
        <v>3461</v>
      </c>
      <c r="P459" s="7" t="s">
        <v>3462</v>
      </c>
      <c r="Q459" s="7"/>
      <c r="R459" s="7"/>
      <c r="S459" s="7"/>
      <c r="T459" s="7"/>
      <c r="U459" s="7"/>
    </row>
    <row r="460" customFormat="false" ht="15" hidden="false" customHeight="false" outlineLevel="0" collapsed="false">
      <c r="A460" s="7" t="s">
        <v>9</v>
      </c>
      <c r="B460" s="7" t="s">
        <v>3463</v>
      </c>
      <c r="C460" s="7" t="s">
        <v>31</v>
      </c>
      <c r="D460" s="7" t="s">
        <v>3464</v>
      </c>
      <c r="E460" s="7" t="s">
        <v>112</v>
      </c>
      <c r="F460" s="7" t="s">
        <v>113</v>
      </c>
      <c r="G460" s="7" t="s">
        <v>3465</v>
      </c>
      <c r="H460" s="7" t="s">
        <v>258</v>
      </c>
      <c r="I460" s="10" t="n">
        <v>200</v>
      </c>
      <c r="J460" s="7" t="s">
        <v>350</v>
      </c>
      <c r="K460" s="7"/>
      <c r="L460" s="7" t="s">
        <v>3466</v>
      </c>
      <c r="M460" s="7" t="s">
        <v>3374</v>
      </c>
      <c r="N460" s="7" t="s">
        <v>3467</v>
      </c>
      <c r="O460" s="7" t="s">
        <v>269</v>
      </c>
      <c r="P460" s="7" t="s">
        <v>3266</v>
      </c>
      <c r="Q460" s="7"/>
      <c r="R460" s="7"/>
      <c r="S460" s="7"/>
      <c r="T460" s="7"/>
      <c r="U460" s="7"/>
    </row>
    <row r="461" customFormat="false" ht="15" hidden="false" customHeight="false" outlineLevel="0" collapsed="false">
      <c r="A461" s="7" t="s">
        <v>9</v>
      </c>
      <c r="B461" s="7" t="s">
        <v>3468</v>
      </c>
      <c r="C461" s="7" t="s">
        <v>31</v>
      </c>
      <c r="D461" s="7" t="s">
        <v>1252</v>
      </c>
      <c r="E461" s="7" t="s">
        <v>515</v>
      </c>
      <c r="F461" s="7" t="s">
        <v>428</v>
      </c>
      <c r="G461" s="7" t="s">
        <v>3469</v>
      </c>
      <c r="H461" s="7" t="s">
        <v>258</v>
      </c>
      <c r="I461" s="10" t="n">
        <v>600</v>
      </c>
      <c r="J461" s="7" t="s">
        <v>386</v>
      </c>
      <c r="K461" s="7"/>
      <c r="L461" s="7" t="s">
        <v>3470</v>
      </c>
      <c r="M461" s="7" t="s">
        <v>3374</v>
      </c>
      <c r="N461" s="7" t="s">
        <v>3471</v>
      </c>
      <c r="O461" s="7" t="s">
        <v>3472</v>
      </c>
      <c r="P461" s="7" t="s">
        <v>3473</v>
      </c>
      <c r="Q461" s="7"/>
      <c r="R461" s="7"/>
      <c r="S461" s="7"/>
      <c r="T461" s="7"/>
      <c r="U461" s="7"/>
    </row>
    <row r="462" customFormat="false" ht="15" hidden="false" customHeight="false" outlineLevel="0" collapsed="false">
      <c r="A462" s="7" t="s">
        <v>9</v>
      </c>
      <c r="B462" s="7" t="s">
        <v>3474</v>
      </c>
      <c r="C462" s="7" t="s">
        <v>33</v>
      </c>
      <c r="D462" s="7" t="s">
        <v>3475</v>
      </c>
      <c r="E462" s="7" t="s">
        <v>249</v>
      </c>
      <c r="F462" s="7" t="s">
        <v>250</v>
      </c>
      <c r="G462" s="7" t="s">
        <v>3476</v>
      </c>
      <c r="H462" s="7" t="s">
        <v>68</v>
      </c>
      <c r="I462" s="10" t="n">
        <v>10000</v>
      </c>
      <c r="J462" s="7" t="s">
        <v>350</v>
      </c>
      <c r="K462" s="7"/>
      <c r="L462" s="7" t="s">
        <v>3477</v>
      </c>
      <c r="M462" s="7" t="s">
        <v>1693</v>
      </c>
      <c r="N462" s="7" t="s">
        <v>3478</v>
      </c>
      <c r="O462" s="7" t="s">
        <v>3479</v>
      </c>
      <c r="P462" s="7" t="s">
        <v>3480</v>
      </c>
      <c r="Q462" s="7"/>
      <c r="R462" s="7"/>
      <c r="S462" s="7"/>
      <c r="T462" s="7"/>
      <c r="U462" s="7"/>
    </row>
    <row r="463" customFormat="false" ht="15" hidden="false" customHeight="false" outlineLevel="0" collapsed="false">
      <c r="A463" s="7" t="s">
        <v>9</v>
      </c>
      <c r="B463" s="7" t="s">
        <v>3481</v>
      </c>
      <c r="C463" s="7" t="s">
        <v>33</v>
      </c>
      <c r="D463" s="7" t="s">
        <v>1689</v>
      </c>
      <c r="E463" s="7" t="s">
        <v>112</v>
      </c>
      <c r="F463" s="7" t="s">
        <v>113</v>
      </c>
      <c r="G463" s="7" t="s">
        <v>3482</v>
      </c>
      <c r="H463" s="7" t="s">
        <v>68</v>
      </c>
      <c r="I463" s="10" t="n">
        <v>800</v>
      </c>
      <c r="J463" s="7" t="s">
        <v>350</v>
      </c>
      <c r="K463" s="7"/>
      <c r="L463" s="7" t="s">
        <v>3483</v>
      </c>
      <c r="M463" s="7" t="s">
        <v>1693</v>
      </c>
      <c r="N463" s="7" t="s">
        <v>3484</v>
      </c>
      <c r="O463" s="7" t="s">
        <v>3485</v>
      </c>
      <c r="P463" s="7" t="s">
        <v>3486</v>
      </c>
      <c r="Q463" s="7"/>
      <c r="R463" s="7"/>
      <c r="S463" s="7"/>
      <c r="T463" s="7"/>
      <c r="U463" s="7"/>
    </row>
    <row r="464" customFormat="false" ht="15" hidden="false" customHeight="false" outlineLevel="0" collapsed="false">
      <c r="A464" s="7" t="s">
        <v>9</v>
      </c>
      <c r="B464" s="7" t="s">
        <v>3487</v>
      </c>
      <c r="C464" s="7" t="s">
        <v>33</v>
      </c>
      <c r="D464" s="7" t="s">
        <v>3475</v>
      </c>
      <c r="E464" s="7" t="s">
        <v>112</v>
      </c>
      <c r="F464" s="7" t="s">
        <v>113</v>
      </c>
      <c r="G464" s="7" t="s">
        <v>3488</v>
      </c>
      <c r="H464" s="7" t="s">
        <v>68</v>
      </c>
      <c r="I464" s="10" t="n">
        <v>2900</v>
      </c>
      <c r="J464" s="7" t="s">
        <v>386</v>
      </c>
      <c r="K464" s="7"/>
      <c r="L464" s="7" t="s">
        <v>3489</v>
      </c>
      <c r="M464" s="7" t="s">
        <v>1693</v>
      </c>
      <c r="N464" s="7" t="s">
        <v>3490</v>
      </c>
      <c r="O464" s="7" t="s">
        <v>3491</v>
      </c>
      <c r="P464" s="7" t="s">
        <v>3492</v>
      </c>
      <c r="Q464" s="7"/>
      <c r="R464" s="7"/>
      <c r="S464" s="7"/>
      <c r="T464" s="7"/>
      <c r="U464" s="7"/>
    </row>
    <row r="465" customFormat="false" ht="15" hidden="false" customHeight="false" outlineLevel="0" collapsed="false">
      <c r="A465" s="7" t="s">
        <v>9</v>
      </c>
      <c r="B465" s="7" t="s">
        <v>3493</v>
      </c>
      <c r="C465" s="7" t="s">
        <v>33</v>
      </c>
      <c r="D465" s="7" t="s">
        <v>1634</v>
      </c>
      <c r="E465" s="7" t="s">
        <v>3494</v>
      </c>
      <c r="F465" s="7" t="s">
        <v>78</v>
      </c>
      <c r="G465" s="7" t="s">
        <v>3495</v>
      </c>
      <c r="H465" s="7" t="s">
        <v>68</v>
      </c>
      <c r="I465" s="10" t="n">
        <v>2000</v>
      </c>
      <c r="J465" s="7" t="s">
        <v>517</v>
      </c>
      <c r="K465" s="7"/>
      <c r="L465" s="7" t="s">
        <v>3496</v>
      </c>
      <c r="M465" s="7" t="s">
        <v>1638</v>
      </c>
      <c r="N465" s="7" t="s">
        <v>3497</v>
      </c>
      <c r="O465" s="7" t="s">
        <v>3498</v>
      </c>
      <c r="P465" s="7" t="s">
        <v>1641</v>
      </c>
      <c r="Q465" s="7"/>
      <c r="R465" s="7"/>
      <c r="S465" s="7"/>
      <c r="T465" s="7"/>
      <c r="U465" s="7"/>
    </row>
    <row r="466" customFormat="false" ht="15" hidden="false" customHeight="false" outlineLevel="0" collapsed="false">
      <c r="A466" s="7" t="s">
        <v>9</v>
      </c>
      <c r="B466" s="7" t="s">
        <v>3499</v>
      </c>
      <c r="C466" s="7" t="s">
        <v>33</v>
      </c>
      <c r="D466" s="7" t="s">
        <v>1634</v>
      </c>
      <c r="E466" s="7" t="s">
        <v>3500</v>
      </c>
      <c r="F466" s="7" t="s">
        <v>88</v>
      </c>
      <c r="G466" s="7" t="s">
        <v>3501</v>
      </c>
      <c r="H466" s="7" t="s">
        <v>68</v>
      </c>
      <c r="I466" s="10" t="n">
        <v>2500</v>
      </c>
      <c r="J466" s="7" t="s">
        <v>3239</v>
      </c>
      <c r="K466" s="7"/>
      <c r="L466" s="7" t="s">
        <v>3502</v>
      </c>
      <c r="M466" s="7" t="s">
        <v>1491</v>
      </c>
      <c r="N466" s="7" t="s">
        <v>3503</v>
      </c>
      <c r="O466" s="7" t="s">
        <v>3504</v>
      </c>
      <c r="P466" s="7" t="s">
        <v>1641</v>
      </c>
      <c r="Q466" s="7"/>
      <c r="R466" s="7"/>
      <c r="S466" s="7"/>
      <c r="T466" s="7"/>
      <c r="U466" s="7"/>
    </row>
    <row r="467" customFormat="false" ht="15" hidden="false" customHeight="false" outlineLevel="0" collapsed="false">
      <c r="A467" s="7" t="s">
        <v>9</v>
      </c>
      <c r="B467" s="7" t="s">
        <v>3505</v>
      </c>
      <c r="C467" s="7" t="s">
        <v>33</v>
      </c>
      <c r="D467" s="7" t="s">
        <v>1651</v>
      </c>
      <c r="E467" s="7" t="s">
        <v>358</v>
      </c>
      <c r="F467" s="7" t="s">
        <v>359</v>
      </c>
      <c r="G467" s="7" t="s">
        <v>3506</v>
      </c>
      <c r="H467" s="7" t="s">
        <v>68</v>
      </c>
      <c r="I467" s="10" t="n">
        <v>30000</v>
      </c>
      <c r="J467" s="7" t="s">
        <v>377</v>
      </c>
      <c r="K467" s="7"/>
      <c r="L467" s="7" t="s">
        <v>3507</v>
      </c>
      <c r="M467" s="7" t="s">
        <v>1109</v>
      </c>
      <c r="N467" s="7" t="s">
        <v>3508</v>
      </c>
      <c r="O467" s="7" t="s">
        <v>3509</v>
      </c>
      <c r="P467" s="7" t="s">
        <v>3510</v>
      </c>
      <c r="Q467" s="7"/>
      <c r="R467" s="7"/>
      <c r="S467" s="7"/>
      <c r="T467" s="7"/>
      <c r="U467" s="7"/>
    </row>
    <row r="468" customFormat="false" ht="15" hidden="false" customHeight="false" outlineLevel="0" collapsed="false">
      <c r="A468" s="7" t="s">
        <v>9</v>
      </c>
      <c r="B468" s="7" t="s">
        <v>3511</v>
      </c>
      <c r="C468" s="7" t="s">
        <v>33</v>
      </c>
      <c r="D468" s="7" t="s">
        <v>3512</v>
      </c>
      <c r="E468" s="7" t="s">
        <v>986</v>
      </c>
      <c r="F468" s="7" t="s">
        <v>215</v>
      </c>
      <c r="G468" s="7" t="s">
        <v>3513</v>
      </c>
      <c r="H468" s="7" t="s">
        <v>68</v>
      </c>
      <c r="I468" s="10" t="n">
        <v>2500</v>
      </c>
      <c r="J468" s="7" t="s">
        <v>517</v>
      </c>
      <c r="K468" s="7"/>
      <c r="L468" s="7" t="s">
        <v>3514</v>
      </c>
      <c r="M468" s="7" t="s">
        <v>1109</v>
      </c>
      <c r="N468" s="7" t="s">
        <v>3515</v>
      </c>
      <c r="O468" s="7" t="s">
        <v>3516</v>
      </c>
      <c r="P468" s="7" t="s">
        <v>3517</v>
      </c>
      <c r="Q468" s="7"/>
      <c r="R468" s="7"/>
      <c r="S468" s="7"/>
      <c r="T468" s="7"/>
      <c r="U468" s="7"/>
    </row>
    <row r="469" customFormat="false" ht="15" hidden="false" customHeight="false" outlineLevel="0" collapsed="false">
      <c r="A469" s="7" t="s">
        <v>9</v>
      </c>
      <c r="B469" s="7" t="s">
        <v>3518</v>
      </c>
      <c r="C469" s="7" t="s">
        <v>33</v>
      </c>
      <c r="D469" s="7" t="s">
        <v>1689</v>
      </c>
      <c r="E469" s="7" t="s">
        <v>635</v>
      </c>
      <c r="F469" s="7" t="s">
        <v>338</v>
      </c>
      <c r="G469" s="7" t="s">
        <v>3519</v>
      </c>
      <c r="H469" s="7" t="s">
        <v>68</v>
      </c>
      <c r="I469" s="10" t="n">
        <v>1500</v>
      </c>
      <c r="J469" s="7" t="s">
        <v>3239</v>
      </c>
      <c r="K469" s="7"/>
      <c r="L469" s="7" t="s">
        <v>3520</v>
      </c>
      <c r="M469" s="7" t="s">
        <v>1693</v>
      </c>
      <c r="N469" s="7" t="s">
        <v>3521</v>
      </c>
      <c r="O469" s="7" t="s">
        <v>3522</v>
      </c>
      <c r="P469" s="7" t="s">
        <v>3523</v>
      </c>
      <c r="Q469" s="7"/>
      <c r="R469" s="7"/>
      <c r="S469" s="7"/>
      <c r="T469" s="7"/>
      <c r="U469" s="7"/>
    </row>
    <row r="470" customFormat="false" ht="15" hidden="false" customHeight="false" outlineLevel="0" collapsed="false">
      <c r="A470" s="7" t="s">
        <v>9</v>
      </c>
      <c r="B470" s="7" t="s">
        <v>3524</v>
      </c>
      <c r="C470" s="7" t="s">
        <v>33</v>
      </c>
      <c r="D470" s="7" t="s">
        <v>3475</v>
      </c>
      <c r="E470" s="7" t="s">
        <v>3525</v>
      </c>
      <c r="F470" s="7" t="s">
        <v>78</v>
      </c>
      <c r="G470" s="7" t="s">
        <v>3526</v>
      </c>
      <c r="H470" s="7" t="s">
        <v>68</v>
      </c>
      <c r="I470" s="10" t="n">
        <v>900</v>
      </c>
      <c r="J470" s="7" t="s">
        <v>377</v>
      </c>
      <c r="K470" s="7"/>
      <c r="L470" s="7" t="s">
        <v>3527</v>
      </c>
      <c r="M470" s="7" t="s">
        <v>1693</v>
      </c>
      <c r="N470" s="7" t="s">
        <v>3528</v>
      </c>
      <c r="O470" s="7" t="s">
        <v>3529</v>
      </c>
      <c r="P470" s="7" t="s">
        <v>3530</v>
      </c>
      <c r="Q470" s="7"/>
      <c r="R470" s="7"/>
      <c r="S470" s="7"/>
      <c r="T470" s="7"/>
      <c r="U470" s="7"/>
    </row>
    <row r="471" customFormat="false" ht="15" hidden="false" customHeight="false" outlineLevel="0" collapsed="false">
      <c r="A471" s="7" t="s">
        <v>9</v>
      </c>
      <c r="B471" s="7" t="s">
        <v>3531</v>
      </c>
      <c r="C471" s="7" t="s">
        <v>33</v>
      </c>
      <c r="D471" s="7" t="s">
        <v>1643</v>
      </c>
      <c r="E471" s="7" t="s">
        <v>3532</v>
      </c>
      <c r="F471" s="7" t="s">
        <v>3533</v>
      </c>
      <c r="G471" s="7" t="s">
        <v>3534</v>
      </c>
      <c r="H471" s="7" t="s">
        <v>68</v>
      </c>
      <c r="I471" s="10" t="n">
        <v>3500</v>
      </c>
      <c r="J471" s="7" t="s">
        <v>377</v>
      </c>
      <c r="K471" s="7"/>
      <c r="L471" s="7" t="s">
        <v>3535</v>
      </c>
      <c r="M471" s="7" t="s">
        <v>1693</v>
      </c>
      <c r="N471" s="7" t="s">
        <v>3536</v>
      </c>
      <c r="O471" s="7" t="s">
        <v>3537</v>
      </c>
      <c r="P471" s="7" t="s">
        <v>3538</v>
      </c>
      <c r="Q471" s="7"/>
      <c r="R471" s="7"/>
      <c r="S471" s="7"/>
      <c r="T471" s="7"/>
      <c r="U471" s="7"/>
    </row>
    <row r="472" customFormat="false" ht="15" hidden="false" customHeight="false" outlineLevel="0" collapsed="false">
      <c r="A472" s="7" t="s">
        <v>9</v>
      </c>
      <c r="B472" s="7" t="s">
        <v>3539</v>
      </c>
      <c r="C472" s="7" t="s">
        <v>33</v>
      </c>
      <c r="D472" s="7" t="s">
        <v>1634</v>
      </c>
      <c r="E472" s="7" t="s">
        <v>420</v>
      </c>
      <c r="F472" s="7" t="s">
        <v>78</v>
      </c>
      <c r="G472" s="7" t="s">
        <v>3540</v>
      </c>
      <c r="H472" s="7" t="s">
        <v>68</v>
      </c>
      <c r="I472" s="10" t="n">
        <v>4500</v>
      </c>
      <c r="J472" s="7" t="s">
        <v>517</v>
      </c>
      <c r="K472" s="7"/>
      <c r="L472" s="7" t="s">
        <v>3541</v>
      </c>
      <c r="M472" s="7" t="s">
        <v>1491</v>
      </c>
      <c r="N472" s="7" t="s">
        <v>3542</v>
      </c>
      <c r="O472" s="7" t="s">
        <v>3543</v>
      </c>
      <c r="P472" s="7" t="s">
        <v>1641</v>
      </c>
      <c r="Q472" s="7"/>
      <c r="R472" s="7"/>
      <c r="S472" s="7"/>
      <c r="T472" s="7"/>
      <c r="U472" s="7"/>
    </row>
    <row r="473" customFormat="false" ht="15" hidden="false" customHeight="false" outlineLevel="0" collapsed="false">
      <c r="A473" s="7" t="s">
        <v>9</v>
      </c>
      <c r="B473" s="7" t="s">
        <v>3544</v>
      </c>
      <c r="C473" s="7" t="s">
        <v>33</v>
      </c>
      <c r="D473" s="7" t="s">
        <v>1634</v>
      </c>
      <c r="E473" s="7" t="s">
        <v>3545</v>
      </c>
      <c r="F473" s="7" t="s">
        <v>78</v>
      </c>
      <c r="G473" s="7" t="s">
        <v>3546</v>
      </c>
      <c r="H473" s="7" t="s">
        <v>68</v>
      </c>
      <c r="I473" s="10" t="n">
        <v>1700</v>
      </c>
      <c r="J473" s="7" t="s">
        <v>377</v>
      </c>
      <c r="K473" s="7"/>
      <c r="L473" s="7" t="s">
        <v>3547</v>
      </c>
      <c r="M473" s="7" t="s">
        <v>1491</v>
      </c>
      <c r="N473" s="7" t="s">
        <v>3548</v>
      </c>
      <c r="O473" s="7" t="s">
        <v>3549</v>
      </c>
      <c r="P473" s="7" t="s">
        <v>1641</v>
      </c>
      <c r="Q473" s="7"/>
      <c r="R473" s="7"/>
      <c r="S473" s="7"/>
      <c r="T473" s="7"/>
      <c r="U473" s="7"/>
    </row>
    <row r="474" customFormat="false" ht="15" hidden="false" customHeight="false" outlineLevel="0" collapsed="false">
      <c r="A474" s="7" t="s">
        <v>9</v>
      </c>
      <c r="B474" s="7" t="s">
        <v>3550</v>
      </c>
      <c r="C474" s="7" t="s">
        <v>33</v>
      </c>
      <c r="D474" s="7" t="s">
        <v>1719</v>
      </c>
      <c r="E474" s="7" t="s">
        <v>2213</v>
      </c>
      <c r="F474" s="7" t="s">
        <v>600</v>
      </c>
      <c r="G474" s="7" t="s">
        <v>3551</v>
      </c>
      <c r="H474" s="7" t="s">
        <v>149</v>
      </c>
      <c r="I474" s="10" t="n">
        <v>2000</v>
      </c>
      <c r="J474" s="7" t="s">
        <v>377</v>
      </c>
      <c r="K474" s="7"/>
      <c r="L474" s="7" t="s">
        <v>3552</v>
      </c>
      <c r="M474" s="7" t="s">
        <v>1129</v>
      </c>
      <c r="N474" s="7" t="s">
        <v>3553</v>
      </c>
      <c r="O474" s="7" t="s">
        <v>3554</v>
      </c>
      <c r="P474" s="7" t="s">
        <v>3555</v>
      </c>
      <c r="Q474" s="7"/>
      <c r="R474" s="7"/>
      <c r="S474" s="7"/>
      <c r="T474" s="7"/>
      <c r="U474" s="7"/>
    </row>
    <row r="475" customFormat="false" ht="15" hidden="false" customHeight="false" outlineLevel="0" collapsed="false">
      <c r="A475" s="7" t="s">
        <v>9</v>
      </c>
      <c r="B475" s="7" t="s">
        <v>3556</v>
      </c>
      <c r="C475" s="7" t="s">
        <v>33</v>
      </c>
      <c r="D475" s="7" t="s">
        <v>1634</v>
      </c>
      <c r="E475" s="7" t="s">
        <v>1889</v>
      </c>
      <c r="F475" s="7" t="s">
        <v>88</v>
      </c>
      <c r="G475" s="7" t="s">
        <v>3557</v>
      </c>
      <c r="H475" s="7" t="s">
        <v>149</v>
      </c>
      <c r="I475" s="10" t="n">
        <v>2300</v>
      </c>
      <c r="J475" s="7" t="s">
        <v>377</v>
      </c>
      <c r="K475" s="7"/>
      <c r="L475" s="7" t="s">
        <v>3558</v>
      </c>
      <c r="M475" s="7" t="s">
        <v>1491</v>
      </c>
      <c r="N475" s="7" t="s">
        <v>3559</v>
      </c>
      <c r="O475" s="7" t="s">
        <v>3560</v>
      </c>
      <c r="P475" s="7" t="s">
        <v>1641</v>
      </c>
      <c r="Q475" s="7"/>
      <c r="R475" s="7"/>
      <c r="S475" s="7"/>
      <c r="T475" s="7"/>
      <c r="U475" s="7"/>
    </row>
    <row r="476" customFormat="false" ht="15" hidden="false" customHeight="false" outlineLevel="0" collapsed="false">
      <c r="A476" s="7" t="s">
        <v>9</v>
      </c>
      <c r="B476" s="7" t="s">
        <v>3561</v>
      </c>
      <c r="C476" s="7" t="s">
        <v>33</v>
      </c>
      <c r="D476" s="7" t="s">
        <v>1634</v>
      </c>
      <c r="E476" s="7" t="s">
        <v>249</v>
      </c>
      <c r="F476" s="7" t="s">
        <v>250</v>
      </c>
      <c r="G476" s="7" t="s">
        <v>3562</v>
      </c>
      <c r="H476" s="7" t="s">
        <v>149</v>
      </c>
      <c r="I476" s="10" t="n">
        <v>1500</v>
      </c>
      <c r="J476" s="7" t="s">
        <v>350</v>
      </c>
      <c r="K476" s="7"/>
      <c r="L476" s="7" t="s">
        <v>3563</v>
      </c>
      <c r="M476" s="7" t="s">
        <v>1109</v>
      </c>
      <c r="N476" s="7" t="s">
        <v>3564</v>
      </c>
      <c r="O476" s="7" t="s">
        <v>3565</v>
      </c>
      <c r="P476" s="7" t="s">
        <v>1641</v>
      </c>
      <c r="Q476" s="7"/>
      <c r="R476" s="7"/>
      <c r="S476" s="7"/>
      <c r="T476" s="7"/>
      <c r="U476" s="7"/>
    </row>
    <row r="477" customFormat="false" ht="15" hidden="false" customHeight="false" outlineLevel="0" collapsed="false">
      <c r="A477" s="7" t="s">
        <v>9</v>
      </c>
      <c r="B477" s="7" t="s">
        <v>3566</v>
      </c>
      <c r="C477" s="7" t="s">
        <v>33</v>
      </c>
      <c r="D477" s="7" t="s">
        <v>1643</v>
      </c>
      <c r="E477" s="7" t="s">
        <v>3567</v>
      </c>
      <c r="F477" s="7" t="s">
        <v>78</v>
      </c>
      <c r="G477" s="7" t="s">
        <v>3568</v>
      </c>
      <c r="H477" s="7" t="s">
        <v>149</v>
      </c>
      <c r="I477" s="10" t="n">
        <v>1200</v>
      </c>
      <c r="J477" s="7" t="s">
        <v>517</v>
      </c>
      <c r="K477" s="7"/>
      <c r="L477" s="7" t="s">
        <v>3569</v>
      </c>
      <c r="M477" s="7" t="s">
        <v>1491</v>
      </c>
      <c r="N477" s="7" t="s">
        <v>3570</v>
      </c>
      <c r="O477" s="7" t="s">
        <v>3571</v>
      </c>
      <c r="P477" s="7" t="s">
        <v>1641</v>
      </c>
      <c r="Q477" s="7"/>
      <c r="R477" s="7"/>
      <c r="S477" s="7"/>
      <c r="T477" s="7"/>
      <c r="U477" s="7"/>
    </row>
    <row r="478" customFormat="false" ht="15" hidden="false" customHeight="false" outlineLevel="0" collapsed="false">
      <c r="A478" s="7" t="s">
        <v>9</v>
      </c>
      <c r="B478" s="7" t="s">
        <v>3572</v>
      </c>
      <c r="C478" s="7" t="s">
        <v>33</v>
      </c>
      <c r="D478" s="7" t="s">
        <v>1634</v>
      </c>
      <c r="E478" s="7" t="s">
        <v>112</v>
      </c>
      <c r="F478" s="7" t="s">
        <v>113</v>
      </c>
      <c r="G478" s="7" t="s">
        <v>3573</v>
      </c>
      <c r="H478" s="7" t="s">
        <v>149</v>
      </c>
      <c r="I478" s="10" t="n">
        <v>1800</v>
      </c>
      <c r="J478" s="7" t="s">
        <v>517</v>
      </c>
      <c r="K478" s="7"/>
      <c r="L478" s="7" t="s">
        <v>3574</v>
      </c>
      <c r="M478" s="7" t="s">
        <v>1693</v>
      </c>
      <c r="N478" s="7" t="s">
        <v>3575</v>
      </c>
      <c r="O478" s="7" t="s">
        <v>3576</v>
      </c>
      <c r="P478" s="7" t="s">
        <v>1641</v>
      </c>
      <c r="Q478" s="7"/>
      <c r="R478" s="7"/>
      <c r="S478" s="7"/>
      <c r="T478" s="7"/>
      <c r="U478" s="7"/>
    </row>
    <row r="479" customFormat="false" ht="15" hidden="false" customHeight="false" outlineLevel="0" collapsed="false">
      <c r="A479" s="7" t="s">
        <v>9</v>
      </c>
      <c r="B479" s="7" t="s">
        <v>3577</v>
      </c>
      <c r="C479" s="7" t="s">
        <v>33</v>
      </c>
      <c r="D479" s="7" t="s">
        <v>1719</v>
      </c>
      <c r="E479" s="7" t="s">
        <v>2537</v>
      </c>
      <c r="F479" s="7" t="s">
        <v>2538</v>
      </c>
      <c r="G479" s="7" t="s">
        <v>3578</v>
      </c>
      <c r="H479" s="7" t="s">
        <v>174</v>
      </c>
      <c r="I479" s="10" t="n">
        <v>800</v>
      </c>
      <c r="J479" s="7" t="s">
        <v>350</v>
      </c>
      <c r="K479" s="7"/>
      <c r="L479" s="7" t="s">
        <v>3579</v>
      </c>
      <c r="M479" s="7" t="s">
        <v>1129</v>
      </c>
      <c r="N479" s="7" t="s">
        <v>3580</v>
      </c>
      <c r="O479" s="7" t="s">
        <v>1725</v>
      </c>
      <c r="P479" s="7" t="s">
        <v>3581</v>
      </c>
      <c r="Q479" s="7"/>
      <c r="R479" s="7"/>
      <c r="S479" s="7"/>
      <c r="T479" s="7"/>
      <c r="U479" s="7"/>
    </row>
    <row r="480" customFormat="false" ht="15" hidden="false" customHeight="false" outlineLevel="0" collapsed="false">
      <c r="A480" s="7" t="s">
        <v>9</v>
      </c>
      <c r="B480" s="7" t="s">
        <v>3582</v>
      </c>
      <c r="C480" s="7" t="s">
        <v>33</v>
      </c>
      <c r="D480" s="7" t="s">
        <v>3512</v>
      </c>
      <c r="E480" s="7" t="s">
        <v>1245</v>
      </c>
      <c r="F480" s="7" t="s">
        <v>78</v>
      </c>
      <c r="G480" s="7" t="s">
        <v>3583</v>
      </c>
      <c r="H480" s="7" t="s">
        <v>174</v>
      </c>
      <c r="I480" s="10" t="n">
        <v>900</v>
      </c>
      <c r="J480" s="7" t="s">
        <v>350</v>
      </c>
      <c r="K480" s="7"/>
      <c r="L480" s="7" t="s">
        <v>3584</v>
      </c>
      <c r="M480" s="7" t="s">
        <v>1693</v>
      </c>
      <c r="N480" s="7" t="s">
        <v>3585</v>
      </c>
      <c r="O480" s="7" t="s">
        <v>3586</v>
      </c>
      <c r="P480" s="7" t="s">
        <v>3517</v>
      </c>
      <c r="Q480" s="7"/>
      <c r="R480" s="7"/>
      <c r="S480" s="7"/>
      <c r="T480" s="7"/>
      <c r="U480" s="7"/>
    </row>
    <row r="481" customFormat="false" ht="15" hidden="false" customHeight="false" outlineLevel="0" collapsed="false">
      <c r="A481" s="7" t="s">
        <v>9</v>
      </c>
      <c r="B481" s="7" t="s">
        <v>3587</v>
      </c>
      <c r="C481" s="7" t="s">
        <v>33</v>
      </c>
      <c r="D481" s="7" t="s">
        <v>1634</v>
      </c>
      <c r="E481" s="7" t="s">
        <v>970</v>
      </c>
      <c r="F481" s="7" t="s">
        <v>250</v>
      </c>
      <c r="G481" s="7" t="s">
        <v>3588</v>
      </c>
      <c r="H481" s="7" t="s">
        <v>174</v>
      </c>
      <c r="I481" s="10" t="n">
        <v>900</v>
      </c>
      <c r="J481" s="7" t="s">
        <v>350</v>
      </c>
      <c r="K481" s="7"/>
      <c r="L481" s="7" t="s">
        <v>3589</v>
      </c>
      <c r="M481" s="7" t="s">
        <v>3590</v>
      </c>
      <c r="N481" s="7" t="s">
        <v>3591</v>
      </c>
      <c r="O481" s="7" t="s">
        <v>3592</v>
      </c>
      <c r="P481" s="7" t="s">
        <v>3593</v>
      </c>
      <c r="Q481" s="7"/>
      <c r="R481" s="7"/>
      <c r="S481" s="7"/>
      <c r="T481" s="7"/>
      <c r="U481" s="7"/>
    </row>
    <row r="482" customFormat="false" ht="15" hidden="false" customHeight="false" outlineLevel="0" collapsed="false">
      <c r="A482" s="7" t="s">
        <v>9</v>
      </c>
      <c r="B482" s="7" t="s">
        <v>3594</v>
      </c>
      <c r="C482" s="7" t="s">
        <v>34</v>
      </c>
      <c r="D482" s="7" t="s">
        <v>3595</v>
      </c>
      <c r="E482" s="7" t="s">
        <v>3596</v>
      </c>
      <c r="F482" s="7" t="s">
        <v>66</v>
      </c>
      <c r="G482" s="7" t="s">
        <v>3597</v>
      </c>
      <c r="H482" s="7" t="s">
        <v>68</v>
      </c>
      <c r="I482" s="10" t="n">
        <v>5000</v>
      </c>
      <c r="J482" s="7" t="s">
        <v>377</v>
      </c>
      <c r="K482" s="7"/>
      <c r="L482" s="7" t="s">
        <v>3598</v>
      </c>
      <c r="M482" s="7" t="s">
        <v>3599</v>
      </c>
      <c r="N482" s="7" t="s">
        <v>3600</v>
      </c>
      <c r="O482" s="7" t="s">
        <v>3601</v>
      </c>
      <c r="P482" s="7" t="s">
        <v>3602</v>
      </c>
      <c r="Q482" s="7"/>
      <c r="R482" s="7"/>
      <c r="S482" s="7"/>
      <c r="T482" s="7"/>
      <c r="U482" s="7"/>
    </row>
    <row r="483" customFormat="false" ht="15" hidden="false" customHeight="false" outlineLevel="0" collapsed="false">
      <c r="A483" s="7" t="s">
        <v>9</v>
      </c>
      <c r="B483" s="7" t="s">
        <v>3603</v>
      </c>
      <c r="C483" s="7" t="s">
        <v>34</v>
      </c>
      <c r="D483" s="7" t="s">
        <v>3604</v>
      </c>
      <c r="E483" s="7" t="s">
        <v>3605</v>
      </c>
      <c r="F483" s="7" t="s">
        <v>137</v>
      </c>
      <c r="G483" s="7" t="s">
        <v>3606</v>
      </c>
      <c r="H483" s="7" t="s">
        <v>68</v>
      </c>
      <c r="I483" s="10" t="n">
        <v>2200</v>
      </c>
      <c r="J483" s="7" t="s">
        <v>377</v>
      </c>
      <c r="K483" s="7"/>
      <c r="L483" s="7" t="s">
        <v>3607</v>
      </c>
      <c r="M483" s="7" t="s">
        <v>3608</v>
      </c>
      <c r="N483" s="7" t="s">
        <v>3609</v>
      </c>
      <c r="O483" s="7" t="s">
        <v>3610</v>
      </c>
      <c r="P483" s="7" t="s">
        <v>3611</v>
      </c>
      <c r="Q483" s="7"/>
      <c r="R483" s="7"/>
      <c r="S483" s="7"/>
      <c r="T483" s="7"/>
      <c r="U483" s="7"/>
    </row>
    <row r="484" customFormat="false" ht="15" hidden="false" customHeight="false" outlineLevel="0" collapsed="false">
      <c r="A484" s="7" t="s">
        <v>9</v>
      </c>
      <c r="B484" s="7" t="s">
        <v>3612</v>
      </c>
      <c r="C484" s="7" t="s">
        <v>34</v>
      </c>
      <c r="D484" s="7" t="s">
        <v>3613</v>
      </c>
      <c r="E484" s="7" t="s">
        <v>3614</v>
      </c>
      <c r="F484" s="7" t="s">
        <v>610</v>
      </c>
      <c r="G484" s="7" t="s">
        <v>3615</v>
      </c>
      <c r="H484" s="7" t="s">
        <v>68</v>
      </c>
      <c r="I484" s="10" t="n">
        <v>3300</v>
      </c>
      <c r="J484" s="7" t="s">
        <v>377</v>
      </c>
      <c r="K484" s="7"/>
      <c r="L484" s="7" t="s">
        <v>3616</v>
      </c>
      <c r="M484" s="7" t="s">
        <v>3617</v>
      </c>
      <c r="N484" s="7" t="s">
        <v>3618</v>
      </c>
      <c r="O484" s="7" t="s">
        <v>3619</v>
      </c>
      <c r="P484" s="7" t="s">
        <v>3620</v>
      </c>
      <c r="Q484" s="7"/>
      <c r="R484" s="7"/>
      <c r="S484" s="7"/>
      <c r="T484" s="7"/>
      <c r="U484" s="7"/>
    </row>
    <row r="485" customFormat="false" ht="15" hidden="false" customHeight="false" outlineLevel="0" collapsed="false">
      <c r="A485" s="7" t="s">
        <v>9</v>
      </c>
      <c r="B485" s="7" t="s">
        <v>3621</v>
      </c>
      <c r="C485" s="7" t="s">
        <v>34</v>
      </c>
      <c r="D485" s="7" t="s">
        <v>3622</v>
      </c>
      <c r="E485" s="7" t="s">
        <v>1328</v>
      </c>
      <c r="F485" s="7" t="s">
        <v>78</v>
      </c>
      <c r="G485" s="7" t="s">
        <v>3623</v>
      </c>
      <c r="H485" s="7" t="s">
        <v>68</v>
      </c>
      <c r="I485" s="10" t="n">
        <v>500</v>
      </c>
      <c r="J485" s="7" t="s">
        <v>377</v>
      </c>
      <c r="K485" s="7"/>
      <c r="L485" s="7" t="s">
        <v>3624</v>
      </c>
      <c r="M485" s="7" t="s">
        <v>3625</v>
      </c>
      <c r="N485" s="7" t="s">
        <v>3626</v>
      </c>
      <c r="O485" s="7" t="s">
        <v>3627</v>
      </c>
      <c r="P485" s="7" t="s">
        <v>3628</v>
      </c>
      <c r="Q485" s="7"/>
      <c r="R485" s="7"/>
      <c r="S485" s="7"/>
      <c r="T485" s="7"/>
      <c r="U485" s="7"/>
    </row>
    <row r="486" customFormat="false" ht="15" hidden="false" customHeight="false" outlineLevel="0" collapsed="false">
      <c r="A486" s="7" t="s">
        <v>9</v>
      </c>
      <c r="B486" s="7" t="s">
        <v>3629</v>
      </c>
      <c r="C486" s="7" t="s">
        <v>34</v>
      </c>
      <c r="D486" s="7" t="s">
        <v>3630</v>
      </c>
      <c r="E486" s="7" t="s">
        <v>1311</v>
      </c>
      <c r="F486" s="7" t="s">
        <v>78</v>
      </c>
      <c r="G486" s="7" t="s">
        <v>3631</v>
      </c>
      <c r="H486" s="7" t="s">
        <v>68</v>
      </c>
      <c r="I486" s="10" t="n">
        <v>2000</v>
      </c>
      <c r="J486" s="7" t="s">
        <v>350</v>
      </c>
      <c r="K486" s="7"/>
      <c r="L486" s="7" t="s">
        <v>3632</v>
      </c>
      <c r="M486" s="7" t="s">
        <v>3633</v>
      </c>
      <c r="N486" s="7" t="s">
        <v>3634</v>
      </c>
      <c r="O486" s="7" t="s">
        <v>3635</v>
      </c>
      <c r="P486" s="7" t="s">
        <v>3636</v>
      </c>
      <c r="Q486" s="7"/>
      <c r="R486" s="7"/>
      <c r="S486" s="7"/>
      <c r="T486" s="7"/>
      <c r="U486" s="7"/>
    </row>
    <row r="487" customFormat="false" ht="15" hidden="false" customHeight="false" outlineLevel="0" collapsed="false">
      <c r="A487" s="7" t="s">
        <v>9</v>
      </c>
      <c r="B487" s="7" t="s">
        <v>3637</v>
      </c>
      <c r="C487" s="7" t="s">
        <v>34</v>
      </c>
      <c r="D487" s="7" t="s">
        <v>3638</v>
      </c>
      <c r="E487" s="7" t="s">
        <v>3639</v>
      </c>
      <c r="F487" s="7" t="s">
        <v>348</v>
      </c>
      <c r="G487" s="7" t="s">
        <v>3640</v>
      </c>
      <c r="H487" s="7" t="s">
        <v>68</v>
      </c>
      <c r="I487" s="10" t="n">
        <v>3500</v>
      </c>
      <c r="J487" s="7" t="s">
        <v>377</v>
      </c>
      <c r="K487" s="7"/>
      <c r="L487" s="7" t="s">
        <v>3641</v>
      </c>
      <c r="M487" s="7" t="s">
        <v>3642</v>
      </c>
      <c r="N487" s="7" t="s">
        <v>3643</v>
      </c>
      <c r="O487" s="7" t="s">
        <v>3644</v>
      </c>
      <c r="P487" s="7" t="s">
        <v>3645</v>
      </c>
      <c r="Q487" s="7"/>
      <c r="R487" s="7"/>
      <c r="S487" s="7"/>
      <c r="T487" s="7"/>
      <c r="U487" s="7"/>
    </row>
    <row r="488" customFormat="false" ht="15" hidden="false" customHeight="false" outlineLevel="0" collapsed="false">
      <c r="A488" s="7" t="s">
        <v>9</v>
      </c>
      <c r="B488" s="7" t="s">
        <v>3646</v>
      </c>
      <c r="C488" s="7" t="s">
        <v>34</v>
      </c>
      <c r="D488" s="7" t="s">
        <v>3647</v>
      </c>
      <c r="E488" s="7" t="s">
        <v>3648</v>
      </c>
      <c r="F488" s="7" t="s">
        <v>296</v>
      </c>
      <c r="G488" s="7" t="s">
        <v>3649</v>
      </c>
      <c r="H488" s="7" t="s">
        <v>68</v>
      </c>
      <c r="I488" s="10" t="n">
        <v>7500</v>
      </c>
      <c r="J488" s="7" t="s">
        <v>377</v>
      </c>
      <c r="K488" s="7"/>
      <c r="L488" s="7" t="s">
        <v>3650</v>
      </c>
      <c r="M488" s="7" t="s">
        <v>3651</v>
      </c>
      <c r="N488" s="7" t="s">
        <v>3652</v>
      </c>
      <c r="O488" s="7" t="s">
        <v>3653</v>
      </c>
      <c r="P488" s="7" t="s">
        <v>3654</v>
      </c>
      <c r="Q488" s="7"/>
      <c r="R488" s="7"/>
      <c r="S488" s="7"/>
      <c r="T488" s="7"/>
      <c r="U488" s="7"/>
    </row>
    <row r="489" customFormat="false" ht="15" hidden="false" customHeight="false" outlineLevel="0" collapsed="false">
      <c r="A489" s="7" t="s">
        <v>9</v>
      </c>
      <c r="B489" s="7" t="s">
        <v>3655</v>
      </c>
      <c r="C489" s="7" t="s">
        <v>34</v>
      </c>
      <c r="D489" s="7" t="s">
        <v>3656</v>
      </c>
      <c r="E489" s="7" t="s">
        <v>1599</v>
      </c>
      <c r="F489" s="7" t="s">
        <v>78</v>
      </c>
      <c r="G489" s="7" t="s">
        <v>3657</v>
      </c>
      <c r="H489" s="7" t="s">
        <v>68</v>
      </c>
      <c r="I489" s="10" t="n">
        <v>500</v>
      </c>
      <c r="J489" s="7" t="s">
        <v>350</v>
      </c>
      <c r="K489" s="7"/>
      <c r="L489" s="7" t="s">
        <v>3658</v>
      </c>
      <c r="M489" s="7" t="s">
        <v>3659</v>
      </c>
      <c r="N489" s="7" t="s">
        <v>3660</v>
      </c>
      <c r="O489" s="7" t="s">
        <v>3661</v>
      </c>
      <c r="P489" s="7" t="s">
        <v>3662</v>
      </c>
      <c r="Q489" s="7"/>
      <c r="R489" s="7"/>
      <c r="S489" s="7"/>
      <c r="T489" s="7"/>
      <c r="U489" s="7"/>
    </row>
    <row r="490" customFormat="false" ht="15" hidden="false" customHeight="false" outlineLevel="0" collapsed="false">
      <c r="A490" s="7" t="s">
        <v>9</v>
      </c>
      <c r="B490" s="7" t="s">
        <v>3663</v>
      </c>
      <c r="C490" s="7" t="s">
        <v>34</v>
      </c>
      <c r="D490" s="7" t="s">
        <v>3664</v>
      </c>
      <c r="E490" s="7" t="s">
        <v>609</v>
      </c>
      <c r="F490" s="7" t="s">
        <v>610</v>
      </c>
      <c r="G490" s="7" t="s">
        <v>3665</v>
      </c>
      <c r="H490" s="7" t="s">
        <v>68</v>
      </c>
      <c r="I490" s="10" t="n">
        <v>900</v>
      </c>
      <c r="J490" s="7" t="s">
        <v>377</v>
      </c>
      <c r="K490" s="7"/>
      <c r="L490" s="7" t="s">
        <v>3666</v>
      </c>
      <c r="M490" s="7" t="s">
        <v>3667</v>
      </c>
      <c r="N490" s="7" t="s">
        <v>3668</v>
      </c>
      <c r="O490" s="7" t="s">
        <v>3669</v>
      </c>
      <c r="P490" s="7" t="s">
        <v>3670</v>
      </c>
      <c r="Q490" s="7"/>
      <c r="R490" s="7"/>
      <c r="S490" s="7"/>
      <c r="T490" s="7"/>
      <c r="U490" s="7"/>
    </row>
    <row r="491" customFormat="false" ht="15" hidden="false" customHeight="false" outlineLevel="0" collapsed="false">
      <c r="A491" s="7" t="s">
        <v>9</v>
      </c>
      <c r="B491" s="7" t="s">
        <v>3671</v>
      </c>
      <c r="C491" s="7" t="s">
        <v>34</v>
      </c>
      <c r="D491" s="7" t="s">
        <v>3672</v>
      </c>
      <c r="E491" s="7" t="s">
        <v>1245</v>
      </c>
      <c r="F491" s="7" t="s">
        <v>78</v>
      </c>
      <c r="G491" s="7" t="s">
        <v>3673</v>
      </c>
      <c r="H491" s="7" t="s">
        <v>68</v>
      </c>
      <c r="I491" s="10" t="n">
        <v>3000</v>
      </c>
      <c r="J491" s="7" t="s">
        <v>377</v>
      </c>
      <c r="K491" s="7"/>
      <c r="L491" s="7" t="s">
        <v>3674</v>
      </c>
      <c r="M491" s="7" t="s">
        <v>3675</v>
      </c>
      <c r="N491" s="7" t="s">
        <v>3676</v>
      </c>
      <c r="O491" s="7" t="s">
        <v>3677</v>
      </c>
      <c r="P491" s="7" t="s">
        <v>3678</v>
      </c>
      <c r="Q491" s="7"/>
      <c r="R491" s="7"/>
      <c r="S491" s="7"/>
      <c r="T491" s="7"/>
      <c r="U491" s="7"/>
    </row>
    <row r="492" customFormat="false" ht="15" hidden="false" customHeight="false" outlineLevel="0" collapsed="false">
      <c r="A492" s="7" t="s">
        <v>9</v>
      </c>
      <c r="B492" s="7" t="s">
        <v>3679</v>
      </c>
      <c r="C492" s="7" t="s">
        <v>34</v>
      </c>
      <c r="D492" s="7" t="s">
        <v>3680</v>
      </c>
      <c r="E492" s="7" t="s">
        <v>1599</v>
      </c>
      <c r="F492" s="7" t="s">
        <v>78</v>
      </c>
      <c r="G492" s="7" t="s">
        <v>3681</v>
      </c>
      <c r="H492" s="7" t="s">
        <v>68</v>
      </c>
      <c r="I492" s="10" t="n">
        <v>1500</v>
      </c>
      <c r="J492" s="7" t="s">
        <v>350</v>
      </c>
      <c r="K492" s="7"/>
      <c r="L492" s="7" t="s">
        <v>3682</v>
      </c>
      <c r="M492" s="7" t="s">
        <v>3683</v>
      </c>
      <c r="N492" s="7" t="s">
        <v>3684</v>
      </c>
      <c r="O492" s="7" t="s">
        <v>3685</v>
      </c>
      <c r="P492" s="7" t="s">
        <v>3686</v>
      </c>
      <c r="Q492" s="7"/>
      <c r="R492" s="7"/>
      <c r="S492" s="7"/>
      <c r="T492" s="7"/>
      <c r="U492" s="7"/>
    </row>
    <row r="493" customFormat="false" ht="15" hidden="false" customHeight="false" outlineLevel="0" collapsed="false">
      <c r="A493" s="7" t="s">
        <v>9</v>
      </c>
      <c r="B493" s="7" t="s">
        <v>3687</v>
      </c>
      <c r="C493" s="7" t="s">
        <v>34</v>
      </c>
      <c r="D493" s="7" t="s">
        <v>3688</v>
      </c>
      <c r="E493" s="7" t="s">
        <v>1907</v>
      </c>
      <c r="F493" s="7" t="s">
        <v>206</v>
      </c>
      <c r="G493" s="7" t="s">
        <v>3689</v>
      </c>
      <c r="H493" s="7" t="s">
        <v>68</v>
      </c>
      <c r="I493" s="10" t="n">
        <v>700</v>
      </c>
      <c r="J493" s="7" t="s">
        <v>377</v>
      </c>
      <c r="K493" s="7"/>
      <c r="L493" s="7" t="s">
        <v>3690</v>
      </c>
      <c r="M493" s="7" t="s">
        <v>3691</v>
      </c>
      <c r="N493" s="7" t="s">
        <v>3692</v>
      </c>
      <c r="O493" s="7" t="s">
        <v>3693</v>
      </c>
      <c r="P493" s="7" t="s">
        <v>3694</v>
      </c>
      <c r="Q493" s="7"/>
      <c r="R493" s="7"/>
      <c r="S493" s="7"/>
      <c r="T493" s="7"/>
      <c r="U493" s="7"/>
    </row>
    <row r="494" customFormat="false" ht="15" hidden="false" customHeight="false" outlineLevel="0" collapsed="false">
      <c r="A494" s="7" t="s">
        <v>9</v>
      </c>
      <c r="B494" s="7" t="s">
        <v>3695</v>
      </c>
      <c r="C494" s="7" t="s">
        <v>34</v>
      </c>
      <c r="D494" s="7" t="s">
        <v>3696</v>
      </c>
      <c r="E494" s="7" t="s">
        <v>112</v>
      </c>
      <c r="F494" s="7" t="s">
        <v>113</v>
      </c>
      <c r="G494" s="7" t="s">
        <v>3697</v>
      </c>
      <c r="H494" s="7" t="s">
        <v>68</v>
      </c>
      <c r="I494" s="10" t="n">
        <v>4000</v>
      </c>
      <c r="J494" s="7" t="s">
        <v>377</v>
      </c>
      <c r="K494" s="7"/>
      <c r="L494" s="7" t="s">
        <v>3698</v>
      </c>
      <c r="M494" s="7" t="s">
        <v>3699</v>
      </c>
      <c r="N494" s="7" t="s">
        <v>3700</v>
      </c>
      <c r="O494" s="7" t="s">
        <v>3701</v>
      </c>
      <c r="P494" s="7" t="s">
        <v>3702</v>
      </c>
      <c r="Q494" s="7"/>
      <c r="R494" s="7"/>
      <c r="S494" s="7"/>
      <c r="T494" s="7"/>
      <c r="U494" s="7"/>
    </row>
    <row r="495" customFormat="false" ht="15" hidden="false" customHeight="false" outlineLevel="0" collapsed="false">
      <c r="A495" s="7" t="s">
        <v>9</v>
      </c>
      <c r="B495" s="7" t="s">
        <v>3703</v>
      </c>
      <c r="C495" s="7" t="s">
        <v>34</v>
      </c>
      <c r="D495" s="7" t="s">
        <v>3704</v>
      </c>
      <c r="E495" s="7" t="s">
        <v>1245</v>
      </c>
      <c r="F495" s="7" t="s">
        <v>78</v>
      </c>
      <c r="G495" s="7" t="s">
        <v>3705</v>
      </c>
      <c r="H495" s="7" t="s">
        <v>68</v>
      </c>
      <c r="I495" s="10" t="n">
        <v>1500</v>
      </c>
      <c r="J495" s="7" t="s">
        <v>377</v>
      </c>
      <c r="K495" s="7"/>
      <c r="L495" s="7" t="s">
        <v>3706</v>
      </c>
      <c r="M495" s="7" t="s">
        <v>3707</v>
      </c>
      <c r="N495" s="7" t="s">
        <v>3708</v>
      </c>
      <c r="O495" s="7" t="s">
        <v>3709</v>
      </c>
      <c r="P495" s="7" t="s">
        <v>3710</v>
      </c>
      <c r="Q495" s="7"/>
      <c r="R495" s="7"/>
      <c r="S495" s="7"/>
      <c r="T495" s="7"/>
      <c r="U495" s="7"/>
    </row>
    <row r="496" customFormat="false" ht="15" hidden="false" customHeight="false" outlineLevel="0" collapsed="false">
      <c r="A496" s="7" t="s">
        <v>9</v>
      </c>
      <c r="B496" s="7" t="s">
        <v>3711</v>
      </c>
      <c r="C496" s="7" t="s">
        <v>34</v>
      </c>
      <c r="D496" s="7" t="s">
        <v>3712</v>
      </c>
      <c r="E496" s="7" t="s">
        <v>112</v>
      </c>
      <c r="F496" s="7" t="s">
        <v>113</v>
      </c>
      <c r="G496" s="7" t="s">
        <v>3713</v>
      </c>
      <c r="H496" s="7" t="s">
        <v>149</v>
      </c>
      <c r="I496" s="10" t="n">
        <v>300</v>
      </c>
      <c r="J496" s="7" t="s">
        <v>350</v>
      </c>
      <c r="K496" s="7"/>
      <c r="L496" s="7" t="s">
        <v>3714</v>
      </c>
      <c r="M496" s="7" t="s">
        <v>3715</v>
      </c>
      <c r="N496" s="7" t="s">
        <v>3716</v>
      </c>
      <c r="O496" s="7" t="s">
        <v>3717</v>
      </c>
      <c r="P496" s="7" t="s">
        <v>3718</v>
      </c>
      <c r="Q496" s="7"/>
      <c r="R496" s="7"/>
      <c r="S496" s="7"/>
      <c r="T496" s="7"/>
      <c r="U496" s="7"/>
    </row>
    <row r="497" customFormat="false" ht="15" hidden="false" customHeight="false" outlineLevel="0" collapsed="false">
      <c r="A497" s="7" t="s">
        <v>9</v>
      </c>
      <c r="B497" s="7" t="s">
        <v>3719</v>
      </c>
      <c r="C497" s="7" t="s">
        <v>34</v>
      </c>
      <c r="D497" s="7" t="s">
        <v>3720</v>
      </c>
      <c r="E497" s="7" t="s">
        <v>1245</v>
      </c>
      <c r="F497" s="7" t="s">
        <v>78</v>
      </c>
      <c r="G497" s="7" t="s">
        <v>3721</v>
      </c>
      <c r="H497" s="7" t="s">
        <v>149</v>
      </c>
      <c r="I497" s="10" t="n">
        <v>900</v>
      </c>
      <c r="J497" s="7" t="s">
        <v>377</v>
      </c>
      <c r="K497" s="7"/>
      <c r="L497" s="7" t="s">
        <v>3722</v>
      </c>
      <c r="M497" s="7" t="s">
        <v>3723</v>
      </c>
      <c r="N497" s="7" t="s">
        <v>3724</v>
      </c>
      <c r="O497" s="7" t="s">
        <v>3725</v>
      </c>
      <c r="P497" s="7" t="s">
        <v>3726</v>
      </c>
      <c r="Q497" s="7"/>
      <c r="R497" s="7"/>
      <c r="S497" s="7"/>
      <c r="T497" s="7"/>
      <c r="U497" s="7"/>
    </row>
    <row r="498" customFormat="false" ht="15" hidden="false" customHeight="false" outlineLevel="0" collapsed="false">
      <c r="A498" s="7" t="s">
        <v>9</v>
      </c>
      <c r="B498" s="7" t="s">
        <v>3727</v>
      </c>
      <c r="C498" s="7" t="s">
        <v>34</v>
      </c>
      <c r="D498" s="7" t="s">
        <v>3728</v>
      </c>
      <c r="E498" s="7" t="s">
        <v>479</v>
      </c>
      <c r="F498" s="7" t="s">
        <v>480</v>
      </c>
      <c r="G498" s="7" t="s">
        <v>3729</v>
      </c>
      <c r="H498" s="7" t="s">
        <v>149</v>
      </c>
      <c r="I498" s="10" t="n">
        <v>4500</v>
      </c>
      <c r="J498" s="7" t="s">
        <v>377</v>
      </c>
      <c r="K498" s="7"/>
      <c r="L498" s="7" t="s">
        <v>3730</v>
      </c>
      <c r="M498" s="7" t="s">
        <v>3731</v>
      </c>
      <c r="N498" s="7" t="s">
        <v>3732</v>
      </c>
      <c r="O498" s="7" t="s">
        <v>3733</v>
      </c>
      <c r="P498" s="7" t="s">
        <v>3734</v>
      </c>
      <c r="Q498" s="7"/>
      <c r="R498" s="7"/>
      <c r="S498" s="7"/>
      <c r="T498" s="7"/>
      <c r="U498" s="7"/>
    </row>
    <row r="499" customFormat="false" ht="15" hidden="false" customHeight="false" outlineLevel="0" collapsed="false">
      <c r="A499" s="7" t="s">
        <v>9</v>
      </c>
      <c r="B499" s="7" t="s">
        <v>3735</v>
      </c>
      <c r="C499" s="7" t="s">
        <v>34</v>
      </c>
      <c r="D499" s="7" t="s">
        <v>3736</v>
      </c>
      <c r="E499" s="7" t="s">
        <v>3737</v>
      </c>
      <c r="F499" s="7" t="s">
        <v>348</v>
      </c>
      <c r="G499" s="7" t="s">
        <v>3738</v>
      </c>
      <c r="H499" s="7" t="s">
        <v>149</v>
      </c>
      <c r="I499" s="10" t="n">
        <v>2000</v>
      </c>
      <c r="J499" s="7" t="s">
        <v>377</v>
      </c>
      <c r="K499" s="7"/>
      <c r="L499" s="7" t="s">
        <v>3739</v>
      </c>
      <c r="M499" s="7" t="s">
        <v>3740</v>
      </c>
      <c r="N499" s="7" t="s">
        <v>3741</v>
      </c>
      <c r="O499" s="7" t="s">
        <v>3742</v>
      </c>
      <c r="P499" s="7" t="s">
        <v>3743</v>
      </c>
      <c r="Q499" s="7"/>
      <c r="R499" s="7"/>
      <c r="S499" s="7"/>
      <c r="T499" s="7"/>
      <c r="U499" s="7"/>
    </row>
    <row r="500" customFormat="false" ht="15" hidden="false" customHeight="false" outlineLevel="0" collapsed="false">
      <c r="A500" s="7" t="s">
        <v>9</v>
      </c>
      <c r="B500" s="7" t="s">
        <v>3744</v>
      </c>
      <c r="C500" s="7" t="s">
        <v>34</v>
      </c>
      <c r="D500" s="7" t="s">
        <v>3745</v>
      </c>
      <c r="E500" s="7" t="s">
        <v>1579</v>
      </c>
      <c r="F500" s="7" t="s">
        <v>854</v>
      </c>
      <c r="G500" s="7" t="s">
        <v>3746</v>
      </c>
      <c r="H500" s="7" t="s">
        <v>149</v>
      </c>
      <c r="I500" s="10" t="n">
        <v>400</v>
      </c>
      <c r="J500" s="7" t="s">
        <v>3239</v>
      </c>
      <c r="K500" s="7"/>
      <c r="L500" s="7" t="s">
        <v>3747</v>
      </c>
      <c r="M500" s="7" t="s">
        <v>3748</v>
      </c>
      <c r="N500" s="7" t="s">
        <v>3749</v>
      </c>
      <c r="O500" s="7" t="s">
        <v>3750</v>
      </c>
      <c r="P500" s="7" t="s">
        <v>3751</v>
      </c>
      <c r="Q500" s="7"/>
      <c r="R500" s="7"/>
      <c r="S500" s="7"/>
      <c r="T500" s="7"/>
      <c r="U500" s="7"/>
    </row>
    <row r="501" customFormat="false" ht="15" hidden="false" customHeight="false" outlineLevel="0" collapsed="false">
      <c r="A501" s="7" t="s">
        <v>9</v>
      </c>
      <c r="B501" s="7" t="s">
        <v>3752</v>
      </c>
      <c r="C501" s="7" t="s">
        <v>34</v>
      </c>
      <c r="D501" s="7" t="s">
        <v>3753</v>
      </c>
      <c r="E501" s="7" t="s">
        <v>112</v>
      </c>
      <c r="F501" s="7" t="s">
        <v>113</v>
      </c>
      <c r="G501" s="7" t="s">
        <v>3754</v>
      </c>
      <c r="H501" s="7" t="s">
        <v>149</v>
      </c>
      <c r="I501" s="10" t="n">
        <v>1000</v>
      </c>
      <c r="J501" s="7" t="s">
        <v>350</v>
      </c>
      <c r="K501" s="7"/>
      <c r="L501" s="7" t="s">
        <v>3755</v>
      </c>
      <c r="M501" s="7" t="s">
        <v>3756</v>
      </c>
      <c r="N501" s="7" t="s">
        <v>3757</v>
      </c>
      <c r="O501" s="7" t="s">
        <v>3758</v>
      </c>
      <c r="P501" s="7" t="s">
        <v>3759</v>
      </c>
      <c r="Q501" s="7"/>
      <c r="R501" s="7"/>
      <c r="S501" s="7"/>
      <c r="T501" s="7"/>
      <c r="U501" s="7"/>
    </row>
    <row r="502" customFormat="false" ht="15" hidden="false" customHeight="false" outlineLevel="0" collapsed="false">
      <c r="A502" s="7" t="s">
        <v>9</v>
      </c>
      <c r="B502" s="7" t="s">
        <v>3760</v>
      </c>
      <c r="C502" s="7" t="s">
        <v>34</v>
      </c>
      <c r="D502" s="7" t="s">
        <v>3761</v>
      </c>
      <c r="E502" s="7" t="s">
        <v>3112</v>
      </c>
      <c r="F502" s="7" t="s">
        <v>163</v>
      </c>
      <c r="G502" s="7" t="s">
        <v>3762</v>
      </c>
      <c r="H502" s="7" t="s">
        <v>149</v>
      </c>
      <c r="I502" s="10" t="n">
        <v>1200</v>
      </c>
      <c r="J502" s="7" t="s">
        <v>350</v>
      </c>
      <c r="K502" s="7"/>
      <c r="L502" s="7" t="s">
        <v>3763</v>
      </c>
      <c r="M502" s="7" t="s">
        <v>3675</v>
      </c>
      <c r="N502" s="7" t="s">
        <v>3764</v>
      </c>
      <c r="O502" s="7" t="s">
        <v>3765</v>
      </c>
      <c r="P502" s="7" t="s">
        <v>3766</v>
      </c>
      <c r="Q502" s="7"/>
      <c r="R502" s="7"/>
      <c r="S502" s="7"/>
      <c r="T502" s="7"/>
      <c r="U502" s="7"/>
    </row>
    <row r="503" customFormat="false" ht="15" hidden="false" customHeight="false" outlineLevel="0" collapsed="false">
      <c r="A503" s="7" t="s">
        <v>9</v>
      </c>
      <c r="B503" s="7" t="s">
        <v>3767</v>
      </c>
      <c r="C503" s="7" t="s">
        <v>34</v>
      </c>
      <c r="D503" s="7" t="s">
        <v>3768</v>
      </c>
      <c r="E503" s="7" t="s">
        <v>264</v>
      </c>
      <c r="F503" s="7" t="s">
        <v>250</v>
      </c>
      <c r="G503" s="7" t="s">
        <v>3769</v>
      </c>
      <c r="H503" s="7" t="s">
        <v>149</v>
      </c>
      <c r="I503" s="10" t="n">
        <v>900</v>
      </c>
      <c r="J503" s="7" t="s">
        <v>350</v>
      </c>
      <c r="K503" s="7"/>
      <c r="L503" s="7" t="s">
        <v>3770</v>
      </c>
      <c r="M503" s="7" t="s">
        <v>3659</v>
      </c>
      <c r="N503" s="7" t="s">
        <v>3771</v>
      </c>
      <c r="O503" s="7" t="s">
        <v>3772</v>
      </c>
      <c r="P503" s="7" t="s">
        <v>3773</v>
      </c>
      <c r="Q503" s="7"/>
      <c r="R503" s="7"/>
      <c r="S503" s="7"/>
      <c r="T503" s="7"/>
      <c r="U503" s="7"/>
    </row>
    <row r="504" customFormat="false" ht="15" hidden="false" customHeight="false" outlineLevel="0" collapsed="false">
      <c r="A504" s="7" t="s">
        <v>9</v>
      </c>
      <c r="B504" s="7" t="s">
        <v>3774</v>
      </c>
      <c r="C504" s="7" t="s">
        <v>34</v>
      </c>
      <c r="D504" s="7" t="s">
        <v>3775</v>
      </c>
      <c r="E504" s="7" t="s">
        <v>1599</v>
      </c>
      <c r="F504" s="7" t="s">
        <v>78</v>
      </c>
      <c r="G504" s="7" t="s">
        <v>3776</v>
      </c>
      <c r="H504" s="7" t="s">
        <v>149</v>
      </c>
      <c r="I504" s="10" t="n">
        <v>600</v>
      </c>
      <c r="J504" s="7" t="s">
        <v>350</v>
      </c>
      <c r="K504" s="7"/>
      <c r="L504" s="7" t="s">
        <v>3777</v>
      </c>
      <c r="M504" s="7" t="s">
        <v>3778</v>
      </c>
      <c r="N504" s="7" t="s">
        <v>3779</v>
      </c>
      <c r="O504" s="7" t="s">
        <v>3780</v>
      </c>
      <c r="P504" s="7" t="s">
        <v>3781</v>
      </c>
      <c r="Q504" s="7"/>
      <c r="R504" s="7"/>
      <c r="S504" s="7"/>
      <c r="T504" s="7"/>
      <c r="U504" s="7"/>
    </row>
    <row r="505" customFormat="false" ht="15" hidden="false" customHeight="false" outlineLevel="0" collapsed="false">
      <c r="A505" s="7" t="s">
        <v>9</v>
      </c>
      <c r="B505" s="7" t="s">
        <v>3782</v>
      </c>
      <c r="C505" s="7" t="s">
        <v>34</v>
      </c>
      <c r="D505" s="7" t="s">
        <v>3783</v>
      </c>
      <c r="E505" s="7" t="s">
        <v>3784</v>
      </c>
      <c r="F505" s="7" t="s">
        <v>78</v>
      </c>
      <c r="G505" s="7" t="s">
        <v>3785</v>
      </c>
      <c r="H505" s="7" t="s">
        <v>149</v>
      </c>
      <c r="I505" s="10" t="n">
        <v>2000</v>
      </c>
      <c r="J505" s="7" t="s">
        <v>377</v>
      </c>
      <c r="K505" s="7"/>
      <c r="L505" s="7" t="s">
        <v>3786</v>
      </c>
      <c r="M505" s="7" t="s">
        <v>3787</v>
      </c>
      <c r="N505" s="7" t="s">
        <v>3788</v>
      </c>
      <c r="O505" s="7" t="s">
        <v>3789</v>
      </c>
      <c r="P505" s="7" t="s">
        <v>3790</v>
      </c>
      <c r="Q505" s="7"/>
      <c r="R505" s="7"/>
      <c r="S505" s="7"/>
      <c r="T505" s="7"/>
      <c r="U505" s="7"/>
    </row>
    <row r="506" customFormat="false" ht="15" hidden="false" customHeight="false" outlineLevel="0" collapsed="false">
      <c r="A506" s="7" t="s">
        <v>9</v>
      </c>
      <c r="B506" s="7" t="s">
        <v>3791</v>
      </c>
      <c r="C506" s="7" t="s">
        <v>34</v>
      </c>
      <c r="D506" s="7" t="s">
        <v>3792</v>
      </c>
      <c r="E506" s="7" t="s">
        <v>3793</v>
      </c>
      <c r="F506" s="7" t="s">
        <v>1030</v>
      </c>
      <c r="G506" s="7" t="s">
        <v>3794</v>
      </c>
      <c r="H506" s="7" t="s">
        <v>149</v>
      </c>
      <c r="I506" s="10" t="n">
        <v>2500</v>
      </c>
      <c r="J506" s="7" t="s">
        <v>377</v>
      </c>
      <c r="K506" s="7"/>
      <c r="L506" s="7" t="s">
        <v>3795</v>
      </c>
      <c r="M506" s="7" t="s">
        <v>3796</v>
      </c>
      <c r="N506" s="7" t="s">
        <v>3797</v>
      </c>
      <c r="O506" s="7" t="s">
        <v>3798</v>
      </c>
      <c r="P506" s="7" t="s">
        <v>3799</v>
      </c>
      <c r="Q506" s="7"/>
      <c r="R506" s="7"/>
      <c r="S506" s="7"/>
      <c r="T506" s="7"/>
      <c r="U506" s="7"/>
    </row>
    <row r="507" customFormat="false" ht="15" hidden="false" customHeight="false" outlineLevel="0" collapsed="false">
      <c r="A507" s="7" t="s">
        <v>9</v>
      </c>
      <c r="B507" s="7" t="s">
        <v>3800</v>
      </c>
      <c r="C507" s="7" t="s">
        <v>34</v>
      </c>
      <c r="D507" s="7" t="s">
        <v>3801</v>
      </c>
      <c r="E507" s="7" t="s">
        <v>420</v>
      </c>
      <c r="F507" s="7" t="s">
        <v>78</v>
      </c>
      <c r="G507" s="7" t="s">
        <v>3802</v>
      </c>
      <c r="H507" s="7" t="s">
        <v>149</v>
      </c>
      <c r="I507" s="10" t="n">
        <v>600</v>
      </c>
      <c r="J507" s="7" t="s">
        <v>377</v>
      </c>
      <c r="K507" s="7"/>
      <c r="L507" s="7" t="s">
        <v>3803</v>
      </c>
      <c r="M507" s="7" t="s">
        <v>3804</v>
      </c>
      <c r="N507" s="7" t="s">
        <v>3805</v>
      </c>
      <c r="O507" s="7" t="s">
        <v>3806</v>
      </c>
      <c r="P507" s="7" t="s">
        <v>3807</v>
      </c>
      <c r="Q507" s="7"/>
      <c r="R507" s="7"/>
      <c r="S507" s="7"/>
      <c r="T507" s="7"/>
      <c r="U507" s="7"/>
    </row>
    <row r="508" customFormat="false" ht="15" hidden="false" customHeight="false" outlineLevel="0" collapsed="false">
      <c r="A508" s="7" t="s">
        <v>9</v>
      </c>
      <c r="B508" s="7" t="s">
        <v>3808</v>
      </c>
      <c r="C508" s="7" t="s">
        <v>34</v>
      </c>
      <c r="D508" s="7" t="s">
        <v>3809</v>
      </c>
      <c r="E508" s="7" t="s">
        <v>3810</v>
      </c>
      <c r="F508" s="7" t="s">
        <v>78</v>
      </c>
      <c r="G508" s="7" t="s">
        <v>3811</v>
      </c>
      <c r="H508" s="7" t="s">
        <v>149</v>
      </c>
      <c r="I508" s="10" t="n">
        <v>1500</v>
      </c>
      <c r="J508" s="7" t="s">
        <v>350</v>
      </c>
      <c r="K508" s="7"/>
      <c r="L508" s="7" t="s">
        <v>3812</v>
      </c>
      <c r="M508" s="7" t="s">
        <v>3813</v>
      </c>
      <c r="N508" s="7" t="s">
        <v>3814</v>
      </c>
      <c r="O508" s="7" t="s">
        <v>3815</v>
      </c>
      <c r="P508" s="7" t="s">
        <v>3816</v>
      </c>
      <c r="Q508" s="7"/>
      <c r="R508" s="7"/>
      <c r="S508" s="7"/>
      <c r="T508" s="7"/>
      <c r="U508" s="7"/>
    </row>
    <row r="509" customFormat="false" ht="15" hidden="false" customHeight="false" outlineLevel="0" collapsed="false">
      <c r="A509" s="7" t="s">
        <v>9</v>
      </c>
      <c r="B509" s="7" t="s">
        <v>3817</v>
      </c>
      <c r="C509" s="7" t="s">
        <v>34</v>
      </c>
      <c r="D509" s="7" t="s">
        <v>3818</v>
      </c>
      <c r="E509" s="7" t="s">
        <v>3819</v>
      </c>
      <c r="F509" s="7" t="s">
        <v>78</v>
      </c>
      <c r="G509" s="7" t="s">
        <v>3820</v>
      </c>
      <c r="H509" s="7" t="s">
        <v>174</v>
      </c>
      <c r="I509" s="10" t="n">
        <v>150</v>
      </c>
      <c r="J509" s="7" t="s">
        <v>350</v>
      </c>
      <c r="K509" s="7"/>
      <c r="L509" s="7" t="s">
        <v>3821</v>
      </c>
      <c r="M509" s="7" t="s">
        <v>3715</v>
      </c>
      <c r="N509" s="7" t="s">
        <v>3822</v>
      </c>
      <c r="O509" s="7" t="s">
        <v>3823</v>
      </c>
      <c r="P509" s="7" t="s">
        <v>3824</v>
      </c>
      <c r="Q509" s="7"/>
      <c r="R509" s="7"/>
      <c r="S509" s="7"/>
      <c r="T509" s="7"/>
      <c r="U509" s="7"/>
    </row>
    <row r="510" customFormat="false" ht="15" hidden="false" customHeight="false" outlineLevel="0" collapsed="false">
      <c r="A510" s="7" t="s">
        <v>9</v>
      </c>
      <c r="B510" s="7" t="s">
        <v>3825</v>
      </c>
      <c r="C510" s="7" t="s">
        <v>35</v>
      </c>
      <c r="D510" s="7" t="s">
        <v>3826</v>
      </c>
      <c r="E510" s="7" t="s">
        <v>3827</v>
      </c>
      <c r="F510" s="7" t="s">
        <v>88</v>
      </c>
      <c r="G510" s="7" t="s">
        <v>3828</v>
      </c>
      <c r="H510" s="7" t="s">
        <v>68</v>
      </c>
      <c r="I510" s="10" t="n">
        <v>2000</v>
      </c>
      <c r="J510" s="7" t="s">
        <v>377</v>
      </c>
      <c r="K510" s="7"/>
      <c r="L510" s="7" t="s">
        <v>3829</v>
      </c>
      <c r="M510" s="7" t="s">
        <v>1807</v>
      </c>
      <c r="N510" s="7" t="s">
        <v>3830</v>
      </c>
      <c r="O510" s="7" t="s">
        <v>3831</v>
      </c>
      <c r="P510" s="7" t="s">
        <v>3832</v>
      </c>
      <c r="Q510" s="7"/>
      <c r="R510" s="7"/>
      <c r="S510" s="7"/>
      <c r="T510" s="7"/>
      <c r="U510" s="7"/>
    </row>
    <row r="511" customFormat="false" ht="15" hidden="false" customHeight="false" outlineLevel="0" collapsed="false">
      <c r="A511" s="7" t="s">
        <v>9</v>
      </c>
      <c r="B511" s="7" t="s">
        <v>3833</v>
      </c>
      <c r="C511" s="7" t="s">
        <v>35</v>
      </c>
      <c r="D511" s="7" t="s">
        <v>3834</v>
      </c>
      <c r="E511" s="7" t="s">
        <v>2251</v>
      </c>
      <c r="F511" s="7" t="s">
        <v>78</v>
      </c>
      <c r="G511" s="7" t="s">
        <v>3835</v>
      </c>
      <c r="H511" s="7" t="s">
        <v>68</v>
      </c>
      <c r="I511" s="10" t="n">
        <v>1800</v>
      </c>
      <c r="J511" s="7" t="s">
        <v>377</v>
      </c>
      <c r="K511" s="7"/>
      <c r="L511" s="7" t="s">
        <v>3836</v>
      </c>
      <c r="M511" s="7" t="s">
        <v>1807</v>
      </c>
      <c r="N511" s="7" t="s">
        <v>3837</v>
      </c>
      <c r="O511" s="7" t="s">
        <v>3838</v>
      </c>
      <c r="P511" s="7" t="s">
        <v>3839</v>
      </c>
      <c r="Q511" s="7"/>
      <c r="R511" s="7"/>
      <c r="S511" s="7"/>
      <c r="T511" s="7"/>
      <c r="U511" s="7"/>
    </row>
    <row r="512" customFormat="false" ht="15" hidden="false" customHeight="false" outlineLevel="0" collapsed="false">
      <c r="A512" s="7" t="s">
        <v>9</v>
      </c>
      <c r="B512" s="7" t="s">
        <v>3840</v>
      </c>
      <c r="C512" s="7" t="s">
        <v>35</v>
      </c>
      <c r="D512" s="7" t="s">
        <v>3841</v>
      </c>
      <c r="E512" s="7" t="s">
        <v>1010</v>
      </c>
      <c r="F512" s="7" t="s">
        <v>88</v>
      </c>
      <c r="G512" s="7" t="s">
        <v>3842</v>
      </c>
      <c r="H512" s="7" t="s">
        <v>68</v>
      </c>
      <c r="I512" s="10" t="n">
        <v>2300</v>
      </c>
      <c r="J512" s="7" t="s">
        <v>377</v>
      </c>
      <c r="K512" s="7"/>
      <c r="L512" s="7" t="s">
        <v>3843</v>
      </c>
      <c r="M512" s="7" t="s">
        <v>1807</v>
      </c>
      <c r="N512" s="7" t="s">
        <v>3844</v>
      </c>
      <c r="O512" s="7" t="s">
        <v>3845</v>
      </c>
      <c r="P512" s="7" t="s">
        <v>3846</v>
      </c>
      <c r="Q512" s="7"/>
      <c r="R512" s="7"/>
      <c r="S512" s="7"/>
      <c r="T512" s="7"/>
      <c r="U512" s="7"/>
    </row>
    <row r="513" customFormat="false" ht="15" hidden="false" customHeight="false" outlineLevel="0" collapsed="false">
      <c r="A513" s="7" t="s">
        <v>9</v>
      </c>
      <c r="B513" s="7" t="s">
        <v>3847</v>
      </c>
      <c r="C513" s="7" t="s">
        <v>35</v>
      </c>
      <c r="D513" s="7" t="s">
        <v>3848</v>
      </c>
      <c r="E513" s="7" t="s">
        <v>3849</v>
      </c>
      <c r="F513" s="7" t="s">
        <v>78</v>
      </c>
      <c r="G513" s="7" t="s">
        <v>3850</v>
      </c>
      <c r="H513" s="7" t="s">
        <v>68</v>
      </c>
      <c r="I513" s="10" t="n">
        <v>1900</v>
      </c>
      <c r="J513" s="7" t="s">
        <v>377</v>
      </c>
      <c r="K513" s="7"/>
      <c r="L513" s="7" t="s">
        <v>3851</v>
      </c>
      <c r="M513" s="7" t="s">
        <v>1807</v>
      </c>
      <c r="N513" s="7" t="s">
        <v>3852</v>
      </c>
      <c r="O513" s="7" t="s">
        <v>3853</v>
      </c>
      <c r="P513" s="7" t="s">
        <v>3854</v>
      </c>
      <c r="Q513" s="7"/>
      <c r="R513" s="7"/>
      <c r="S513" s="7"/>
      <c r="T513" s="7"/>
      <c r="U513" s="7"/>
    </row>
    <row r="514" customFormat="false" ht="15" hidden="false" customHeight="false" outlineLevel="0" collapsed="false">
      <c r="A514" s="7" t="s">
        <v>9</v>
      </c>
      <c r="B514" s="7" t="s">
        <v>3855</v>
      </c>
      <c r="C514" s="7" t="s">
        <v>35</v>
      </c>
      <c r="D514" s="7" t="s">
        <v>3856</v>
      </c>
      <c r="E514" s="7" t="s">
        <v>112</v>
      </c>
      <c r="F514" s="7" t="s">
        <v>113</v>
      </c>
      <c r="G514" s="7" t="s">
        <v>3857</v>
      </c>
      <c r="H514" s="7" t="s">
        <v>68</v>
      </c>
      <c r="I514" s="10" t="n">
        <v>2000</v>
      </c>
      <c r="J514" s="7" t="s">
        <v>377</v>
      </c>
      <c r="K514" s="7"/>
      <c r="L514" s="7" t="s">
        <v>3858</v>
      </c>
      <c r="M514" s="7" t="s">
        <v>1807</v>
      </c>
      <c r="N514" s="7" t="s">
        <v>3859</v>
      </c>
      <c r="O514" s="7" t="s">
        <v>3860</v>
      </c>
      <c r="P514" s="7" t="s">
        <v>3861</v>
      </c>
      <c r="Q514" s="7"/>
      <c r="R514" s="7"/>
      <c r="S514" s="7"/>
      <c r="T514" s="7"/>
      <c r="U514" s="7"/>
    </row>
    <row r="515" customFormat="false" ht="15" hidden="false" customHeight="false" outlineLevel="0" collapsed="false">
      <c r="A515" s="7" t="s">
        <v>9</v>
      </c>
      <c r="B515" s="7" t="s">
        <v>3862</v>
      </c>
      <c r="C515" s="7" t="s">
        <v>35</v>
      </c>
      <c r="D515" s="7" t="s">
        <v>3863</v>
      </c>
      <c r="E515" s="7" t="s">
        <v>3864</v>
      </c>
      <c r="F515" s="7" t="s">
        <v>243</v>
      </c>
      <c r="G515" s="7" t="s">
        <v>3865</v>
      </c>
      <c r="H515" s="7" t="s">
        <v>68</v>
      </c>
      <c r="I515" s="10" t="n">
        <v>3500</v>
      </c>
      <c r="J515" s="7" t="s">
        <v>377</v>
      </c>
      <c r="K515" s="7"/>
      <c r="L515" s="7" t="s">
        <v>3866</v>
      </c>
      <c r="M515" s="7" t="s">
        <v>1807</v>
      </c>
      <c r="N515" s="7" t="s">
        <v>3867</v>
      </c>
      <c r="O515" s="7" t="s">
        <v>3868</v>
      </c>
      <c r="P515" s="7" t="s">
        <v>3869</v>
      </c>
      <c r="Q515" s="7"/>
      <c r="R515" s="7"/>
      <c r="S515" s="7"/>
      <c r="T515" s="7"/>
      <c r="U515" s="7"/>
    </row>
    <row r="516" customFormat="false" ht="15" hidden="false" customHeight="false" outlineLevel="0" collapsed="false">
      <c r="A516" s="7" t="s">
        <v>9</v>
      </c>
      <c r="B516" s="7" t="s">
        <v>3870</v>
      </c>
      <c r="C516" s="7" t="s">
        <v>35</v>
      </c>
      <c r="D516" s="7" t="s">
        <v>3871</v>
      </c>
      <c r="E516" s="7" t="s">
        <v>2570</v>
      </c>
      <c r="F516" s="7" t="s">
        <v>88</v>
      </c>
      <c r="G516" s="7" t="s">
        <v>3872</v>
      </c>
      <c r="H516" s="7" t="s">
        <v>68</v>
      </c>
      <c r="I516" s="10" t="n">
        <v>4000</v>
      </c>
      <c r="J516" s="7" t="s">
        <v>386</v>
      </c>
      <c r="K516" s="7"/>
      <c r="L516" s="7" t="s">
        <v>3873</v>
      </c>
      <c r="M516" s="7" t="s">
        <v>1807</v>
      </c>
      <c r="N516" s="7" t="s">
        <v>3874</v>
      </c>
      <c r="O516" s="7" t="s">
        <v>3875</v>
      </c>
      <c r="P516" s="7" t="s">
        <v>3876</v>
      </c>
      <c r="Q516" s="7"/>
      <c r="R516" s="7"/>
      <c r="S516" s="7"/>
      <c r="T516" s="7"/>
      <c r="U516" s="7"/>
    </row>
    <row r="517" customFormat="false" ht="15" hidden="false" customHeight="false" outlineLevel="0" collapsed="false">
      <c r="A517" s="7" t="s">
        <v>9</v>
      </c>
      <c r="B517" s="7" t="s">
        <v>3877</v>
      </c>
      <c r="C517" s="7" t="s">
        <v>35</v>
      </c>
      <c r="D517" s="7" t="s">
        <v>3878</v>
      </c>
      <c r="E517" s="7" t="s">
        <v>1047</v>
      </c>
      <c r="F517" s="7" t="s">
        <v>600</v>
      </c>
      <c r="G517" s="7" t="s">
        <v>3879</v>
      </c>
      <c r="H517" s="7" t="s">
        <v>68</v>
      </c>
      <c r="I517" s="10" t="n">
        <v>2500</v>
      </c>
      <c r="J517" s="7" t="s">
        <v>377</v>
      </c>
      <c r="K517" s="7"/>
      <c r="L517" s="7" t="s">
        <v>3880</v>
      </c>
      <c r="M517" s="7" t="s">
        <v>1807</v>
      </c>
      <c r="N517" s="7" t="s">
        <v>3881</v>
      </c>
      <c r="O517" s="7" t="s">
        <v>3882</v>
      </c>
      <c r="P517" s="7" t="s">
        <v>3883</v>
      </c>
      <c r="Q517" s="7"/>
      <c r="R517" s="7"/>
      <c r="S517" s="7"/>
      <c r="T517" s="7"/>
      <c r="U517" s="7"/>
    </row>
    <row r="518" customFormat="false" ht="15" hidden="false" customHeight="false" outlineLevel="0" collapsed="false">
      <c r="A518" s="7" t="s">
        <v>9</v>
      </c>
      <c r="B518" s="7" t="s">
        <v>3884</v>
      </c>
      <c r="C518" s="7" t="s">
        <v>35</v>
      </c>
      <c r="D518" s="7" t="s">
        <v>3885</v>
      </c>
      <c r="E518" s="7" t="s">
        <v>112</v>
      </c>
      <c r="F518" s="7" t="s">
        <v>113</v>
      </c>
      <c r="G518" s="7" t="s">
        <v>3886</v>
      </c>
      <c r="H518" s="7" t="s">
        <v>68</v>
      </c>
      <c r="I518" s="10" t="n">
        <v>1300</v>
      </c>
      <c r="J518" s="7" t="s">
        <v>377</v>
      </c>
      <c r="K518" s="7"/>
      <c r="L518" s="7" t="s">
        <v>3887</v>
      </c>
      <c r="M518" s="7" t="s">
        <v>1807</v>
      </c>
      <c r="N518" s="7" t="s">
        <v>3888</v>
      </c>
      <c r="O518" s="7" t="s">
        <v>3889</v>
      </c>
      <c r="P518" s="7" t="s">
        <v>3890</v>
      </c>
      <c r="Q518" s="7"/>
      <c r="R518" s="7"/>
      <c r="S518" s="7"/>
      <c r="T518" s="7"/>
      <c r="U518" s="7"/>
    </row>
    <row r="519" customFormat="false" ht="15" hidden="false" customHeight="false" outlineLevel="0" collapsed="false">
      <c r="A519" s="7" t="s">
        <v>9</v>
      </c>
      <c r="B519" s="7" t="s">
        <v>3891</v>
      </c>
      <c r="C519" s="7" t="s">
        <v>35</v>
      </c>
      <c r="D519" s="7" t="s">
        <v>3892</v>
      </c>
      <c r="E519" s="7" t="s">
        <v>1245</v>
      </c>
      <c r="F519" s="7" t="s">
        <v>78</v>
      </c>
      <c r="G519" s="7" t="s">
        <v>3893</v>
      </c>
      <c r="H519" s="7" t="s">
        <v>68</v>
      </c>
      <c r="I519" s="10" t="n">
        <v>900</v>
      </c>
      <c r="J519" s="7" t="s">
        <v>377</v>
      </c>
      <c r="K519" s="7"/>
      <c r="L519" s="7" t="s">
        <v>3894</v>
      </c>
      <c r="M519" s="7" t="s">
        <v>1807</v>
      </c>
      <c r="N519" s="7" t="s">
        <v>3895</v>
      </c>
      <c r="O519" s="7" t="s">
        <v>3896</v>
      </c>
      <c r="P519" s="7" t="s">
        <v>3897</v>
      </c>
      <c r="Q519" s="7"/>
      <c r="R519" s="7"/>
      <c r="S519" s="7"/>
      <c r="T519" s="7"/>
      <c r="U519" s="7"/>
    </row>
    <row r="520" customFormat="false" ht="15" hidden="false" customHeight="false" outlineLevel="0" collapsed="false">
      <c r="A520" s="7" t="s">
        <v>9</v>
      </c>
      <c r="B520" s="7" t="s">
        <v>3898</v>
      </c>
      <c r="C520" s="7" t="s">
        <v>35</v>
      </c>
      <c r="D520" s="7" t="s">
        <v>3899</v>
      </c>
      <c r="E520" s="7" t="s">
        <v>3900</v>
      </c>
      <c r="F520" s="7" t="s">
        <v>600</v>
      </c>
      <c r="G520" s="7" t="s">
        <v>3901</v>
      </c>
      <c r="H520" s="7" t="s">
        <v>68</v>
      </c>
      <c r="I520" s="10" t="n">
        <v>2200</v>
      </c>
      <c r="J520" s="7" t="s">
        <v>377</v>
      </c>
      <c r="K520" s="7"/>
      <c r="L520" s="7" t="s">
        <v>3902</v>
      </c>
      <c r="M520" s="7" t="s">
        <v>1807</v>
      </c>
      <c r="N520" s="7" t="s">
        <v>3903</v>
      </c>
      <c r="O520" s="7" t="s">
        <v>3904</v>
      </c>
      <c r="P520" s="7" t="s">
        <v>3905</v>
      </c>
      <c r="Q520" s="7"/>
      <c r="R520" s="7"/>
      <c r="S520" s="7"/>
      <c r="T520" s="7"/>
      <c r="U520" s="7"/>
    </row>
    <row r="521" customFormat="false" ht="15" hidden="false" customHeight="false" outlineLevel="0" collapsed="false">
      <c r="A521" s="7" t="s">
        <v>9</v>
      </c>
      <c r="B521" s="7" t="s">
        <v>3906</v>
      </c>
      <c r="C521" s="7" t="s">
        <v>35</v>
      </c>
      <c r="D521" s="7" t="s">
        <v>3907</v>
      </c>
      <c r="E521" s="7" t="s">
        <v>1535</v>
      </c>
      <c r="F521" s="7" t="s">
        <v>78</v>
      </c>
      <c r="G521" s="7" t="s">
        <v>3908</v>
      </c>
      <c r="H521" s="7" t="s">
        <v>68</v>
      </c>
      <c r="I521" s="10" t="n">
        <v>3000</v>
      </c>
      <c r="J521" s="7" t="s">
        <v>377</v>
      </c>
      <c r="K521" s="7"/>
      <c r="L521" s="7" t="s">
        <v>3909</v>
      </c>
      <c r="M521" s="7" t="s">
        <v>1807</v>
      </c>
      <c r="N521" s="7" t="s">
        <v>3910</v>
      </c>
      <c r="O521" s="7" t="s">
        <v>3911</v>
      </c>
      <c r="P521" s="7" t="s">
        <v>3912</v>
      </c>
      <c r="Q521" s="7"/>
      <c r="R521" s="7"/>
      <c r="S521" s="7"/>
      <c r="T521" s="7"/>
      <c r="U521" s="7"/>
    </row>
    <row r="522" customFormat="false" ht="15" hidden="false" customHeight="false" outlineLevel="0" collapsed="false">
      <c r="A522" s="7" t="s">
        <v>9</v>
      </c>
      <c r="B522" s="7" t="s">
        <v>3913</v>
      </c>
      <c r="C522" s="7" t="s">
        <v>35</v>
      </c>
      <c r="D522" s="7" t="s">
        <v>3914</v>
      </c>
      <c r="E522" s="7" t="s">
        <v>3915</v>
      </c>
      <c r="F522" s="7" t="s">
        <v>600</v>
      </c>
      <c r="G522" s="7" t="s">
        <v>3916</v>
      </c>
      <c r="H522" s="7" t="s">
        <v>68</v>
      </c>
      <c r="I522" s="10" t="n">
        <v>2500</v>
      </c>
      <c r="J522" s="7" t="s">
        <v>350</v>
      </c>
      <c r="K522" s="7"/>
      <c r="L522" s="7" t="s">
        <v>3917</v>
      </c>
      <c r="M522" s="7" t="s">
        <v>1826</v>
      </c>
      <c r="N522" s="7" t="s">
        <v>3918</v>
      </c>
      <c r="O522" s="7" t="s">
        <v>3919</v>
      </c>
      <c r="P522" s="7" t="s">
        <v>3920</v>
      </c>
      <c r="Q522" s="7"/>
      <c r="R522" s="7"/>
      <c r="S522" s="7"/>
      <c r="T522" s="7"/>
      <c r="U522" s="7"/>
    </row>
    <row r="523" customFormat="false" ht="15" hidden="false" customHeight="false" outlineLevel="0" collapsed="false">
      <c r="A523" s="7" t="s">
        <v>9</v>
      </c>
      <c r="B523" s="7" t="s">
        <v>3921</v>
      </c>
      <c r="C523" s="7" t="s">
        <v>35</v>
      </c>
      <c r="D523" s="7" t="s">
        <v>3922</v>
      </c>
      <c r="E523" s="7" t="s">
        <v>264</v>
      </c>
      <c r="F523" s="7" t="s">
        <v>250</v>
      </c>
      <c r="G523" s="7" t="s">
        <v>3923</v>
      </c>
      <c r="H523" s="7" t="s">
        <v>68</v>
      </c>
      <c r="I523" s="10" t="n">
        <v>2400</v>
      </c>
      <c r="J523" s="7" t="s">
        <v>377</v>
      </c>
      <c r="K523" s="7"/>
      <c r="L523" s="7" t="s">
        <v>3924</v>
      </c>
      <c r="M523" s="7" t="s">
        <v>1807</v>
      </c>
      <c r="N523" s="7" t="s">
        <v>3925</v>
      </c>
      <c r="O523" s="7" t="s">
        <v>3926</v>
      </c>
      <c r="P523" s="7" t="s">
        <v>3927</v>
      </c>
      <c r="Q523" s="7"/>
      <c r="R523" s="7"/>
      <c r="S523" s="7"/>
      <c r="T523" s="7"/>
      <c r="U523" s="7"/>
    </row>
    <row r="524" customFormat="false" ht="15" hidden="false" customHeight="false" outlineLevel="0" collapsed="false">
      <c r="A524" s="7" t="s">
        <v>9</v>
      </c>
      <c r="B524" s="7" t="s">
        <v>3928</v>
      </c>
      <c r="C524" s="7" t="s">
        <v>35</v>
      </c>
      <c r="D524" s="7" t="s">
        <v>3929</v>
      </c>
      <c r="E524" s="7" t="s">
        <v>1245</v>
      </c>
      <c r="F524" s="7" t="s">
        <v>78</v>
      </c>
      <c r="G524" s="7" t="s">
        <v>3930</v>
      </c>
      <c r="H524" s="7" t="s">
        <v>68</v>
      </c>
      <c r="I524" s="10" t="n">
        <v>4000</v>
      </c>
      <c r="J524" s="7" t="s">
        <v>350</v>
      </c>
      <c r="K524" s="7"/>
      <c r="L524" s="7" t="s">
        <v>3931</v>
      </c>
      <c r="M524" s="7" t="s">
        <v>1826</v>
      </c>
      <c r="N524" s="7" t="s">
        <v>3932</v>
      </c>
      <c r="O524" s="7" t="s">
        <v>3933</v>
      </c>
      <c r="P524" s="7" t="s">
        <v>3934</v>
      </c>
      <c r="Q524" s="7"/>
      <c r="R524" s="7"/>
      <c r="S524" s="7"/>
      <c r="T524" s="7"/>
      <c r="U524" s="7"/>
    </row>
    <row r="525" customFormat="false" ht="15" hidden="false" customHeight="false" outlineLevel="0" collapsed="false">
      <c r="A525" s="7" t="s">
        <v>9</v>
      </c>
      <c r="B525" s="7" t="s">
        <v>3935</v>
      </c>
      <c r="C525" s="7" t="s">
        <v>35</v>
      </c>
      <c r="D525" s="7" t="s">
        <v>3936</v>
      </c>
      <c r="E525" s="7" t="s">
        <v>1579</v>
      </c>
      <c r="F525" s="7" t="s">
        <v>854</v>
      </c>
      <c r="G525" s="7" t="s">
        <v>3937</v>
      </c>
      <c r="H525" s="7" t="s">
        <v>68</v>
      </c>
      <c r="I525" s="10" t="n">
        <v>3000</v>
      </c>
      <c r="J525" s="7" t="s">
        <v>377</v>
      </c>
      <c r="K525" s="7"/>
      <c r="L525" s="7" t="s">
        <v>3938</v>
      </c>
      <c r="M525" s="7" t="s">
        <v>1807</v>
      </c>
      <c r="N525" s="7" t="s">
        <v>3939</v>
      </c>
      <c r="O525" s="7" t="s">
        <v>3940</v>
      </c>
      <c r="P525" s="7" t="s">
        <v>3941</v>
      </c>
      <c r="Q525" s="7"/>
      <c r="R525" s="7"/>
      <c r="S525" s="7"/>
      <c r="T525" s="7"/>
      <c r="U525" s="7"/>
    </row>
    <row r="526" customFormat="false" ht="15" hidden="false" customHeight="false" outlineLevel="0" collapsed="false">
      <c r="A526" s="7" t="s">
        <v>9</v>
      </c>
      <c r="B526" s="7" t="s">
        <v>3942</v>
      </c>
      <c r="C526" s="7" t="s">
        <v>35</v>
      </c>
      <c r="D526" s="7" t="s">
        <v>3943</v>
      </c>
      <c r="E526" s="7" t="s">
        <v>3944</v>
      </c>
      <c r="F526" s="7" t="s">
        <v>78</v>
      </c>
      <c r="G526" s="7" t="s">
        <v>3945</v>
      </c>
      <c r="H526" s="7" t="s">
        <v>68</v>
      </c>
      <c r="I526" s="10" t="n">
        <v>3000</v>
      </c>
      <c r="J526" s="7" t="s">
        <v>377</v>
      </c>
      <c r="K526" s="7"/>
      <c r="L526" s="7" t="s">
        <v>3946</v>
      </c>
      <c r="M526" s="7" t="s">
        <v>1807</v>
      </c>
      <c r="N526" s="7" t="s">
        <v>3947</v>
      </c>
      <c r="O526" s="7" t="s">
        <v>3948</v>
      </c>
      <c r="P526" s="7" t="s">
        <v>3949</v>
      </c>
      <c r="Q526" s="7"/>
      <c r="R526" s="7"/>
      <c r="S526" s="7"/>
      <c r="T526" s="7"/>
      <c r="U526" s="7"/>
    </row>
    <row r="527" customFormat="false" ht="15" hidden="false" customHeight="false" outlineLevel="0" collapsed="false">
      <c r="A527" s="7" t="s">
        <v>9</v>
      </c>
      <c r="B527" s="7" t="s">
        <v>3950</v>
      </c>
      <c r="C527" s="7" t="s">
        <v>35</v>
      </c>
      <c r="D527" s="7" t="s">
        <v>3951</v>
      </c>
      <c r="E527" s="7" t="s">
        <v>112</v>
      </c>
      <c r="F527" s="7" t="s">
        <v>113</v>
      </c>
      <c r="G527" s="7" t="s">
        <v>3952</v>
      </c>
      <c r="H527" s="7" t="s">
        <v>68</v>
      </c>
      <c r="I527" s="10" t="n">
        <v>3800</v>
      </c>
      <c r="J527" s="7" t="s">
        <v>377</v>
      </c>
      <c r="K527" s="7"/>
      <c r="L527" s="7" t="s">
        <v>3953</v>
      </c>
      <c r="M527" s="7" t="s">
        <v>1826</v>
      </c>
      <c r="N527" s="7" t="s">
        <v>3954</v>
      </c>
      <c r="O527" s="7" t="s">
        <v>3955</v>
      </c>
      <c r="P527" s="7" t="s">
        <v>3956</v>
      </c>
      <c r="Q527" s="7"/>
      <c r="R527" s="7"/>
      <c r="S527" s="7"/>
      <c r="T527" s="7"/>
      <c r="U527" s="7"/>
    </row>
    <row r="528" customFormat="false" ht="15" hidden="false" customHeight="false" outlineLevel="0" collapsed="false">
      <c r="A528" s="7" t="s">
        <v>9</v>
      </c>
      <c r="B528" s="7" t="s">
        <v>3957</v>
      </c>
      <c r="C528" s="7" t="s">
        <v>35</v>
      </c>
      <c r="D528" s="7" t="s">
        <v>3958</v>
      </c>
      <c r="E528" s="7" t="s">
        <v>3959</v>
      </c>
      <c r="F528" s="7" t="s">
        <v>338</v>
      </c>
      <c r="G528" s="7" t="s">
        <v>3960</v>
      </c>
      <c r="H528" s="7" t="s">
        <v>68</v>
      </c>
      <c r="I528" s="10" t="n">
        <v>1800</v>
      </c>
      <c r="J528" s="7" t="s">
        <v>377</v>
      </c>
      <c r="K528" s="7"/>
      <c r="L528" s="7" t="s">
        <v>3961</v>
      </c>
      <c r="M528" s="7" t="s">
        <v>1807</v>
      </c>
      <c r="N528" s="7" t="s">
        <v>3962</v>
      </c>
      <c r="O528" s="7" t="s">
        <v>3963</v>
      </c>
      <c r="P528" s="7" t="s">
        <v>3964</v>
      </c>
      <c r="Q528" s="7"/>
      <c r="R528" s="7"/>
      <c r="S528" s="7"/>
      <c r="T528" s="7"/>
      <c r="U528" s="7"/>
    </row>
    <row r="529" customFormat="false" ht="15" hidden="false" customHeight="false" outlineLevel="0" collapsed="false">
      <c r="A529" s="7" t="s">
        <v>9</v>
      </c>
      <c r="B529" s="7" t="s">
        <v>3965</v>
      </c>
      <c r="C529" s="7" t="s">
        <v>35</v>
      </c>
      <c r="D529" s="7" t="s">
        <v>3966</v>
      </c>
      <c r="E529" s="7" t="s">
        <v>3967</v>
      </c>
      <c r="F529" s="7" t="s">
        <v>1081</v>
      </c>
      <c r="G529" s="7" t="s">
        <v>3968</v>
      </c>
      <c r="H529" s="7" t="s">
        <v>68</v>
      </c>
      <c r="I529" s="10" t="n">
        <v>2800</v>
      </c>
      <c r="J529" s="7" t="s">
        <v>377</v>
      </c>
      <c r="K529" s="7"/>
      <c r="L529" s="7" t="s">
        <v>3969</v>
      </c>
      <c r="M529" s="7" t="s">
        <v>1807</v>
      </c>
      <c r="N529" s="7" t="s">
        <v>3970</v>
      </c>
      <c r="O529" s="7" t="s">
        <v>3971</v>
      </c>
      <c r="P529" s="7" t="s">
        <v>3972</v>
      </c>
      <c r="Q529" s="7"/>
      <c r="R529" s="7"/>
      <c r="S529" s="7"/>
      <c r="T529" s="7"/>
      <c r="U529" s="7"/>
    </row>
    <row r="530" customFormat="false" ht="15" hidden="false" customHeight="false" outlineLevel="0" collapsed="false">
      <c r="A530" s="7" t="s">
        <v>9</v>
      </c>
      <c r="B530" s="7" t="s">
        <v>3973</v>
      </c>
      <c r="C530" s="7" t="s">
        <v>35</v>
      </c>
      <c r="D530" s="7" t="s">
        <v>2069</v>
      </c>
      <c r="E530" s="7" t="s">
        <v>3974</v>
      </c>
      <c r="F530" s="7" t="s">
        <v>348</v>
      </c>
      <c r="G530" s="7" t="s">
        <v>3975</v>
      </c>
      <c r="H530" s="7" t="s">
        <v>68</v>
      </c>
      <c r="I530" s="10" t="n">
        <v>6000</v>
      </c>
      <c r="J530" s="7" t="s">
        <v>350</v>
      </c>
      <c r="K530" s="7"/>
      <c r="L530" s="7" t="s">
        <v>3976</v>
      </c>
      <c r="M530" s="7" t="s">
        <v>1807</v>
      </c>
      <c r="N530" s="7" t="s">
        <v>3977</v>
      </c>
      <c r="O530" s="7" t="s">
        <v>3978</v>
      </c>
      <c r="P530" s="7" t="s">
        <v>3979</v>
      </c>
      <c r="Q530" s="7"/>
      <c r="R530" s="7"/>
      <c r="S530" s="7"/>
      <c r="T530" s="7"/>
      <c r="U530" s="7"/>
    </row>
    <row r="531" customFormat="false" ht="15" hidden="false" customHeight="false" outlineLevel="0" collapsed="false">
      <c r="A531" s="7" t="s">
        <v>9</v>
      </c>
      <c r="B531" s="7" t="s">
        <v>3980</v>
      </c>
      <c r="C531" s="7" t="s">
        <v>35</v>
      </c>
      <c r="D531" s="7" t="s">
        <v>3981</v>
      </c>
      <c r="E531" s="7" t="s">
        <v>316</v>
      </c>
      <c r="F531" s="7" t="s">
        <v>105</v>
      </c>
      <c r="G531" s="7" t="s">
        <v>3982</v>
      </c>
      <c r="H531" s="7" t="s">
        <v>68</v>
      </c>
      <c r="I531" s="10" t="n">
        <v>1900</v>
      </c>
      <c r="J531" s="7" t="s">
        <v>377</v>
      </c>
      <c r="K531" s="7"/>
      <c r="L531" s="7" t="s">
        <v>3983</v>
      </c>
      <c r="M531" s="7" t="s">
        <v>1807</v>
      </c>
      <c r="N531" s="7" t="s">
        <v>3984</v>
      </c>
      <c r="O531" s="7" t="s">
        <v>3985</v>
      </c>
      <c r="P531" s="7" t="s">
        <v>3986</v>
      </c>
      <c r="Q531" s="7"/>
      <c r="R531" s="7"/>
      <c r="S531" s="7"/>
      <c r="T531" s="7"/>
      <c r="U531" s="7"/>
    </row>
    <row r="532" customFormat="false" ht="15" hidden="false" customHeight="false" outlineLevel="0" collapsed="false">
      <c r="A532" s="7" t="s">
        <v>9</v>
      </c>
      <c r="B532" s="7" t="s">
        <v>3987</v>
      </c>
      <c r="C532" s="7" t="s">
        <v>35</v>
      </c>
      <c r="D532" s="7" t="s">
        <v>3988</v>
      </c>
      <c r="E532" s="7" t="s">
        <v>1822</v>
      </c>
      <c r="F532" s="7" t="s">
        <v>66</v>
      </c>
      <c r="G532" s="7" t="s">
        <v>3989</v>
      </c>
      <c r="H532" s="7" t="s">
        <v>149</v>
      </c>
      <c r="I532" s="10" t="n">
        <v>2000</v>
      </c>
      <c r="J532" s="7" t="s">
        <v>377</v>
      </c>
      <c r="K532" s="7"/>
      <c r="L532" s="7" t="s">
        <v>3990</v>
      </c>
      <c r="M532" s="7" t="s">
        <v>1807</v>
      </c>
      <c r="N532" s="7" t="s">
        <v>3991</v>
      </c>
      <c r="O532" s="7" t="s">
        <v>3992</v>
      </c>
      <c r="P532" s="7" t="s">
        <v>3993</v>
      </c>
      <c r="Q532" s="7"/>
      <c r="R532" s="7"/>
      <c r="S532" s="7"/>
      <c r="T532" s="7"/>
      <c r="U532" s="7"/>
    </row>
    <row r="533" customFormat="false" ht="15" hidden="false" customHeight="false" outlineLevel="0" collapsed="false">
      <c r="A533" s="7" t="s">
        <v>9</v>
      </c>
      <c r="B533" s="7" t="s">
        <v>3994</v>
      </c>
      <c r="C533" s="7" t="s">
        <v>35</v>
      </c>
      <c r="D533" s="7" t="s">
        <v>3922</v>
      </c>
      <c r="E533" s="7" t="s">
        <v>445</v>
      </c>
      <c r="F533" s="7" t="s">
        <v>250</v>
      </c>
      <c r="G533" s="7" t="s">
        <v>3995</v>
      </c>
      <c r="H533" s="7" t="s">
        <v>149</v>
      </c>
      <c r="I533" s="10" t="n">
        <v>1200</v>
      </c>
      <c r="J533" s="7" t="s">
        <v>377</v>
      </c>
      <c r="K533" s="7"/>
      <c r="L533" s="7" t="s">
        <v>3996</v>
      </c>
      <c r="M533" s="7" t="s">
        <v>1807</v>
      </c>
      <c r="N533" s="7" t="s">
        <v>3997</v>
      </c>
      <c r="O533" s="7" t="s">
        <v>3998</v>
      </c>
      <c r="P533" s="7" t="s">
        <v>3999</v>
      </c>
      <c r="Q533" s="7"/>
      <c r="R533" s="7"/>
      <c r="S533" s="7"/>
      <c r="T533" s="7"/>
      <c r="U533" s="7"/>
    </row>
    <row r="534" customFormat="false" ht="15" hidden="false" customHeight="false" outlineLevel="0" collapsed="false">
      <c r="A534" s="7" t="s">
        <v>9</v>
      </c>
      <c r="B534" s="7" t="s">
        <v>4000</v>
      </c>
      <c r="C534" s="7" t="s">
        <v>35</v>
      </c>
      <c r="D534" s="7" t="s">
        <v>4001</v>
      </c>
      <c r="E534" s="7" t="s">
        <v>1245</v>
      </c>
      <c r="F534" s="7" t="s">
        <v>78</v>
      </c>
      <c r="G534" s="7" t="s">
        <v>4002</v>
      </c>
      <c r="H534" s="7" t="s">
        <v>149</v>
      </c>
      <c r="I534" s="10" t="n">
        <v>900</v>
      </c>
      <c r="J534" s="7" t="s">
        <v>377</v>
      </c>
      <c r="K534" s="7"/>
      <c r="L534" s="7" t="s">
        <v>4003</v>
      </c>
      <c r="M534" s="7" t="s">
        <v>1807</v>
      </c>
      <c r="N534" s="7" t="s">
        <v>4004</v>
      </c>
      <c r="O534" s="7" t="s">
        <v>4005</v>
      </c>
      <c r="P534" s="7" t="s">
        <v>4006</v>
      </c>
      <c r="Q534" s="7"/>
      <c r="R534" s="7"/>
      <c r="S534" s="7"/>
      <c r="T534" s="7"/>
      <c r="U534" s="7"/>
    </row>
    <row r="535" customFormat="false" ht="15" hidden="false" customHeight="false" outlineLevel="0" collapsed="false">
      <c r="A535" s="7" t="s">
        <v>9</v>
      </c>
      <c r="B535" s="7" t="s">
        <v>4007</v>
      </c>
      <c r="C535" s="7" t="s">
        <v>35</v>
      </c>
      <c r="D535" s="7" t="s">
        <v>4008</v>
      </c>
      <c r="E535" s="7" t="s">
        <v>4009</v>
      </c>
      <c r="F535" s="7" t="s">
        <v>222</v>
      </c>
      <c r="G535" s="7" t="s">
        <v>4010</v>
      </c>
      <c r="H535" s="7" t="s">
        <v>149</v>
      </c>
      <c r="I535" s="10" t="n">
        <v>1200</v>
      </c>
      <c r="J535" s="7" t="s">
        <v>350</v>
      </c>
      <c r="K535" s="7"/>
      <c r="L535" s="7" t="s">
        <v>4011</v>
      </c>
      <c r="M535" s="7" t="s">
        <v>1807</v>
      </c>
      <c r="N535" s="7" t="s">
        <v>4012</v>
      </c>
      <c r="O535" s="7" t="s">
        <v>2012</v>
      </c>
      <c r="P535" s="7" t="s">
        <v>4013</v>
      </c>
      <c r="Q535" s="7"/>
      <c r="R535" s="7"/>
      <c r="S535" s="7"/>
      <c r="T535" s="7"/>
      <c r="U535" s="7"/>
    </row>
    <row r="536" customFormat="false" ht="15" hidden="false" customHeight="false" outlineLevel="0" collapsed="false">
      <c r="A536" s="7" t="s">
        <v>9</v>
      </c>
      <c r="B536" s="7" t="s">
        <v>4014</v>
      </c>
      <c r="C536" s="7" t="s">
        <v>35</v>
      </c>
      <c r="D536" s="7" t="s">
        <v>4015</v>
      </c>
      <c r="E536" s="7" t="s">
        <v>65</v>
      </c>
      <c r="F536" s="7" t="s">
        <v>66</v>
      </c>
      <c r="G536" s="7" t="s">
        <v>4016</v>
      </c>
      <c r="H536" s="7" t="s">
        <v>149</v>
      </c>
      <c r="I536" s="10" t="n">
        <v>600</v>
      </c>
      <c r="J536" s="7" t="s">
        <v>350</v>
      </c>
      <c r="K536" s="7"/>
      <c r="L536" s="7" t="s">
        <v>4017</v>
      </c>
      <c r="M536" s="7" t="s">
        <v>1807</v>
      </c>
      <c r="N536" s="7" t="s">
        <v>4018</v>
      </c>
      <c r="O536" s="7"/>
      <c r="P536" s="7" t="s">
        <v>4019</v>
      </c>
      <c r="Q536" s="7"/>
      <c r="R536" s="7"/>
      <c r="S536" s="7"/>
      <c r="T536" s="7"/>
      <c r="U536" s="7"/>
    </row>
    <row r="537" customFormat="false" ht="15" hidden="false" customHeight="false" outlineLevel="0" collapsed="false">
      <c r="A537" s="7" t="s">
        <v>9</v>
      </c>
      <c r="B537" s="7" t="s">
        <v>4020</v>
      </c>
      <c r="C537" s="7" t="s">
        <v>35</v>
      </c>
      <c r="D537" s="7" t="s">
        <v>4021</v>
      </c>
      <c r="E537" s="7" t="s">
        <v>4022</v>
      </c>
      <c r="F537" s="7" t="s">
        <v>206</v>
      </c>
      <c r="G537" s="7" t="s">
        <v>4023</v>
      </c>
      <c r="H537" s="7" t="s">
        <v>149</v>
      </c>
      <c r="I537" s="10" t="n">
        <v>900</v>
      </c>
      <c r="J537" s="7" t="s">
        <v>377</v>
      </c>
      <c r="K537" s="7"/>
      <c r="L537" s="7" t="s">
        <v>4024</v>
      </c>
      <c r="M537" s="7" t="s">
        <v>1807</v>
      </c>
      <c r="N537" s="7" t="s">
        <v>4025</v>
      </c>
      <c r="O537" s="7" t="s">
        <v>4026</v>
      </c>
      <c r="P537" s="7" t="s">
        <v>4027</v>
      </c>
      <c r="Q537" s="7"/>
      <c r="R537" s="7"/>
      <c r="S537" s="7"/>
      <c r="T537" s="7"/>
      <c r="U537" s="7"/>
    </row>
    <row r="538" customFormat="false" ht="15" hidden="false" customHeight="false" outlineLevel="0" collapsed="false">
      <c r="A538" s="7" t="s">
        <v>9</v>
      </c>
      <c r="B538" s="7" t="s">
        <v>4028</v>
      </c>
      <c r="C538" s="7" t="s">
        <v>35</v>
      </c>
      <c r="D538" s="7" t="s">
        <v>3834</v>
      </c>
      <c r="E538" s="7" t="s">
        <v>1195</v>
      </c>
      <c r="F538" s="7" t="s">
        <v>206</v>
      </c>
      <c r="G538" s="7" t="s">
        <v>4029</v>
      </c>
      <c r="H538" s="7" t="s">
        <v>149</v>
      </c>
      <c r="I538" s="10" t="n">
        <v>2500</v>
      </c>
      <c r="J538" s="7" t="s">
        <v>350</v>
      </c>
      <c r="K538" s="7"/>
      <c r="L538" s="7" t="s">
        <v>4030</v>
      </c>
      <c r="M538" s="7" t="s">
        <v>1807</v>
      </c>
      <c r="N538" s="7" t="s">
        <v>4031</v>
      </c>
      <c r="O538" s="7" t="s">
        <v>4032</v>
      </c>
      <c r="P538" s="7" t="s">
        <v>4033</v>
      </c>
      <c r="Q538" s="7"/>
      <c r="R538" s="7"/>
      <c r="S538" s="7"/>
      <c r="T538" s="7"/>
      <c r="U538" s="7"/>
    </row>
    <row r="539" customFormat="false" ht="15" hidden="false" customHeight="false" outlineLevel="0" collapsed="false">
      <c r="A539" s="7" t="s">
        <v>9</v>
      </c>
      <c r="B539" s="7" t="s">
        <v>4034</v>
      </c>
      <c r="C539" s="7" t="s">
        <v>35</v>
      </c>
      <c r="D539" s="7" t="s">
        <v>4035</v>
      </c>
      <c r="E539" s="7" t="s">
        <v>1245</v>
      </c>
      <c r="F539" s="7" t="s">
        <v>78</v>
      </c>
      <c r="G539" s="7" t="s">
        <v>4036</v>
      </c>
      <c r="H539" s="7" t="s">
        <v>149</v>
      </c>
      <c r="I539" s="10" t="n">
        <v>1500</v>
      </c>
      <c r="J539" s="7" t="s">
        <v>350</v>
      </c>
      <c r="K539" s="7"/>
      <c r="L539" s="7" t="s">
        <v>4037</v>
      </c>
      <c r="M539" s="7" t="s">
        <v>1807</v>
      </c>
      <c r="N539" s="7" t="s">
        <v>4038</v>
      </c>
      <c r="O539" s="7"/>
      <c r="P539" s="7" t="s">
        <v>4039</v>
      </c>
      <c r="Q539" s="7"/>
      <c r="R539" s="7"/>
      <c r="S539" s="7"/>
      <c r="T539" s="7"/>
      <c r="U539" s="7"/>
    </row>
    <row r="540" customFormat="false" ht="15" hidden="false" customHeight="false" outlineLevel="0" collapsed="false">
      <c r="A540" s="7" t="s">
        <v>9</v>
      </c>
      <c r="B540" s="7" t="s">
        <v>4040</v>
      </c>
      <c r="C540" s="7" t="s">
        <v>35</v>
      </c>
      <c r="D540" s="7" t="s">
        <v>4041</v>
      </c>
      <c r="E540" s="7" t="s">
        <v>4042</v>
      </c>
      <c r="F540" s="7" t="s">
        <v>206</v>
      </c>
      <c r="G540" s="7" t="s">
        <v>4043</v>
      </c>
      <c r="H540" s="7" t="s">
        <v>149</v>
      </c>
      <c r="I540" s="10" t="n">
        <v>1200</v>
      </c>
      <c r="J540" s="7" t="s">
        <v>377</v>
      </c>
      <c r="K540" s="7"/>
      <c r="L540" s="7" t="s">
        <v>4044</v>
      </c>
      <c r="M540" s="7" t="s">
        <v>1807</v>
      </c>
      <c r="N540" s="7" t="s">
        <v>4045</v>
      </c>
      <c r="O540" s="7" t="s">
        <v>4046</v>
      </c>
      <c r="P540" s="7" t="s">
        <v>4047</v>
      </c>
      <c r="Q540" s="7"/>
      <c r="R540" s="7"/>
      <c r="S540" s="7"/>
      <c r="T540" s="7"/>
      <c r="U540" s="7"/>
    </row>
    <row r="541" customFormat="false" ht="15" hidden="false" customHeight="false" outlineLevel="0" collapsed="false">
      <c r="A541" s="7" t="s">
        <v>9</v>
      </c>
      <c r="B541" s="7" t="s">
        <v>4048</v>
      </c>
      <c r="C541" s="7" t="s">
        <v>35</v>
      </c>
      <c r="D541" s="7" t="s">
        <v>4049</v>
      </c>
      <c r="E541" s="7" t="s">
        <v>1245</v>
      </c>
      <c r="F541" s="7" t="s">
        <v>78</v>
      </c>
      <c r="G541" s="7" t="s">
        <v>4050</v>
      </c>
      <c r="H541" s="7" t="s">
        <v>149</v>
      </c>
      <c r="I541" s="10" t="n">
        <v>3000</v>
      </c>
      <c r="J541" s="7" t="s">
        <v>350</v>
      </c>
      <c r="K541" s="7"/>
      <c r="L541" s="7" t="s">
        <v>4051</v>
      </c>
      <c r="M541" s="7" t="s">
        <v>1807</v>
      </c>
      <c r="N541" s="7" t="s">
        <v>4052</v>
      </c>
      <c r="O541" s="7"/>
      <c r="P541" s="7" t="s">
        <v>4053</v>
      </c>
      <c r="Q541" s="7"/>
      <c r="R541" s="7"/>
      <c r="S541" s="7"/>
      <c r="T541" s="7"/>
      <c r="U541" s="7"/>
    </row>
    <row r="542" customFormat="false" ht="15" hidden="false" customHeight="false" outlineLevel="0" collapsed="false">
      <c r="A542" s="7" t="s">
        <v>9</v>
      </c>
      <c r="B542" s="7" t="s">
        <v>4054</v>
      </c>
      <c r="C542" s="7" t="s">
        <v>35</v>
      </c>
      <c r="D542" s="7" t="s">
        <v>4055</v>
      </c>
      <c r="E542" s="7" t="s">
        <v>1382</v>
      </c>
      <c r="F542" s="7" t="s">
        <v>348</v>
      </c>
      <c r="G542" s="7" t="s">
        <v>4056</v>
      </c>
      <c r="H542" s="7" t="s">
        <v>149</v>
      </c>
      <c r="I542" s="10" t="n">
        <v>1600</v>
      </c>
      <c r="J542" s="7" t="s">
        <v>377</v>
      </c>
      <c r="K542" s="7"/>
      <c r="L542" s="7" t="s">
        <v>4057</v>
      </c>
      <c r="M542" s="7" t="s">
        <v>1807</v>
      </c>
      <c r="N542" s="7" t="s">
        <v>4058</v>
      </c>
      <c r="O542" s="7" t="s">
        <v>4059</v>
      </c>
      <c r="P542" s="7" t="s">
        <v>4060</v>
      </c>
      <c r="Q542" s="7"/>
      <c r="R542" s="7"/>
      <c r="S542" s="7"/>
      <c r="T542" s="7"/>
      <c r="U542" s="7"/>
    </row>
    <row r="543" customFormat="false" ht="15" hidden="false" customHeight="false" outlineLevel="0" collapsed="false">
      <c r="A543" s="7" t="s">
        <v>9</v>
      </c>
      <c r="B543" s="7" t="s">
        <v>4061</v>
      </c>
      <c r="C543" s="7" t="s">
        <v>35</v>
      </c>
      <c r="D543" s="7" t="s">
        <v>4062</v>
      </c>
      <c r="E543" s="7" t="s">
        <v>515</v>
      </c>
      <c r="F543" s="7" t="s">
        <v>428</v>
      </c>
      <c r="G543" s="7" t="s">
        <v>4063</v>
      </c>
      <c r="H543" s="7" t="s">
        <v>149</v>
      </c>
      <c r="I543" s="10" t="n">
        <v>1000</v>
      </c>
      <c r="J543" s="7" t="s">
        <v>350</v>
      </c>
      <c r="K543" s="7"/>
      <c r="L543" s="7" t="s">
        <v>4064</v>
      </c>
      <c r="M543" s="7" t="s">
        <v>1807</v>
      </c>
      <c r="N543" s="7" t="s">
        <v>4065</v>
      </c>
      <c r="O543" s="7"/>
      <c r="P543" s="7" t="s">
        <v>4066</v>
      </c>
      <c r="Q543" s="7"/>
      <c r="R543" s="7"/>
      <c r="S543" s="7"/>
      <c r="T543" s="7"/>
      <c r="U543" s="7"/>
    </row>
    <row r="544" customFormat="false" ht="15" hidden="false" customHeight="false" outlineLevel="0" collapsed="false">
      <c r="A544" s="7" t="s">
        <v>9</v>
      </c>
      <c r="B544" s="7" t="s">
        <v>4067</v>
      </c>
      <c r="C544" s="7" t="s">
        <v>35</v>
      </c>
      <c r="D544" s="7" t="s">
        <v>4068</v>
      </c>
      <c r="E544" s="7" t="s">
        <v>316</v>
      </c>
      <c r="F544" s="7" t="s">
        <v>317</v>
      </c>
      <c r="G544" s="7" t="s">
        <v>4069</v>
      </c>
      <c r="H544" s="7" t="s">
        <v>149</v>
      </c>
      <c r="I544" s="10" t="n">
        <v>2000</v>
      </c>
      <c r="J544" s="7" t="s">
        <v>377</v>
      </c>
      <c r="K544" s="7"/>
      <c r="L544" s="7" t="s">
        <v>4070</v>
      </c>
      <c r="M544" s="7" t="s">
        <v>1807</v>
      </c>
      <c r="N544" s="7" t="s">
        <v>4071</v>
      </c>
      <c r="O544" s="7" t="s">
        <v>4072</v>
      </c>
      <c r="P544" s="7" t="s">
        <v>4073</v>
      </c>
      <c r="Q544" s="7"/>
      <c r="R544" s="7"/>
      <c r="S544" s="7"/>
      <c r="T544" s="7"/>
      <c r="U544" s="7"/>
    </row>
    <row r="545" customFormat="false" ht="15" hidden="false" customHeight="false" outlineLevel="0" collapsed="false">
      <c r="A545" s="7" t="s">
        <v>9</v>
      </c>
      <c r="B545" s="7" t="s">
        <v>4074</v>
      </c>
      <c r="C545" s="7" t="s">
        <v>35</v>
      </c>
      <c r="D545" s="7" t="s">
        <v>4075</v>
      </c>
      <c r="E545" s="7" t="s">
        <v>4076</v>
      </c>
      <c r="F545" s="7" t="s">
        <v>222</v>
      </c>
      <c r="G545" s="7" t="s">
        <v>4077</v>
      </c>
      <c r="H545" s="7" t="s">
        <v>149</v>
      </c>
      <c r="I545" s="10" t="n">
        <v>1500</v>
      </c>
      <c r="J545" s="7" t="s">
        <v>377</v>
      </c>
      <c r="K545" s="7"/>
      <c r="L545" s="7" t="s">
        <v>4078</v>
      </c>
      <c r="M545" s="7" t="s">
        <v>1855</v>
      </c>
      <c r="N545" s="7" t="s">
        <v>4079</v>
      </c>
      <c r="O545" s="7" t="s">
        <v>4080</v>
      </c>
      <c r="P545" s="7" t="s">
        <v>4081</v>
      </c>
      <c r="Q545" s="7"/>
      <c r="R545" s="7"/>
      <c r="S545" s="7"/>
      <c r="T545" s="7"/>
      <c r="U545" s="7"/>
    </row>
    <row r="546" customFormat="false" ht="15" hidden="false" customHeight="false" outlineLevel="0" collapsed="false">
      <c r="A546" s="7" t="s">
        <v>9</v>
      </c>
      <c r="B546" s="7" t="s">
        <v>4082</v>
      </c>
      <c r="C546" s="7" t="s">
        <v>35</v>
      </c>
      <c r="D546" s="7" t="s">
        <v>4083</v>
      </c>
      <c r="E546" s="7" t="s">
        <v>1321</v>
      </c>
      <c r="F546" s="7" t="s">
        <v>78</v>
      </c>
      <c r="G546" s="7" t="s">
        <v>4084</v>
      </c>
      <c r="H546" s="7" t="s">
        <v>149</v>
      </c>
      <c r="I546" s="10" t="n">
        <v>1500</v>
      </c>
      <c r="J546" s="7" t="s">
        <v>350</v>
      </c>
      <c r="K546" s="7"/>
      <c r="L546" s="7" t="s">
        <v>4085</v>
      </c>
      <c r="M546" s="7" t="s">
        <v>1807</v>
      </c>
      <c r="N546" s="7" t="s">
        <v>4086</v>
      </c>
      <c r="O546" s="7" t="s">
        <v>4087</v>
      </c>
      <c r="P546" s="7" t="s">
        <v>4088</v>
      </c>
      <c r="Q546" s="7"/>
      <c r="R546" s="7"/>
      <c r="S546" s="7"/>
      <c r="T546" s="7"/>
      <c r="U546" s="7"/>
    </row>
    <row r="547" customFormat="false" ht="15" hidden="false" customHeight="false" outlineLevel="0" collapsed="false">
      <c r="A547" s="7" t="s">
        <v>9</v>
      </c>
      <c r="B547" s="7" t="s">
        <v>4089</v>
      </c>
      <c r="C547" s="7" t="s">
        <v>35</v>
      </c>
      <c r="D547" s="7" t="s">
        <v>4090</v>
      </c>
      <c r="E547" s="7" t="s">
        <v>154</v>
      </c>
      <c r="F547" s="7" t="s">
        <v>155</v>
      </c>
      <c r="G547" s="7" t="s">
        <v>4091</v>
      </c>
      <c r="H547" s="7" t="s">
        <v>149</v>
      </c>
      <c r="I547" s="10" t="n">
        <v>1600</v>
      </c>
      <c r="J547" s="7" t="s">
        <v>377</v>
      </c>
      <c r="K547" s="7"/>
      <c r="L547" s="7" t="s">
        <v>4092</v>
      </c>
      <c r="M547" s="7" t="s">
        <v>1807</v>
      </c>
      <c r="N547" s="7" t="s">
        <v>4093</v>
      </c>
      <c r="O547" s="7" t="s">
        <v>4094</v>
      </c>
      <c r="P547" s="7" t="s">
        <v>4095</v>
      </c>
      <c r="Q547" s="7"/>
      <c r="R547" s="7"/>
      <c r="S547" s="7"/>
      <c r="T547" s="7"/>
      <c r="U547" s="7"/>
    </row>
    <row r="548" customFormat="false" ht="15" hidden="false" customHeight="false" outlineLevel="0" collapsed="false">
      <c r="A548" s="7" t="s">
        <v>9</v>
      </c>
      <c r="B548" s="7" t="s">
        <v>4096</v>
      </c>
      <c r="C548" s="7" t="s">
        <v>35</v>
      </c>
      <c r="D548" s="7" t="s">
        <v>4097</v>
      </c>
      <c r="E548" s="7" t="s">
        <v>112</v>
      </c>
      <c r="F548" s="7" t="s">
        <v>113</v>
      </c>
      <c r="G548" s="7" t="s">
        <v>4098</v>
      </c>
      <c r="H548" s="7" t="s">
        <v>149</v>
      </c>
      <c r="I548" s="10" t="n">
        <v>1500</v>
      </c>
      <c r="J548" s="7" t="s">
        <v>377</v>
      </c>
      <c r="K548" s="7"/>
      <c r="L548" s="7" t="s">
        <v>4099</v>
      </c>
      <c r="M548" s="7" t="s">
        <v>1807</v>
      </c>
      <c r="N548" s="7" t="s">
        <v>4100</v>
      </c>
      <c r="O548" s="7" t="s">
        <v>4101</v>
      </c>
      <c r="P548" s="7" t="s">
        <v>4102</v>
      </c>
      <c r="Q548" s="7"/>
      <c r="R548" s="7"/>
      <c r="S548" s="7"/>
      <c r="T548" s="7"/>
      <c r="U548" s="7"/>
    </row>
    <row r="549" customFormat="false" ht="15" hidden="false" customHeight="false" outlineLevel="0" collapsed="false">
      <c r="A549" s="7" t="s">
        <v>9</v>
      </c>
      <c r="B549" s="7" t="s">
        <v>4103</v>
      </c>
      <c r="C549" s="7" t="s">
        <v>35</v>
      </c>
      <c r="D549" s="7" t="s">
        <v>4104</v>
      </c>
      <c r="E549" s="7" t="s">
        <v>1245</v>
      </c>
      <c r="F549" s="7" t="s">
        <v>78</v>
      </c>
      <c r="G549" s="7" t="s">
        <v>4105</v>
      </c>
      <c r="H549" s="7" t="s">
        <v>149</v>
      </c>
      <c r="I549" s="10" t="n">
        <v>800</v>
      </c>
      <c r="J549" s="7" t="s">
        <v>350</v>
      </c>
      <c r="K549" s="7"/>
      <c r="L549" s="7" t="s">
        <v>4106</v>
      </c>
      <c r="M549" s="7" t="s">
        <v>1807</v>
      </c>
      <c r="N549" s="7" t="s">
        <v>4107</v>
      </c>
      <c r="O549" s="7" t="s">
        <v>4108</v>
      </c>
      <c r="P549" s="7" t="s">
        <v>4109</v>
      </c>
      <c r="Q549" s="7"/>
      <c r="R549" s="7"/>
      <c r="S549" s="7"/>
      <c r="T549" s="7"/>
      <c r="U549" s="7"/>
    </row>
    <row r="550" customFormat="false" ht="15" hidden="false" customHeight="false" outlineLevel="0" collapsed="false">
      <c r="A550" s="7" t="s">
        <v>9</v>
      </c>
      <c r="B550" s="7" t="s">
        <v>4110</v>
      </c>
      <c r="C550" s="7" t="s">
        <v>35</v>
      </c>
      <c r="D550" s="7" t="s">
        <v>4111</v>
      </c>
      <c r="E550" s="7" t="s">
        <v>249</v>
      </c>
      <c r="F550" s="7" t="s">
        <v>250</v>
      </c>
      <c r="G550" s="7" t="s">
        <v>4112</v>
      </c>
      <c r="H550" s="7" t="s">
        <v>149</v>
      </c>
      <c r="I550" s="10" t="n">
        <v>3500</v>
      </c>
      <c r="J550" s="7" t="s">
        <v>350</v>
      </c>
      <c r="K550" s="7"/>
      <c r="L550" s="7" t="s">
        <v>4113</v>
      </c>
      <c r="M550" s="7" t="s">
        <v>1807</v>
      </c>
      <c r="N550" s="7" t="s">
        <v>4114</v>
      </c>
      <c r="O550" s="7" t="s">
        <v>4115</v>
      </c>
      <c r="P550" s="7" t="s">
        <v>4116</v>
      </c>
      <c r="Q550" s="7"/>
      <c r="R550" s="7"/>
      <c r="S550" s="7"/>
      <c r="T550" s="7"/>
      <c r="U550" s="7"/>
    </row>
    <row r="551" customFormat="false" ht="15" hidden="false" customHeight="false" outlineLevel="0" collapsed="false">
      <c r="A551" s="7" t="s">
        <v>9</v>
      </c>
      <c r="B551" s="7" t="s">
        <v>4117</v>
      </c>
      <c r="C551" s="7" t="s">
        <v>35</v>
      </c>
      <c r="D551" s="7" t="s">
        <v>4118</v>
      </c>
      <c r="E551" s="7" t="s">
        <v>1245</v>
      </c>
      <c r="F551" s="7" t="s">
        <v>78</v>
      </c>
      <c r="G551" s="7" t="s">
        <v>4119</v>
      </c>
      <c r="H551" s="7" t="s">
        <v>174</v>
      </c>
      <c r="I551" s="10" t="n">
        <v>1200</v>
      </c>
      <c r="J551" s="7" t="s">
        <v>350</v>
      </c>
      <c r="K551" s="7"/>
      <c r="L551" s="7" t="s">
        <v>4120</v>
      </c>
      <c r="M551" s="7" t="s">
        <v>1807</v>
      </c>
      <c r="N551" s="7" t="s">
        <v>4121</v>
      </c>
      <c r="O551" s="7" t="s">
        <v>2012</v>
      </c>
      <c r="P551" s="7" t="s">
        <v>4122</v>
      </c>
      <c r="Q551" s="7"/>
      <c r="R551" s="7"/>
      <c r="S551" s="7"/>
      <c r="T551" s="7"/>
      <c r="U551" s="7"/>
    </row>
    <row r="552" customFormat="false" ht="15" hidden="false" customHeight="false" outlineLevel="0" collapsed="false">
      <c r="A552" s="7" t="s">
        <v>9</v>
      </c>
      <c r="B552" s="7" t="s">
        <v>4123</v>
      </c>
      <c r="C552" s="7" t="s">
        <v>35</v>
      </c>
      <c r="D552" s="7" t="s">
        <v>4124</v>
      </c>
      <c r="E552" s="7" t="s">
        <v>154</v>
      </c>
      <c r="F552" s="7" t="s">
        <v>155</v>
      </c>
      <c r="G552" s="7" t="s">
        <v>4125</v>
      </c>
      <c r="H552" s="7" t="s">
        <v>174</v>
      </c>
      <c r="I552" s="10" t="n">
        <v>800</v>
      </c>
      <c r="J552" s="7" t="s">
        <v>350</v>
      </c>
      <c r="K552" s="7"/>
      <c r="L552" s="7" t="s">
        <v>4126</v>
      </c>
      <c r="M552" s="7" t="s">
        <v>1807</v>
      </c>
      <c r="N552" s="7" t="s">
        <v>4127</v>
      </c>
      <c r="O552" s="7" t="s">
        <v>2012</v>
      </c>
      <c r="P552" s="7" t="s">
        <v>4128</v>
      </c>
      <c r="Q552" s="7"/>
      <c r="R552" s="7"/>
      <c r="S552" s="7"/>
      <c r="T552" s="7"/>
      <c r="U552" s="7"/>
    </row>
    <row r="553" customFormat="false" ht="15" hidden="false" customHeight="false" outlineLevel="0" collapsed="false">
      <c r="A553" s="7" t="s">
        <v>9</v>
      </c>
      <c r="B553" s="7" t="s">
        <v>4129</v>
      </c>
      <c r="C553" s="7" t="s">
        <v>35</v>
      </c>
      <c r="D553" s="7" t="s">
        <v>4130</v>
      </c>
      <c r="E553" s="7" t="s">
        <v>347</v>
      </c>
      <c r="F553" s="7" t="s">
        <v>348</v>
      </c>
      <c r="G553" s="7" t="s">
        <v>4131</v>
      </c>
      <c r="H553" s="7" t="s">
        <v>174</v>
      </c>
      <c r="I553" s="10" t="n">
        <v>700</v>
      </c>
      <c r="J553" s="7" t="s">
        <v>350</v>
      </c>
      <c r="K553" s="7"/>
      <c r="L553" s="7" t="s">
        <v>4132</v>
      </c>
      <c r="M553" s="7" t="s">
        <v>1807</v>
      </c>
      <c r="N553" s="7" t="s">
        <v>4133</v>
      </c>
      <c r="O553" s="7"/>
      <c r="P553" s="7" t="s">
        <v>4134</v>
      </c>
      <c r="Q553" s="7"/>
      <c r="R553" s="7"/>
      <c r="S553" s="7"/>
      <c r="T553" s="7"/>
      <c r="U553" s="7"/>
    </row>
    <row r="554" customFormat="false" ht="15" hidden="false" customHeight="false" outlineLevel="0" collapsed="false">
      <c r="A554" s="7" t="s">
        <v>9</v>
      </c>
      <c r="B554" s="7" t="s">
        <v>4135</v>
      </c>
      <c r="C554" s="7" t="s">
        <v>35</v>
      </c>
      <c r="D554" s="7" t="s">
        <v>4136</v>
      </c>
      <c r="E554" s="7" t="s">
        <v>3810</v>
      </c>
      <c r="F554" s="7" t="s">
        <v>78</v>
      </c>
      <c r="G554" s="7" t="s">
        <v>4137</v>
      </c>
      <c r="H554" s="7" t="s">
        <v>174</v>
      </c>
      <c r="I554" s="10" t="n">
        <v>800</v>
      </c>
      <c r="J554" s="7" t="s">
        <v>377</v>
      </c>
      <c r="K554" s="7"/>
      <c r="L554" s="7" t="s">
        <v>4138</v>
      </c>
      <c r="M554" s="7" t="s">
        <v>1807</v>
      </c>
      <c r="N554" s="7" t="s">
        <v>4139</v>
      </c>
      <c r="O554" s="7" t="s">
        <v>4140</v>
      </c>
      <c r="P554" s="7" t="s">
        <v>4141</v>
      </c>
      <c r="Q554" s="7"/>
      <c r="R554" s="7"/>
      <c r="S554" s="7"/>
      <c r="T554" s="7"/>
      <c r="U554" s="7"/>
    </row>
    <row r="555" customFormat="false" ht="15" hidden="false" customHeight="false" outlineLevel="0" collapsed="false">
      <c r="A555" s="7" t="s">
        <v>9</v>
      </c>
      <c r="B555" s="7" t="s">
        <v>4142</v>
      </c>
      <c r="C555" s="7" t="s">
        <v>35</v>
      </c>
      <c r="D555" s="7" t="s">
        <v>4143</v>
      </c>
      <c r="E555" s="7" t="s">
        <v>3392</v>
      </c>
      <c r="F555" s="7" t="s">
        <v>147</v>
      </c>
      <c r="G555" s="7" t="s">
        <v>4144</v>
      </c>
      <c r="H555" s="7" t="s">
        <v>174</v>
      </c>
      <c r="I555" s="10" t="n">
        <v>600</v>
      </c>
      <c r="J555" s="7" t="s">
        <v>386</v>
      </c>
      <c r="K555" s="7"/>
      <c r="L555" s="7" t="s">
        <v>4145</v>
      </c>
      <c r="M555" s="7" t="s">
        <v>1855</v>
      </c>
      <c r="N555" s="7" t="s">
        <v>4146</v>
      </c>
      <c r="O555" s="7" t="s">
        <v>4147</v>
      </c>
      <c r="P555" s="7" t="s">
        <v>2096</v>
      </c>
      <c r="Q555" s="7"/>
      <c r="R555" s="7"/>
      <c r="S555" s="7"/>
      <c r="T555" s="7"/>
      <c r="U555" s="7"/>
    </row>
    <row r="556" customFormat="false" ht="15" hidden="false" customHeight="false" outlineLevel="0" collapsed="false">
      <c r="A556" s="7" t="s">
        <v>9</v>
      </c>
      <c r="B556" s="7" t="s">
        <v>4148</v>
      </c>
      <c r="C556" s="7" t="s">
        <v>35</v>
      </c>
      <c r="D556" s="7" t="s">
        <v>4149</v>
      </c>
      <c r="E556" s="7" t="s">
        <v>4150</v>
      </c>
      <c r="F556" s="7" t="s">
        <v>78</v>
      </c>
      <c r="G556" s="7" t="s">
        <v>4151</v>
      </c>
      <c r="H556" s="7" t="s">
        <v>174</v>
      </c>
      <c r="I556" s="10" t="n">
        <v>700</v>
      </c>
      <c r="J556" s="7" t="s">
        <v>350</v>
      </c>
      <c r="K556" s="7"/>
      <c r="L556" s="7" t="s">
        <v>4152</v>
      </c>
      <c r="M556" s="7" t="s">
        <v>1807</v>
      </c>
      <c r="N556" s="7" t="s">
        <v>4153</v>
      </c>
      <c r="O556" s="7"/>
      <c r="P556" s="7" t="s">
        <v>4154</v>
      </c>
      <c r="Q556" s="7"/>
      <c r="R556" s="7"/>
      <c r="S556" s="7"/>
      <c r="T556" s="7"/>
      <c r="U556" s="7"/>
    </row>
    <row r="557" customFormat="false" ht="15" hidden="false" customHeight="false" outlineLevel="0" collapsed="false">
      <c r="A557" s="7" t="s">
        <v>9</v>
      </c>
      <c r="B557" s="7" t="s">
        <v>4155</v>
      </c>
      <c r="C557" s="7" t="s">
        <v>35</v>
      </c>
      <c r="D557" s="7" t="s">
        <v>4156</v>
      </c>
      <c r="E557" s="7" t="s">
        <v>4157</v>
      </c>
      <c r="F557" s="7" t="s">
        <v>328</v>
      </c>
      <c r="G557" s="7" t="s">
        <v>4158</v>
      </c>
      <c r="H557" s="7" t="s">
        <v>174</v>
      </c>
      <c r="I557" s="10" t="n">
        <v>400</v>
      </c>
      <c r="J557" s="7" t="s">
        <v>350</v>
      </c>
      <c r="K557" s="7"/>
      <c r="L557" s="7" t="s">
        <v>4159</v>
      </c>
      <c r="M557" s="7" t="s">
        <v>1807</v>
      </c>
      <c r="N557" s="7" t="s">
        <v>4160</v>
      </c>
      <c r="O557" s="7" t="s">
        <v>4161</v>
      </c>
      <c r="P557" s="7" t="s">
        <v>2096</v>
      </c>
      <c r="Q557" s="7"/>
      <c r="R557" s="7"/>
      <c r="S557" s="7"/>
      <c r="T557" s="7"/>
      <c r="U557" s="7"/>
    </row>
    <row r="558" customFormat="false" ht="15" hidden="false" customHeight="false" outlineLevel="0" collapsed="false">
      <c r="A558" s="7" t="s">
        <v>9</v>
      </c>
      <c r="B558" s="7" t="s">
        <v>4162</v>
      </c>
      <c r="C558" s="7" t="s">
        <v>35</v>
      </c>
      <c r="D558" s="7" t="s">
        <v>4163</v>
      </c>
      <c r="E558" s="7" t="s">
        <v>4164</v>
      </c>
      <c r="F558" s="7" t="s">
        <v>348</v>
      </c>
      <c r="G558" s="7" t="s">
        <v>4165</v>
      </c>
      <c r="H558" s="7" t="s">
        <v>174</v>
      </c>
      <c r="I558" s="10" t="n">
        <v>800</v>
      </c>
      <c r="J558" s="7" t="s">
        <v>377</v>
      </c>
      <c r="K558" s="7"/>
      <c r="L558" s="7" t="s">
        <v>4166</v>
      </c>
      <c r="M558" s="7" t="s">
        <v>1807</v>
      </c>
      <c r="N558" s="7" t="s">
        <v>4167</v>
      </c>
      <c r="O558" s="7" t="s">
        <v>4168</v>
      </c>
      <c r="P558" s="7" t="s">
        <v>4169</v>
      </c>
      <c r="Q558" s="7"/>
      <c r="R558" s="7"/>
      <c r="S558" s="7"/>
      <c r="T558" s="7"/>
      <c r="U558" s="7"/>
    </row>
    <row r="559" customFormat="false" ht="15" hidden="false" customHeight="false" outlineLevel="0" collapsed="false">
      <c r="A559" s="7" t="s">
        <v>9</v>
      </c>
      <c r="B559" s="7" t="s">
        <v>4170</v>
      </c>
      <c r="C559" s="7" t="s">
        <v>35</v>
      </c>
      <c r="D559" s="7" t="s">
        <v>4171</v>
      </c>
      <c r="E559" s="7" t="s">
        <v>797</v>
      </c>
      <c r="F559" s="7" t="s">
        <v>78</v>
      </c>
      <c r="G559" s="7" t="s">
        <v>4172</v>
      </c>
      <c r="H559" s="7" t="s">
        <v>174</v>
      </c>
      <c r="I559" s="10" t="n">
        <v>1000</v>
      </c>
      <c r="J559" s="7" t="s">
        <v>350</v>
      </c>
      <c r="K559" s="7"/>
      <c r="L559" s="7" t="s">
        <v>4173</v>
      </c>
      <c r="M559" s="7" t="s">
        <v>1807</v>
      </c>
      <c r="N559" s="7" t="s">
        <v>4174</v>
      </c>
      <c r="O559" s="7" t="s">
        <v>1991</v>
      </c>
      <c r="P559" s="7" t="s">
        <v>4175</v>
      </c>
      <c r="Q559" s="7"/>
      <c r="R559" s="7"/>
      <c r="S559" s="7"/>
      <c r="T559" s="7"/>
      <c r="U559" s="7"/>
    </row>
    <row r="560" customFormat="false" ht="15" hidden="false" customHeight="false" outlineLevel="0" collapsed="false">
      <c r="A560" s="7" t="s">
        <v>9</v>
      </c>
      <c r="B560" s="7" t="s">
        <v>4176</v>
      </c>
      <c r="C560" s="7" t="s">
        <v>35</v>
      </c>
      <c r="D560" s="7" t="s">
        <v>4177</v>
      </c>
      <c r="E560" s="7" t="s">
        <v>154</v>
      </c>
      <c r="F560" s="7" t="s">
        <v>155</v>
      </c>
      <c r="G560" s="7" t="s">
        <v>4178</v>
      </c>
      <c r="H560" s="7" t="s">
        <v>174</v>
      </c>
      <c r="I560" s="10" t="n">
        <v>700</v>
      </c>
      <c r="J560" s="7" t="s">
        <v>350</v>
      </c>
      <c r="K560" s="7"/>
      <c r="L560" s="7" t="s">
        <v>4179</v>
      </c>
      <c r="M560" s="7" t="s">
        <v>1807</v>
      </c>
      <c r="N560" s="7" t="s">
        <v>4180</v>
      </c>
      <c r="O560" s="7"/>
      <c r="P560" s="7" t="s">
        <v>4181</v>
      </c>
      <c r="Q560" s="7"/>
      <c r="R560" s="7"/>
      <c r="S560" s="7"/>
      <c r="T560" s="7"/>
      <c r="U560" s="7"/>
    </row>
    <row r="561" customFormat="false" ht="15" hidden="false" customHeight="false" outlineLevel="0" collapsed="false">
      <c r="A561" s="7" t="s">
        <v>9</v>
      </c>
      <c r="B561" s="7" t="s">
        <v>4182</v>
      </c>
      <c r="C561" s="7" t="s">
        <v>35</v>
      </c>
      <c r="D561" s="7" t="s">
        <v>4083</v>
      </c>
      <c r="E561" s="7" t="s">
        <v>515</v>
      </c>
      <c r="F561" s="7" t="s">
        <v>428</v>
      </c>
      <c r="G561" s="7" t="s">
        <v>4183</v>
      </c>
      <c r="H561" s="7" t="s">
        <v>174</v>
      </c>
      <c r="I561" s="10" t="n">
        <v>1000</v>
      </c>
      <c r="J561" s="7" t="s">
        <v>350</v>
      </c>
      <c r="K561" s="7"/>
      <c r="L561" s="7" t="s">
        <v>4184</v>
      </c>
      <c r="M561" s="7" t="s">
        <v>1807</v>
      </c>
      <c r="N561" s="7" t="s">
        <v>4185</v>
      </c>
      <c r="O561" s="7" t="s">
        <v>4186</v>
      </c>
      <c r="P561" s="7" t="s">
        <v>4187</v>
      </c>
      <c r="Q561" s="7"/>
      <c r="R561" s="7"/>
      <c r="S561" s="7"/>
      <c r="T561" s="7"/>
      <c r="U561" s="7"/>
    </row>
    <row r="562" customFormat="false" ht="15" hidden="false" customHeight="false" outlineLevel="0" collapsed="false">
      <c r="A562" s="7" t="s">
        <v>9</v>
      </c>
      <c r="B562" s="7" t="s">
        <v>4188</v>
      </c>
      <c r="C562" s="7" t="s">
        <v>35</v>
      </c>
      <c r="D562" s="7" t="s">
        <v>4189</v>
      </c>
      <c r="E562" s="7" t="s">
        <v>1321</v>
      </c>
      <c r="F562" s="7" t="s">
        <v>78</v>
      </c>
      <c r="G562" s="7" t="s">
        <v>4190</v>
      </c>
      <c r="H562" s="7" t="s">
        <v>174</v>
      </c>
      <c r="I562" s="10" t="n">
        <v>800</v>
      </c>
      <c r="J562" s="7" t="s">
        <v>350</v>
      </c>
      <c r="K562" s="7"/>
      <c r="L562" s="7" t="s">
        <v>4191</v>
      </c>
      <c r="M562" s="7" t="s">
        <v>1807</v>
      </c>
      <c r="N562" s="7" t="s">
        <v>4192</v>
      </c>
      <c r="O562" s="7" t="s">
        <v>4087</v>
      </c>
      <c r="P562" s="7" t="s">
        <v>4193</v>
      </c>
      <c r="Q562" s="7"/>
      <c r="R562" s="7"/>
      <c r="S562" s="7"/>
      <c r="T562" s="7"/>
      <c r="U562" s="7"/>
    </row>
    <row r="563" customFormat="false" ht="15" hidden="false" customHeight="false" outlineLevel="0" collapsed="false">
      <c r="A563" s="7" t="s">
        <v>9</v>
      </c>
      <c r="B563" s="7" t="s">
        <v>4194</v>
      </c>
      <c r="C563" s="7" t="s">
        <v>35</v>
      </c>
      <c r="D563" s="7" t="s">
        <v>4130</v>
      </c>
      <c r="E563" s="7" t="s">
        <v>1245</v>
      </c>
      <c r="F563" s="7" t="s">
        <v>78</v>
      </c>
      <c r="G563" s="7" t="s">
        <v>4195</v>
      </c>
      <c r="H563" s="7" t="s">
        <v>174</v>
      </c>
      <c r="I563" s="10" t="n">
        <v>1500</v>
      </c>
      <c r="J563" s="7" t="s">
        <v>350</v>
      </c>
      <c r="K563" s="7"/>
      <c r="L563" s="7" t="s">
        <v>4196</v>
      </c>
      <c r="M563" s="7" t="s">
        <v>1807</v>
      </c>
      <c r="N563" s="7" t="s">
        <v>4197</v>
      </c>
      <c r="O563" s="7"/>
      <c r="P563" s="7" t="s">
        <v>4198</v>
      </c>
      <c r="Q563" s="7"/>
      <c r="R563" s="7"/>
      <c r="S563" s="7"/>
      <c r="T563" s="7"/>
      <c r="U563" s="7"/>
    </row>
    <row r="564" customFormat="false" ht="15" hidden="false" customHeight="false" outlineLevel="0" collapsed="false">
      <c r="A564" s="7" t="s">
        <v>9</v>
      </c>
      <c r="B564" s="7" t="s">
        <v>4199</v>
      </c>
      <c r="C564" s="7" t="s">
        <v>35</v>
      </c>
      <c r="D564" s="7" t="s">
        <v>4200</v>
      </c>
      <c r="E564" s="7" t="s">
        <v>1245</v>
      </c>
      <c r="F564" s="7" t="s">
        <v>78</v>
      </c>
      <c r="G564" s="7" t="s">
        <v>4201</v>
      </c>
      <c r="H564" s="7" t="s">
        <v>174</v>
      </c>
      <c r="I564" s="10" t="n">
        <v>700</v>
      </c>
      <c r="J564" s="7" t="s">
        <v>350</v>
      </c>
      <c r="K564" s="7"/>
      <c r="L564" s="7" t="s">
        <v>4202</v>
      </c>
      <c r="M564" s="7" t="s">
        <v>1807</v>
      </c>
      <c r="N564" s="7" t="s">
        <v>4203</v>
      </c>
      <c r="O564" s="7" t="s">
        <v>2012</v>
      </c>
      <c r="P564" s="7" t="s">
        <v>4204</v>
      </c>
      <c r="Q564" s="7"/>
      <c r="R564" s="7"/>
      <c r="S564" s="7"/>
      <c r="T564" s="7"/>
      <c r="U564" s="7"/>
    </row>
    <row r="565" customFormat="false" ht="15" hidden="false" customHeight="false" outlineLevel="0" collapsed="false">
      <c r="A565" s="7" t="s">
        <v>9</v>
      </c>
      <c r="B565" s="7" t="s">
        <v>4205</v>
      </c>
      <c r="C565" s="7" t="s">
        <v>35</v>
      </c>
      <c r="D565" s="7" t="s">
        <v>2237</v>
      </c>
      <c r="E565" s="7" t="s">
        <v>2153</v>
      </c>
      <c r="F565" s="7" t="s">
        <v>78</v>
      </c>
      <c r="G565" s="7" t="s">
        <v>4206</v>
      </c>
      <c r="H565" s="7" t="s">
        <v>174</v>
      </c>
      <c r="I565" s="10" t="n">
        <v>900</v>
      </c>
      <c r="J565" s="7" t="s">
        <v>350</v>
      </c>
      <c r="K565" s="7"/>
      <c r="L565" s="7" t="s">
        <v>4207</v>
      </c>
      <c r="M565" s="7" t="s">
        <v>1807</v>
      </c>
      <c r="N565" s="7" t="s">
        <v>4208</v>
      </c>
      <c r="O565" s="7"/>
      <c r="P565" s="7" t="s">
        <v>4209</v>
      </c>
      <c r="Q565" s="7"/>
      <c r="R565" s="7"/>
      <c r="S565" s="7"/>
      <c r="T565" s="7"/>
      <c r="U565" s="7"/>
    </row>
    <row r="566" customFormat="false" ht="15" hidden="false" customHeight="false" outlineLevel="0" collapsed="false">
      <c r="A566" s="7" t="s">
        <v>9</v>
      </c>
      <c r="B566" s="7" t="s">
        <v>4210</v>
      </c>
      <c r="C566" s="7" t="s">
        <v>35</v>
      </c>
      <c r="D566" s="7" t="s">
        <v>4189</v>
      </c>
      <c r="E566" s="7" t="s">
        <v>4211</v>
      </c>
      <c r="F566" s="7" t="s">
        <v>600</v>
      </c>
      <c r="G566" s="7" t="s">
        <v>4212</v>
      </c>
      <c r="H566" s="7" t="s">
        <v>174</v>
      </c>
      <c r="I566" s="10" t="n">
        <v>900</v>
      </c>
      <c r="J566" s="7" t="s">
        <v>350</v>
      </c>
      <c r="K566" s="7"/>
      <c r="L566" s="7" t="s">
        <v>4213</v>
      </c>
      <c r="M566" s="7" t="s">
        <v>1807</v>
      </c>
      <c r="N566" s="7" t="s">
        <v>4214</v>
      </c>
      <c r="O566" s="7" t="s">
        <v>4215</v>
      </c>
      <c r="P566" s="7" t="s">
        <v>4216</v>
      </c>
      <c r="Q566" s="7"/>
      <c r="R566" s="7"/>
      <c r="S566" s="7"/>
      <c r="T566" s="7"/>
      <c r="U566" s="7"/>
    </row>
    <row r="567" customFormat="false" ht="15" hidden="false" customHeight="false" outlineLevel="0" collapsed="false">
      <c r="A567" s="7" t="s">
        <v>9</v>
      </c>
      <c r="B567" s="7" t="s">
        <v>4217</v>
      </c>
      <c r="C567" s="7" t="s">
        <v>35</v>
      </c>
      <c r="D567" s="7" t="s">
        <v>4218</v>
      </c>
      <c r="E567" s="7" t="s">
        <v>1245</v>
      </c>
      <c r="F567" s="7" t="s">
        <v>78</v>
      </c>
      <c r="G567" s="7" t="s">
        <v>4219</v>
      </c>
      <c r="H567" s="7" t="s">
        <v>174</v>
      </c>
      <c r="I567" s="10" t="n">
        <v>600</v>
      </c>
      <c r="J567" s="7" t="s">
        <v>350</v>
      </c>
      <c r="K567" s="7"/>
      <c r="L567" s="7" t="s">
        <v>4220</v>
      </c>
      <c r="M567" s="7" t="s">
        <v>1807</v>
      </c>
      <c r="N567" s="7" t="s">
        <v>4221</v>
      </c>
      <c r="O567" s="7" t="s">
        <v>4222</v>
      </c>
      <c r="P567" s="7" t="s">
        <v>4223</v>
      </c>
      <c r="Q567" s="7"/>
      <c r="R567" s="7"/>
      <c r="S567" s="7"/>
      <c r="T567" s="7"/>
      <c r="U567" s="7"/>
    </row>
    <row r="568" customFormat="false" ht="15" hidden="false" customHeight="false" outlineLevel="0" collapsed="false">
      <c r="A568" s="7" t="s">
        <v>9</v>
      </c>
      <c r="B568" s="7" t="s">
        <v>4224</v>
      </c>
      <c r="C568" s="7" t="s">
        <v>35</v>
      </c>
      <c r="D568" s="7" t="s">
        <v>4225</v>
      </c>
      <c r="E568" s="7" t="s">
        <v>557</v>
      </c>
      <c r="F568" s="7" t="s">
        <v>78</v>
      </c>
      <c r="G568" s="7" t="s">
        <v>4226</v>
      </c>
      <c r="H568" s="7" t="s">
        <v>174</v>
      </c>
      <c r="I568" s="10" t="n">
        <v>900</v>
      </c>
      <c r="J568" s="7" t="s">
        <v>386</v>
      </c>
      <c r="K568" s="7"/>
      <c r="L568" s="7" t="s">
        <v>4227</v>
      </c>
      <c r="M568" s="7" t="s">
        <v>1807</v>
      </c>
      <c r="N568" s="7" t="s">
        <v>4228</v>
      </c>
      <c r="O568" s="7" t="s">
        <v>4229</v>
      </c>
      <c r="P568" s="7" t="s">
        <v>4230</v>
      </c>
      <c r="Q568" s="7"/>
      <c r="R568" s="7"/>
      <c r="S568" s="7"/>
      <c r="T568" s="7"/>
      <c r="U568" s="7"/>
    </row>
    <row r="569" customFormat="false" ht="15" hidden="false" customHeight="false" outlineLevel="0" collapsed="false">
      <c r="A569" s="7" t="s">
        <v>9</v>
      </c>
      <c r="B569" s="7" t="s">
        <v>4231</v>
      </c>
      <c r="C569" s="7" t="s">
        <v>35</v>
      </c>
      <c r="D569" s="7" t="s">
        <v>4232</v>
      </c>
      <c r="E569" s="7" t="s">
        <v>4233</v>
      </c>
      <c r="F569" s="7" t="s">
        <v>338</v>
      </c>
      <c r="G569" s="7" t="s">
        <v>4234</v>
      </c>
      <c r="H569" s="7" t="s">
        <v>174</v>
      </c>
      <c r="I569" s="10" t="n">
        <v>1500</v>
      </c>
      <c r="J569" s="7" t="s">
        <v>350</v>
      </c>
      <c r="K569" s="7"/>
      <c r="L569" s="7" t="s">
        <v>4235</v>
      </c>
      <c r="M569" s="7" t="s">
        <v>1807</v>
      </c>
      <c r="N569" s="7" t="s">
        <v>4236</v>
      </c>
      <c r="O569" s="7" t="s">
        <v>1991</v>
      </c>
      <c r="P569" s="7" t="s">
        <v>4237</v>
      </c>
      <c r="Q569" s="7"/>
      <c r="R569" s="7"/>
      <c r="S569" s="7"/>
      <c r="T569" s="7"/>
      <c r="U569" s="7"/>
    </row>
    <row r="570" customFormat="false" ht="15" hidden="false" customHeight="false" outlineLevel="0" collapsed="false">
      <c r="A570" s="7" t="s">
        <v>9</v>
      </c>
      <c r="B570" s="7" t="s">
        <v>4238</v>
      </c>
      <c r="C570" s="7" t="s">
        <v>35</v>
      </c>
      <c r="D570" s="7" t="s">
        <v>4239</v>
      </c>
      <c r="E570" s="7" t="s">
        <v>1195</v>
      </c>
      <c r="F570" s="7" t="s">
        <v>206</v>
      </c>
      <c r="G570" s="7" t="s">
        <v>4240</v>
      </c>
      <c r="H570" s="7" t="s">
        <v>174</v>
      </c>
      <c r="I570" s="10" t="n">
        <v>1200</v>
      </c>
      <c r="J570" s="7" t="s">
        <v>350</v>
      </c>
      <c r="K570" s="7"/>
      <c r="L570" s="7" t="s">
        <v>4241</v>
      </c>
      <c r="M570" s="7" t="s">
        <v>1807</v>
      </c>
      <c r="N570" s="7" t="s">
        <v>4242</v>
      </c>
      <c r="O570" s="7"/>
      <c r="P570" s="7" t="s">
        <v>4243</v>
      </c>
      <c r="Q570" s="7"/>
      <c r="R570" s="7"/>
      <c r="S570" s="7"/>
      <c r="T570" s="7"/>
      <c r="U570" s="7"/>
    </row>
    <row r="571" customFormat="false" ht="15" hidden="false" customHeight="false" outlineLevel="0" collapsed="false">
      <c r="A571" s="7" t="s">
        <v>9</v>
      </c>
      <c r="B571" s="7" t="s">
        <v>4244</v>
      </c>
      <c r="C571" s="7" t="s">
        <v>35</v>
      </c>
      <c r="D571" s="7" t="s">
        <v>4245</v>
      </c>
      <c r="E571" s="7" t="s">
        <v>420</v>
      </c>
      <c r="F571" s="7" t="s">
        <v>78</v>
      </c>
      <c r="G571" s="7" t="s">
        <v>4246</v>
      </c>
      <c r="H571" s="7" t="s">
        <v>174</v>
      </c>
      <c r="I571" s="10" t="n">
        <v>1200</v>
      </c>
      <c r="J571" s="7" t="s">
        <v>350</v>
      </c>
      <c r="K571" s="7"/>
      <c r="L571" s="7" t="s">
        <v>4247</v>
      </c>
      <c r="M571" s="7" t="s">
        <v>1826</v>
      </c>
      <c r="N571" s="7" t="s">
        <v>4248</v>
      </c>
      <c r="O571" s="7" t="s">
        <v>4249</v>
      </c>
      <c r="P571" s="7" t="s">
        <v>4250</v>
      </c>
      <c r="Q571" s="7"/>
      <c r="R571" s="7"/>
      <c r="S571" s="7"/>
      <c r="T571" s="7"/>
      <c r="U571" s="7"/>
    </row>
    <row r="572" customFormat="false" ht="15" hidden="false" customHeight="false" outlineLevel="0" collapsed="false">
      <c r="A572" s="7" t="s">
        <v>9</v>
      </c>
      <c r="B572" s="7" t="s">
        <v>4251</v>
      </c>
      <c r="C572" s="7" t="s">
        <v>35</v>
      </c>
      <c r="D572" s="7" t="s">
        <v>4252</v>
      </c>
      <c r="E572" s="7" t="s">
        <v>4253</v>
      </c>
      <c r="F572" s="7" t="s">
        <v>78</v>
      </c>
      <c r="G572" s="7" t="s">
        <v>4254</v>
      </c>
      <c r="H572" s="7" t="s">
        <v>174</v>
      </c>
      <c r="I572" s="10" t="n">
        <v>1000</v>
      </c>
      <c r="J572" s="7" t="s">
        <v>350</v>
      </c>
      <c r="K572" s="7"/>
      <c r="L572" s="7" t="s">
        <v>4255</v>
      </c>
      <c r="M572" s="7" t="s">
        <v>1807</v>
      </c>
      <c r="N572" s="7" t="s">
        <v>4256</v>
      </c>
      <c r="O572" s="7" t="s">
        <v>4257</v>
      </c>
      <c r="P572" s="7" t="s">
        <v>4258</v>
      </c>
      <c r="Q572" s="7"/>
      <c r="R572" s="7"/>
      <c r="S572" s="7"/>
      <c r="T572" s="7"/>
      <c r="U572" s="7"/>
    </row>
    <row r="573" customFormat="false" ht="15" hidden="false" customHeight="false" outlineLevel="0" collapsed="false">
      <c r="A573" s="7" t="s">
        <v>9</v>
      </c>
      <c r="B573" s="7" t="s">
        <v>4259</v>
      </c>
      <c r="C573" s="7" t="s">
        <v>35</v>
      </c>
      <c r="D573" s="7" t="s">
        <v>4260</v>
      </c>
      <c r="E573" s="7" t="s">
        <v>264</v>
      </c>
      <c r="F573" s="7" t="s">
        <v>250</v>
      </c>
      <c r="G573" s="7" t="s">
        <v>4261</v>
      </c>
      <c r="H573" s="7" t="s">
        <v>174</v>
      </c>
      <c r="I573" s="10" t="n">
        <v>900</v>
      </c>
      <c r="J573" s="7" t="s">
        <v>377</v>
      </c>
      <c r="K573" s="7"/>
      <c r="L573" s="7" t="s">
        <v>4262</v>
      </c>
      <c r="M573" s="7" t="s">
        <v>1855</v>
      </c>
      <c r="N573" s="7" t="s">
        <v>4263</v>
      </c>
      <c r="O573" s="7" t="s">
        <v>4264</v>
      </c>
      <c r="P573" s="7" t="s">
        <v>4265</v>
      </c>
      <c r="Q573" s="7"/>
      <c r="R573" s="7"/>
      <c r="S573" s="7"/>
      <c r="T573" s="7"/>
      <c r="U573" s="7"/>
    </row>
    <row r="574" customFormat="false" ht="15" hidden="false" customHeight="false" outlineLevel="0" collapsed="false">
      <c r="A574" s="7" t="s">
        <v>9</v>
      </c>
      <c r="B574" s="7" t="s">
        <v>4266</v>
      </c>
      <c r="C574" s="7" t="s">
        <v>35</v>
      </c>
      <c r="D574" s="7" t="s">
        <v>4267</v>
      </c>
      <c r="E574" s="7" t="s">
        <v>1195</v>
      </c>
      <c r="F574" s="7" t="s">
        <v>206</v>
      </c>
      <c r="G574" s="7" t="s">
        <v>4268</v>
      </c>
      <c r="H574" s="7" t="s">
        <v>174</v>
      </c>
      <c r="I574" s="10" t="n">
        <v>1000</v>
      </c>
      <c r="J574" s="7" t="s">
        <v>377</v>
      </c>
      <c r="K574" s="7"/>
      <c r="L574" s="7" t="s">
        <v>4269</v>
      </c>
      <c r="M574" s="7" t="s">
        <v>1807</v>
      </c>
      <c r="N574" s="7" t="s">
        <v>4270</v>
      </c>
      <c r="O574" s="7" t="s">
        <v>4271</v>
      </c>
      <c r="P574" s="7" t="s">
        <v>4272</v>
      </c>
      <c r="Q574" s="7"/>
      <c r="R574" s="7"/>
      <c r="S574" s="7"/>
      <c r="T574" s="7"/>
      <c r="U574" s="7"/>
    </row>
    <row r="575" customFormat="false" ht="15" hidden="false" customHeight="false" outlineLevel="0" collapsed="false">
      <c r="A575" s="7" t="s">
        <v>9</v>
      </c>
      <c r="B575" s="7" t="s">
        <v>4273</v>
      </c>
      <c r="C575" s="7" t="s">
        <v>35</v>
      </c>
      <c r="D575" s="7" t="s">
        <v>4177</v>
      </c>
      <c r="E575" s="7" t="s">
        <v>154</v>
      </c>
      <c r="F575" s="7" t="s">
        <v>155</v>
      </c>
      <c r="G575" s="7" t="s">
        <v>4274</v>
      </c>
      <c r="H575" s="7" t="s">
        <v>174</v>
      </c>
      <c r="I575" s="10" t="n">
        <v>1200</v>
      </c>
      <c r="J575" s="7" t="s">
        <v>350</v>
      </c>
      <c r="K575" s="7"/>
      <c r="L575" s="7" t="s">
        <v>4275</v>
      </c>
      <c r="M575" s="7" t="s">
        <v>1807</v>
      </c>
      <c r="N575" s="7" t="s">
        <v>4276</v>
      </c>
      <c r="O575" s="7"/>
      <c r="P575" s="7" t="s">
        <v>4277</v>
      </c>
      <c r="Q575" s="7"/>
      <c r="R575" s="7"/>
      <c r="S575" s="7"/>
      <c r="T575" s="7"/>
      <c r="U575" s="7"/>
    </row>
    <row r="576" customFormat="false" ht="15" hidden="false" customHeight="false" outlineLevel="0" collapsed="false">
      <c r="A576" s="7" t="s">
        <v>9</v>
      </c>
      <c r="B576" s="7" t="s">
        <v>4278</v>
      </c>
      <c r="C576" s="7" t="s">
        <v>36</v>
      </c>
      <c r="D576" s="7" t="s">
        <v>4279</v>
      </c>
      <c r="E576" s="7" t="s">
        <v>4280</v>
      </c>
      <c r="F576" s="7" t="s">
        <v>250</v>
      </c>
      <c r="G576" s="7" t="s">
        <v>4281</v>
      </c>
      <c r="H576" s="7" t="s">
        <v>68</v>
      </c>
      <c r="I576" s="10" t="n">
        <v>900</v>
      </c>
      <c r="J576" s="7" t="s">
        <v>386</v>
      </c>
      <c r="K576" s="7"/>
      <c r="L576" s="7"/>
      <c r="M576" s="7" t="s">
        <v>4282</v>
      </c>
      <c r="N576" s="7" t="s">
        <v>4283</v>
      </c>
      <c r="O576" s="7" t="s">
        <v>4284</v>
      </c>
      <c r="P576" s="7" t="s">
        <v>2342</v>
      </c>
      <c r="Q576" s="7"/>
      <c r="R576" s="7"/>
      <c r="S576" s="7"/>
      <c r="T576" s="7"/>
      <c r="U576" s="7"/>
    </row>
    <row r="577" customFormat="false" ht="15" hidden="false" customHeight="false" outlineLevel="0" collapsed="false">
      <c r="A577" s="7" t="s">
        <v>9</v>
      </c>
      <c r="B577" s="7" t="s">
        <v>4285</v>
      </c>
      <c r="C577" s="7" t="s">
        <v>36</v>
      </c>
      <c r="D577" s="7" t="s">
        <v>4286</v>
      </c>
      <c r="E577" s="7" t="s">
        <v>4287</v>
      </c>
      <c r="F577" s="7" t="s">
        <v>113</v>
      </c>
      <c r="G577" s="7" t="s">
        <v>4288</v>
      </c>
      <c r="H577" s="7" t="s">
        <v>68</v>
      </c>
      <c r="I577" s="10" t="n">
        <v>2500</v>
      </c>
      <c r="J577" s="7" t="s">
        <v>350</v>
      </c>
      <c r="K577" s="7"/>
      <c r="L577" s="7"/>
      <c r="M577" s="7" t="s">
        <v>4289</v>
      </c>
      <c r="N577" s="7" t="s">
        <v>4290</v>
      </c>
      <c r="O577" s="7" t="s">
        <v>4291</v>
      </c>
      <c r="P577" s="7" t="s">
        <v>2342</v>
      </c>
      <c r="Q577" s="7"/>
      <c r="R577" s="7"/>
      <c r="S577" s="7"/>
      <c r="T577" s="7"/>
      <c r="U577" s="7"/>
    </row>
  </sheetData>
  <autoFilter ref="A1:U5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7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34"/>
    <col collapsed="false" customWidth="true" hidden="false" outlineLevel="0" max="13" min="13" style="0" width="50"/>
    <col collapsed="false" customWidth="true" hidden="false" outlineLevel="0" max="15" min="14" style="0" width="30"/>
  </cols>
  <sheetData>
    <row r="1" customFormat="false" ht="15" hidden="false" customHeight="false" outlineLevel="0" collapsed="false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  <c r="I1" s="8" t="s">
        <v>51</v>
      </c>
      <c r="J1" s="8" t="s">
        <v>52</v>
      </c>
      <c r="K1" s="8" t="s">
        <v>53</v>
      </c>
      <c r="L1" s="8" t="s">
        <v>54</v>
      </c>
      <c r="M1" s="8" t="s">
        <v>55</v>
      </c>
      <c r="N1" s="8" t="s">
        <v>56</v>
      </c>
      <c r="O1" s="8" t="s">
        <v>57</v>
      </c>
    </row>
    <row r="2" customFormat="false" ht="15" hidden="false" customHeight="false" outlineLevel="0" collapsed="false">
      <c r="A2" s="7" t="s">
        <v>4292</v>
      </c>
      <c r="B2" s="7" t="s">
        <v>23</v>
      </c>
      <c r="C2" s="7" t="s">
        <v>2358</v>
      </c>
      <c r="D2" s="7" t="s">
        <v>1599</v>
      </c>
      <c r="E2" s="7" t="s">
        <v>78</v>
      </c>
      <c r="F2" s="7" t="s">
        <v>4293</v>
      </c>
      <c r="G2" s="7" t="s">
        <v>149</v>
      </c>
      <c r="H2" s="10" t="n">
        <v>900</v>
      </c>
      <c r="I2" s="7" t="s">
        <v>350</v>
      </c>
      <c r="J2" s="7"/>
      <c r="K2" s="7"/>
      <c r="L2" s="7" t="s">
        <v>177</v>
      </c>
      <c r="M2" s="7"/>
      <c r="N2" s="7" t="s">
        <v>4294</v>
      </c>
      <c r="O2" s="7" t="s">
        <v>84</v>
      </c>
    </row>
    <row r="3" customFormat="false" ht="15" hidden="false" customHeight="false" outlineLevel="0" collapsed="false">
      <c r="A3" s="7" t="s">
        <v>4295</v>
      </c>
      <c r="B3" s="7" t="s">
        <v>23</v>
      </c>
      <c r="C3" s="7" t="s">
        <v>2358</v>
      </c>
      <c r="D3" s="7" t="s">
        <v>970</v>
      </c>
      <c r="E3" s="7" t="s">
        <v>250</v>
      </c>
      <c r="F3" s="7" t="s">
        <v>4296</v>
      </c>
      <c r="G3" s="7" t="s">
        <v>149</v>
      </c>
      <c r="H3" s="10" t="n">
        <v>1300</v>
      </c>
      <c r="I3" s="7" t="s">
        <v>350</v>
      </c>
      <c r="J3" s="7"/>
      <c r="K3" s="7" t="s">
        <v>4297</v>
      </c>
      <c r="L3" s="7" t="s">
        <v>177</v>
      </c>
      <c r="M3" s="7"/>
      <c r="N3" s="7" t="s">
        <v>4298</v>
      </c>
      <c r="O3" s="7" t="s">
        <v>84</v>
      </c>
    </row>
    <row r="4" customFormat="false" ht="15" hidden="false" customHeight="false" outlineLevel="0" collapsed="false">
      <c r="A4" s="7" t="s">
        <v>4299</v>
      </c>
      <c r="B4" s="7" t="s">
        <v>23</v>
      </c>
      <c r="C4" s="7" t="s">
        <v>2358</v>
      </c>
      <c r="D4" s="7" t="s">
        <v>112</v>
      </c>
      <c r="E4" s="7" t="s">
        <v>113</v>
      </c>
      <c r="F4" s="7" t="s">
        <v>4300</v>
      </c>
      <c r="G4" s="7" t="s">
        <v>174</v>
      </c>
      <c r="H4" s="10" t="n">
        <v>500</v>
      </c>
      <c r="I4" s="7" t="s">
        <v>350</v>
      </c>
      <c r="J4" s="7"/>
      <c r="K4" s="7" t="s">
        <v>4301</v>
      </c>
      <c r="L4" s="7" t="s">
        <v>177</v>
      </c>
      <c r="M4" s="7"/>
      <c r="N4" s="7" t="s">
        <v>4302</v>
      </c>
      <c r="O4" s="7" t="s">
        <v>84</v>
      </c>
    </row>
    <row r="5" customFormat="false" ht="15" hidden="false" customHeight="false" outlineLevel="0" collapsed="false">
      <c r="A5" s="7" t="s">
        <v>4303</v>
      </c>
      <c r="B5" s="7" t="s">
        <v>23</v>
      </c>
      <c r="C5" s="7" t="s">
        <v>2358</v>
      </c>
      <c r="D5" s="7" t="s">
        <v>4304</v>
      </c>
      <c r="E5" s="7" t="s">
        <v>1030</v>
      </c>
      <c r="F5" s="7" t="s">
        <v>4305</v>
      </c>
      <c r="G5" s="7" t="s">
        <v>174</v>
      </c>
      <c r="H5" s="10" t="n">
        <v>500</v>
      </c>
      <c r="I5" s="7" t="s">
        <v>350</v>
      </c>
      <c r="J5" s="7"/>
      <c r="K5" s="7"/>
      <c r="L5" s="7" t="s">
        <v>177</v>
      </c>
      <c r="M5" s="7"/>
      <c r="N5" s="7" t="s">
        <v>4306</v>
      </c>
      <c r="O5" s="7" t="s">
        <v>84</v>
      </c>
    </row>
    <row r="6" customFormat="false" ht="15" hidden="false" customHeight="false" outlineLevel="0" collapsed="false">
      <c r="A6" s="7" t="s">
        <v>4307</v>
      </c>
      <c r="B6" s="7" t="s">
        <v>23</v>
      </c>
      <c r="C6" s="7" t="s">
        <v>2358</v>
      </c>
      <c r="D6" s="7" t="s">
        <v>112</v>
      </c>
      <c r="E6" s="7" t="s">
        <v>113</v>
      </c>
      <c r="F6" s="7" t="s">
        <v>4308</v>
      </c>
      <c r="G6" s="7" t="s">
        <v>174</v>
      </c>
      <c r="H6" s="10" t="n">
        <v>500</v>
      </c>
      <c r="I6" s="7" t="s">
        <v>350</v>
      </c>
      <c r="J6" s="7"/>
      <c r="K6" s="7" t="s">
        <v>4309</v>
      </c>
      <c r="L6" s="7" t="s">
        <v>177</v>
      </c>
      <c r="M6" s="7"/>
      <c r="N6" s="7" t="s">
        <v>4310</v>
      </c>
      <c r="O6" s="7" t="s">
        <v>84</v>
      </c>
    </row>
    <row r="7" customFormat="false" ht="15" hidden="false" customHeight="false" outlineLevel="0" collapsed="false">
      <c r="A7" s="7" t="s">
        <v>4311</v>
      </c>
      <c r="B7" s="7" t="s">
        <v>23</v>
      </c>
      <c r="C7" s="7" t="s">
        <v>2358</v>
      </c>
      <c r="D7" s="7" t="s">
        <v>4312</v>
      </c>
      <c r="E7" s="7" t="s">
        <v>172</v>
      </c>
      <c r="F7" s="7" t="s">
        <v>4313</v>
      </c>
      <c r="G7" s="7" t="s">
        <v>174</v>
      </c>
      <c r="H7" s="10" t="n">
        <v>800</v>
      </c>
      <c r="I7" s="7" t="s">
        <v>350</v>
      </c>
      <c r="J7" s="7"/>
      <c r="K7" s="7" t="s">
        <v>4314</v>
      </c>
      <c r="L7" s="7" t="s">
        <v>177</v>
      </c>
      <c r="M7" s="7"/>
      <c r="N7" s="7" t="s">
        <v>4315</v>
      </c>
      <c r="O7" s="7" t="s">
        <v>84</v>
      </c>
    </row>
    <row r="8" customFormat="false" ht="15" hidden="false" customHeight="false" outlineLevel="0" collapsed="false">
      <c r="A8" s="7" t="s">
        <v>4316</v>
      </c>
      <c r="B8" s="7" t="s">
        <v>23</v>
      </c>
      <c r="C8" s="7" t="s">
        <v>2358</v>
      </c>
      <c r="D8" s="7" t="s">
        <v>65</v>
      </c>
      <c r="E8" s="7" t="s">
        <v>66</v>
      </c>
      <c r="F8" s="7" t="s">
        <v>4317</v>
      </c>
      <c r="G8" s="7" t="s">
        <v>174</v>
      </c>
      <c r="H8" s="10" t="n">
        <v>400</v>
      </c>
      <c r="I8" s="7" t="s">
        <v>350</v>
      </c>
      <c r="J8" s="7"/>
      <c r="K8" s="7"/>
      <c r="L8" s="7" t="s">
        <v>177</v>
      </c>
      <c r="M8" s="7"/>
      <c r="N8" s="7" t="s">
        <v>4318</v>
      </c>
      <c r="O8" s="7" t="s">
        <v>84</v>
      </c>
    </row>
    <row r="9" customFormat="false" ht="15" hidden="false" customHeight="false" outlineLevel="0" collapsed="false">
      <c r="A9" s="7" t="s">
        <v>4319</v>
      </c>
      <c r="B9" s="7" t="s">
        <v>23</v>
      </c>
      <c r="C9" s="7" t="s">
        <v>2358</v>
      </c>
      <c r="D9" s="7" t="s">
        <v>154</v>
      </c>
      <c r="E9" s="7" t="s">
        <v>155</v>
      </c>
      <c r="F9" s="7" t="s">
        <v>4320</v>
      </c>
      <c r="G9" s="7" t="s">
        <v>174</v>
      </c>
      <c r="H9" s="10" t="n">
        <v>400</v>
      </c>
      <c r="I9" s="7" t="s">
        <v>350</v>
      </c>
      <c r="J9" s="7"/>
      <c r="K9" s="7"/>
      <c r="L9" s="7" t="s">
        <v>177</v>
      </c>
      <c r="M9" s="7"/>
      <c r="N9" s="7" t="s">
        <v>4321</v>
      </c>
      <c r="O9" s="7" t="s">
        <v>84</v>
      </c>
    </row>
    <row r="10" customFormat="false" ht="15" hidden="false" customHeight="false" outlineLevel="0" collapsed="false">
      <c r="A10" s="7" t="s">
        <v>4322</v>
      </c>
      <c r="B10" s="7" t="s">
        <v>23</v>
      </c>
      <c r="C10" s="7" t="s">
        <v>4323</v>
      </c>
      <c r="D10" s="7" t="s">
        <v>1245</v>
      </c>
      <c r="E10" s="7" t="s">
        <v>78</v>
      </c>
      <c r="F10" s="7" t="s">
        <v>4324</v>
      </c>
      <c r="G10" s="7" t="s">
        <v>174</v>
      </c>
      <c r="H10" s="10" t="n">
        <v>800</v>
      </c>
      <c r="I10" s="7" t="s">
        <v>350</v>
      </c>
      <c r="J10" s="7"/>
      <c r="K10" s="7" t="s">
        <v>4325</v>
      </c>
      <c r="L10" s="7" t="s">
        <v>177</v>
      </c>
      <c r="M10" s="7"/>
      <c r="N10" s="7" t="s">
        <v>4326</v>
      </c>
      <c r="O10" s="7" t="s">
        <v>84</v>
      </c>
    </row>
    <row r="11" customFormat="false" ht="15" hidden="false" customHeight="false" outlineLevel="0" collapsed="false">
      <c r="A11" s="7" t="s">
        <v>4327</v>
      </c>
      <c r="B11" s="7" t="s">
        <v>23</v>
      </c>
      <c r="C11" s="7" t="s">
        <v>4328</v>
      </c>
      <c r="D11" s="7" t="s">
        <v>4329</v>
      </c>
      <c r="E11" s="7" t="s">
        <v>1116</v>
      </c>
      <c r="F11" s="7" t="s">
        <v>4330</v>
      </c>
      <c r="G11" s="7" t="s">
        <v>174</v>
      </c>
      <c r="H11" s="10" t="n">
        <v>600</v>
      </c>
      <c r="I11" s="7" t="s">
        <v>350</v>
      </c>
      <c r="J11" s="7"/>
      <c r="K11" s="7"/>
      <c r="L11" s="7" t="s">
        <v>177</v>
      </c>
      <c r="M11" s="7"/>
      <c r="N11" s="7" t="s">
        <v>4331</v>
      </c>
      <c r="O11" s="7" t="s">
        <v>84</v>
      </c>
    </row>
    <row r="12" customFormat="false" ht="15" hidden="false" customHeight="false" outlineLevel="0" collapsed="false">
      <c r="A12" s="7" t="s">
        <v>4332</v>
      </c>
      <c r="B12" s="7" t="s">
        <v>23</v>
      </c>
      <c r="C12" s="7" t="s">
        <v>2358</v>
      </c>
      <c r="D12" s="7" t="s">
        <v>182</v>
      </c>
      <c r="E12" s="7" t="s">
        <v>163</v>
      </c>
      <c r="F12" s="7" t="s">
        <v>4333</v>
      </c>
      <c r="G12" s="7" t="s">
        <v>174</v>
      </c>
      <c r="H12" s="10" t="n">
        <v>1000</v>
      </c>
      <c r="I12" s="7" t="s">
        <v>350</v>
      </c>
      <c r="J12" s="7"/>
      <c r="K12" s="7" t="s">
        <v>4334</v>
      </c>
      <c r="L12" s="7" t="s">
        <v>177</v>
      </c>
      <c r="M12" s="7"/>
      <c r="N12" s="7" t="s">
        <v>4335</v>
      </c>
      <c r="O12" s="7" t="s">
        <v>84</v>
      </c>
    </row>
    <row r="13" customFormat="false" ht="15" hidden="false" customHeight="false" outlineLevel="0" collapsed="false">
      <c r="A13" s="7" t="s">
        <v>4336</v>
      </c>
      <c r="B13" s="7" t="s">
        <v>23</v>
      </c>
      <c r="C13" s="7" t="s">
        <v>2358</v>
      </c>
      <c r="D13" s="7" t="s">
        <v>479</v>
      </c>
      <c r="E13" s="7" t="s">
        <v>480</v>
      </c>
      <c r="F13" s="7" t="s">
        <v>4337</v>
      </c>
      <c r="G13" s="7" t="s">
        <v>174</v>
      </c>
      <c r="H13" s="10" t="n">
        <v>800</v>
      </c>
      <c r="I13" s="7" t="s">
        <v>350</v>
      </c>
      <c r="J13" s="7"/>
      <c r="K13" s="7"/>
      <c r="L13" s="7" t="s">
        <v>177</v>
      </c>
      <c r="M13" s="7"/>
      <c r="N13" s="7" t="s">
        <v>4338</v>
      </c>
      <c r="O13" s="7" t="s">
        <v>84</v>
      </c>
    </row>
    <row r="14" customFormat="false" ht="15" hidden="false" customHeight="false" outlineLevel="0" collapsed="false">
      <c r="A14" s="7" t="s">
        <v>4339</v>
      </c>
      <c r="B14" s="7" t="s">
        <v>23</v>
      </c>
      <c r="C14" s="7" t="s">
        <v>2358</v>
      </c>
      <c r="D14" s="7" t="s">
        <v>1599</v>
      </c>
      <c r="E14" s="7" t="s">
        <v>78</v>
      </c>
      <c r="F14" s="7" t="s">
        <v>4340</v>
      </c>
      <c r="G14" s="7" t="s">
        <v>174</v>
      </c>
      <c r="H14" s="10" t="n">
        <v>400</v>
      </c>
      <c r="I14" s="7" t="s">
        <v>350</v>
      </c>
      <c r="J14" s="7"/>
      <c r="K14" s="7"/>
      <c r="L14" s="7" t="s">
        <v>177</v>
      </c>
      <c r="M14" s="7"/>
      <c r="N14" s="7" t="s">
        <v>4341</v>
      </c>
      <c r="O14" s="7" t="s">
        <v>84</v>
      </c>
    </row>
    <row r="15" customFormat="false" ht="15" hidden="false" customHeight="false" outlineLevel="0" collapsed="false">
      <c r="A15" s="7" t="s">
        <v>4342</v>
      </c>
      <c r="B15" s="7" t="s">
        <v>23</v>
      </c>
      <c r="C15" s="7" t="s">
        <v>2358</v>
      </c>
      <c r="D15" s="7" t="s">
        <v>4343</v>
      </c>
      <c r="E15" s="7" t="s">
        <v>113</v>
      </c>
      <c r="F15" s="7" t="s">
        <v>4344</v>
      </c>
      <c r="G15" s="7" t="s">
        <v>174</v>
      </c>
      <c r="H15" s="10" t="n">
        <v>800</v>
      </c>
      <c r="I15" s="7" t="s">
        <v>350</v>
      </c>
      <c r="J15" s="7"/>
      <c r="K15" s="7" t="s">
        <v>4345</v>
      </c>
      <c r="L15" s="7" t="s">
        <v>177</v>
      </c>
      <c r="M15" s="7"/>
      <c r="N15" s="7" t="s">
        <v>4346</v>
      </c>
      <c r="O15" s="7" t="s">
        <v>84</v>
      </c>
    </row>
    <row r="16" customFormat="false" ht="15" hidden="false" customHeight="false" outlineLevel="0" collapsed="false">
      <c r="A16" s="7" t="s">
        <v>4347</v>
      </c>
      <c r="B16" s="7" t="s">
        <v>23</v>
      </c>
      <c r="C16" s="7" t="s">
        <v>2358</v>
      </c>
      <c r="D16" s="7" t="s">
        <v>1881</v>
      </c>
      <c r="E16" s="7" t="s">
        <v>250</v>
      </c>
      <c r="F16" s="7" t="s">
        <v>4348</v>
      </c>
      <c r="G16" s="7" t="s">
        <v>174</v>
      </c>
      <c r="H16" s="10" t="n">
        <v>900</v>
      </c>
      <c r="I16" s="7" t="s">
        <v>350</v>
      </c>
      <c r="J16" s="7"/>
      <c r="K16" s="7" t="s">
        <v>4349</v>
      </c>
      <c r="L16" s="7" t="s">
        <v>177</v>
      </c>
      <c r="M16" s="7"/>
      <c r="N16" s="7" t="s">
        <v>4350</v>
      </c>
      <c r="O16" s="7" t="s">
        <v>84</v>
      </c>
    </row>
    <row r="17" customFormat="false" ht="15" hidden="false" customHeight="false" outlineLevel="0" collapsed="false">
      <c r="A17" s="7" t="s">
        <v>4351</v>
      </c>
      <c r="B17" s="7" t="s">
        <v>23</v>
      </c>
      <c r="C17" s="7" t="s">
        <v>2358</v>
      </c>
      <c r="D17" s="7" t="s">
        <v>3974</v>
      </c>
      <c r="E17" s="7" t="s">
        <v>348</v>
      </c>
      <c r="F17" s="7" t="s">
        <v>4352</v>
      </c>
      <c r="G17" s="7" t="s">
        <v>258</v>
      </c>
      <c r="H17" s="10" t="n">
        <v>300</v>
      </c>
      <c r="I17" s="7" t="s">
        <v>350</v>
      </c>
      <c r="J17" s="7"/>
      <c r="K17" s="7"/>
      <c r="L17" s="7" t="s">
        <v>274</v>
      </c>
      <c r="M17" s="7"/>
      <c r="N17" s="7" t="s">
        <v>4353</v>
      </c>
      <c r="O17" s="7" t="s">
        <v>84</v>
      </c>
    </row>
    <row r="18" customFormat="false" ht="15" hidden="false" customHeight="false" outlineLevel="0" collapsed="false">
      <c r="A18" s="7" t="s">
        <v>4354</v>
      </c>
      <c r="B18" s="7" t="s">
        <v>23</v>
      </c>
      <c r="C18" s="7" t="s">
        <v>2358</v>
      </c>
      <c r="D18" s="7" t="s">
        <v>4355</v>
      </c>
      <c r="E18" s="7" t="s">
        <v>1116</v>
      </c>
      <c r="F18" s="7" t="s">
        <v>4356</v>
      </c>
      <c r="G18" s="7" t="s">
        <v>258</v>
      </c>
      <c r="H18" s="10" t="n">
        <v>300</v>
      </c>
      <c r="I18" s="7" t="s">
        <v>350</v>
      </c>
      <c r="J18" s="7"/>
      <c r="K18" s="7"/>
      <c r="L18" s="7" t="s">
        <v>274</v>
      </c>
      <c r="M18" s="7"/>
      <c r="N18" s="7" t="s">
        <v>4357</v>
      </c>
      <c r="O18" s="7" t="s">
        <v>84</v>
      </c>
    </row>
    <row r="19" customFormat="false" ht="15" hidden="false" customHeight="false" outlineLevel="0" collapsed="false">
      <c r="A19" s="7" t="s">
        <v>4358</v>
      </c>
      <c r="B19" s="7" t="s">
        <v>23</v>
      </c>
      <c r="C19" s="7" t="s">
        <v>2358</v>
      </c>
      <c r="D19" s="7" t="s">
        <v>4359</v>
      </c>
      <c r="E19" s="7" t="s">
        <v>1789</v>
      </c>
      <c r="F19" s="7" t="s">
        <v>4360</v>
      </c>
      <c r="G19" s="7" t="s">
        <v>258</v>
      </c>
      <c r="H19" s="10" t="n">
        <v>350</v>
      </c>
      <c r="I19" s="7" t="s">
        <v>350</v>
      </c>
      <c r="J19" s="7"/>
      <c r="K19" s="7"/>
      <c r="L19" s="7" t="s">
        <v>177</v>
      </c>
      <c r="M19" s="7"/>
      <c r="N19" s="7" t="s">
        <v>4361</v>
      </c>
      <c r="O19" s="7" t="s">
        <v>84</v>
      </c>
    </row>
    <row r="20" customFormat="false" ht="15" hidden="false" customHeight="false" outlineLevel="0" collapsed="false">
      <c r="A20" s="7" t="s">
        <v>4362</v>
      </c>
      <c r="B20" s="7" t="s">
        <v>23</v>
      </c>
      <c r="C20" s="7" t="s">
        <v>2358</v>
      </c>
      <c r="D20" s="7" t="s">
        <v>2440</v>
      </c>
      <c r="E20" s="7" t="s">
        <v>97</v>
      </c>
      <c r="F20" s="7" t="s">
        <v>4363</v>
      </c>
      <c r="G20" s="7" t="s">
        <v>258</v>
      </c>
      <c r="H20" s="10" t="n">
        <v>250</v>
      </c>
      <c r="I20" s="7" t="s">
        <v>350</v>
      </c>
      <c r="J20" s="7"/>
      <c r="K20" s="7"/>
      <c r="L20" s="7" t="s">
        <v>274</v>
      </c>
      <c r="M20" s="7"/>
      <c r="N20" s="7" t="s">
        <v>4364</v>
      </c>
      <c r="O20" s="7" t="s">
        <v>84</v>
      </c>
    </row>
    <row r="21" customFormat="false" ht="15" hidden="false" customHeight="false" outlineLevel="0" collapsed="false">
      <c r="A21" s="7" t="s">
        <v>4365</v>
      </c>
      <c r="B21" s="7" t="s">
        <v>23</v>
      </c>
      <c r="C21" s="7" t="s">
        <v>2358</v>
      </c>
      <c r="D21" s="7" t="s">
        <v>953</v>
      </c>
      <c r="E21" s="7" t="s">
        <v>954</v>
      </c>
      <c r="F21" s="7" t="s">
        <v>4366</v>
      </c>
      <c r="G21" s="7" t="s">
        <v>258</v>
      </c>
      <c r="H21" s="10" t="n">
        <v>300</v>
      </c>
      <c r="I21" s="7" t="s">
        <v>350</v>
      </c>
      <c r="J21" s="7"/>
      <c r="K21" s="7"/>
      <c r="L21" s="7" t="s">
        <v>274</v>
      </c>
      <c r="M21" s="7"/>
      <c r="N21" s="7" t="s">
        <v>4367</v>
      </c>
      <c r="O21" s="7" t="s">
        <v>84</v>
      </c>
    </row>
    <row r="22" customFormat="false" ht="15" hidden="false" customHeight="false" outlineLevel="0" collapsed="false">
      <c r="A22" s="7" t="s">
        <v>4368</v>
      </c>
      <c r="B22" s="7" t="s">
        <v>23</v>
      </c>
      <c r="C22" s="7" t="s">
        <v>2358</v>
      </c>
      <c r="D22" s="7" t="s">
        <v>1349</v>
      </c>
      <c r="E22" s="7" t="s">
        <v>854</v>
      </c>
      <c r="F22" s="7" t="s">
        <v>4369</v>
      </c>
      <c r="G22" s="7" t="s">
        <v>258</v>
      </c>
      <c r="H22" s="10" t="n">
        <v>250</v>
      </c>
      <c r="I22" s="7" t="s">
        <v>350</v>
      </c>
      <c r="J22" s="7"/>
      <c r="K22" s="7"/>
      <c r="L22" s="7" t="s">
        <v>274</v>
      </c>
      <c r="M22" s="7"/>
      <c r="N22" s="7" t="s">
        <v>4370</v>
      </c>
      <c r="O22" s="7" t="s">
        <v>84</v>
      </c>
    </row>
    <row r="23" customFormat="false" ht="15" hidden="false" customHeight="false" outlineLevel="0" collapsed="false">
      <c r="A23" s="7" t="s">
        <v>4371</v>
      </c>
      <c r="B23" s="7" t="s">
        <v>23</v>
      </c>
      <c r="C23" s="7" t="s">
        <v>2358</v>
      </c>
      <c r="D23" s="7" t="s">
        <v>4372</v>
      </c>
      <c r="E23" s="7" t="s">
        <v>122</v>
      </c>
      <c r="F23" s="7" t="s">
        <v>4373</v>
      </c>
      <c r="G23" s="7" t="s">
        <v>258</v>
      </c>
      <c r="H23" s="10" t="n">
        <v>350</v>
      </c>
      <c r="I23" s="7" t="s">
        <v>350</v>
      </c>
      <c r="J23" s="7"/>
      <c r="K23" s="7"/>
      <c r="L23" s="7" t="s">
        <v>274</v>
      </c>
      <c r="M23" s="7"/>
      <c r="N23" s="7" t="s">
        <v>4374</v>
      </c>
      <c r="O23" s="7" t="s">
        <v>84</v>
      </c>
    </row>
    <row r="24" customFormat="false" ht="15" hidden="false" customHeight="false" outlineLevel="0" collapsed="false">
      <c r="A24" s="7" t="s">
        <v>4375</v>
      </c>
      <c r="B24" s="7" t="s">
        <v>23</v>
      </c>
      <c r="C24" s="7" t="s">
        <v>2358</v>
      </c>
      <c r="D24" s="7" t="s">
        <v>4376</v>
      </c>
      <c r="E24" s="7" t="s">
        <v>88</v>
      </c>
      <c r="F24" s="7" t="s">
        <v>4377</v>
      </c>
      <c r="G24" s="7" t="s">
        <v>258</v>
      </c>
      <c r="H24" s="10" t="n">
        <v>400</v>
      </c>
      <c r="I24" s="7" t="s">
        <v>350</v>
      </c>
      <c r="J24" s="7"/>
      <c r="K24" s="7"/>
      <c r="L24" s="7" t="s">
        <v>177</v>
      </c>
      <c r="M24" s="7"/>
      <c r="N24" s="7" t="s">
        <v>4378</v>
      </c>
      <c r="O24" s="7" t="s">
        <v>84</v>
      </c>
    </row>
    <row r="25" customFormat="false" ht="15" hidden="false" customHeight="false" outlineLevel="0" collapsed="false">
      <c r="A25" s="7" t="s">
        <v>4379</v>
      </c>
      <c r="B25" s="7" t="s">
        <v>23</v>
      </c>
      <c r="C25" s="7" t="s">
        <v>4380</v>
      </c>
      <c r="D25" s="7" t="s">
        <v>962</v>
      </c>
      <c r="E25" s="7" t="s">
        <v>250</v>
      </c>
      <c r="F25" s="7" t="s">
        <v>4381</v>
      </c>
      <c r="G25" s="7" t="s">
        <v>258</v>
      </c>
      <c r="H25" s="10" t="n">
        <v>300</v>
      </c>
      <c r="I25" s="7" t="s">
        <v>350</v>
      </c>
      <c r="J25" s="7"/>
      <c r="K25" s="7"/>
      <c r="L25" s="7" t="s">
        <v>274</v>
      </c>
      <c r="M25" s="7"/>
      <c r="N25" s="7" t="s">
        <v>4382</v>
      </c>
      <c r="O25" s="7" t="s">
        <v>84</v>
      </c>
    </row>
    <row r="26" customFormat="false" ht="15" hidden="false" customHeight="false" outlineLevel="0" collapsed="false">
      <c r="A26" s="7" t="s">
        <v>4383</v>
      </c>
      <c r="B26" s="7" t="s">
        <v>23</v>
      </c>
      <c r="C26" s="7" t="s">
        <v>2358</v>
      </c>
      <c r="D26" s="7" t="s">
        <v>2189</v>
      </c>
      <c r="E26" s="7" t="s">
        <v>428</v>
      </c>
      <c r="F26" s="7" t="s">
        <v>4384</v>
      </c>
      <c r="G26" s="7" t="s">
        <v>258</v>
      </c>
      <c r="H26" s="10" t="n">
        <v>300</v>
      </c>
      <c r="I26" s="7" t="s">
        <v>350</v>
      </c>
      <c r="J26" s="7"/>
      <c r="K26" s="7"/>
      <c r="L26" s="7" t="s">
        <v>274</v>
      </c>
      <c r="M26" s="7"/>
      <c r="N26" s="7" t="s">
        <v>4385</v>
      </c>
      <c r="O26" s="7" t="s">
        <v>84</v>
      </c>
    </row>
    <row r="27" customFormat="false" ht="15" hidden="false" customHeight="false" outlineLevel="0" collapsed="false">
      <c r="A27" s="7" t="s">
        <v>4386</v>
      </c>
      <c r="B27" s="7" t="s">
        <v>23</v>
      </c>
      <c r="C27" s="7" t="s">
        <v>2358</v>
      </c>
      <c r="D27" s="7" t="s">
        <v>3149</v>
      </c>
      <c r="E27" s="7" t="s">
        <v>172</v>
      </c>
      <c r="F27" s="7" t="s">
        <v>4387</v>
      </c>
      <c r="G27" s="7" t="s">
        <v>258</v>
      </c>
      <c r="H27" s="10" t="n">
        <v>250</v>
      </c>
      <c r="I27" s="7" t="s">
        <v>350</v>
      </c>
      <c r="J27" s="7"/>
      <c r="K27" s="7"/>
      <c r="L27" s="7" t="s">
        <v>274</v>
      </c>
      <c r="M27" s="7"/>
      <c r="N27" s="7" t="s">
        <v>4388</v>
      </c>
      <c r="O27" s="7" t="s">
        <v>84</v>
      </c>
    </row>
    <row r="28" customFormat="false" ht="15" hidden="false" customHeight="false" outlineLevel="0" collapsed="false">
      <c r="A28" s="7" t="s">
        <v>4389</v>
      </c>
      <c r="B28" s="7" t="s">
        <v>23</v>
      </c>
      <c r="C28" s="7" t="s">
        <v>2358</v>
      </c>
      <c r="D28" s="7" t="s">
        <v>1599</v>
      </c>
      <c r="E28" s="7" t="s">
        <v>78</v>
      </c>
      <c r="F28" s="7" t="s">
        <v>4390</v>
      </c>
      <c r="G28" s="7" t="s">
        <v>258</v>
      </c>
      <c r="H28" s="10" t="n">
        <v>250</v>
      </c>
      <c r="I28" s="7" t="s">
        <v>350</v>
      </c>
      <c r="J28" s="7"/>
      <c r="K28" s="7"/>
      <c r="L28" s="7" t="s">
        <v>274</v>
      </c>
      <c r="M28" s="7"/>
      <c r="N28" s="7" t="s">
        <v>4391</v>
      </c>
      <c r="O28" s="7" t="s">
        <v>84</v>
      </c>
    </row>
    <row r="29" customFormat="false" ht="15" hidden="false" customHeight="false" outlineLevel="0" collapsed="false">
      <c r="A29" s="7" t="s">
        <v>4392</v>
      </c>
      <c r="B29" s="7" t="s">
        <v>23</v>
      </c>
      <c r="C29" s="7" t="s">
        <v>4393</v>
      </c>
      <c r="D29" s="7" t="s">
        <v>4394</v>
      </c>
      <c r="E29" s="7" t="s">
        <v>455</v>
      </c>
      <c r="F29" s="7" t="s">
        <v>4395</v>
      </c>
      <c r="G29" s="7" t="s">
        <v>258</v>
      </c>
      <c r="H29" s="10" t="n">
        <v>200</v>
      </c>
      <c r="I29" s="7" t="s">
        <v>350</v>
      </c>
      <c r="J29" s="7"/>
      <c r="K29" s="7"/>
      <c r="L29" s="7" t="s">
        <v>274</v>
      </c>
      <c r="M29" s="7"/>
      <c r="N29" s="7" t="s">
        <v>4396</v>
      </c>
      <c r="O29" s="7" t="s">
        <v>84</v>
      </c>
    </row>
    <row r="30" customFormat="false" ht="15" hidden="false" customHeight="false" outlineLevel="0" collapsed="false">
      <c r="A30" s="7" t="s">
        <v>4397</v>
      </c>
      <c r="B30" s="7" t="s">
        <v>23</v>
      </c>
      <c r="C30" s="7" t="s">
        <v>2358</v>
      </c>
      <c r="D30" s="7" t="s">
        <v>1599</v>
      </c>
      <c r="E30" s="7" t="s">
        <v>78</v>
      </c>
      <c r="F30" s="7" t="s">
        <v>4398</v>
      </c>
      <c r="G30" s="7" t="s">
        <v>258</v>
      </c>
      <c r="H30" s="10" t="n">
        <v>250</v>
      </c>
      <c r="I30" s="7" t="s">
        <v>350</v>
      </c>
      <c r="J30" s="7"/>
      <c r="K30" s="7"/>
      <c r="L30" s="7" t="s">
        <v>274</v>
      </c>
      <c r="M30" s="7"/>
      <c r="N30" s="7" t="s">
        <v>4399</v>
      </c>
      <c r="O30" s="7" t="s">
        <v>84</v>
      </c>
    </row>
    <row r="31" customFormat="false" ht="15" hidden="false" customHeight="false" outlineLevel="0" collapsed="false">
      <c r="A31" s="7" t="s">
        <v>4400</v>
      </c>
      <c r="B31" s="7" t="s">
        <v>23</v>
      </c>
      <c r="C31" s="7" t="s">
        <v>2358</v>
      </c>
      <c r="D31" s="7" t="s">
        <v>4401</v>
      </c>
      <c r="E31" s="7" t="s">
        <v>779</v>
      </c>
      <c r="F31" s="7" t="s">
        <v>4402</v>
      </c>
      <c r="G31" s="7" t="s">
        <v>258</v>
      </c>
      <c r="H31" s="10" t="n">
        <v>300</v>
      </c>
      <c r="I31" s="7" t="s">
        <v>350</v>
      </c>
      <c r="J31" s="7"/>
      <c r="K31" s="7"/>
      <c r="L31" s="7" t="s">
        <v>274</v>
      </c>
      <c r="M31" s="7"/>
      <c r="N31" s="7" t="s">
        <v>4403</v>
      </c>
      <c r="O31" s="7" t="s">
        <v>84</v>
      </c>
    </row>
    <row r="32" customFormat="false" ht="15" hidden="false" customHeight="false" outlineLevel="0" collapsed="false">
      <c r="A32" s="7" t="s">
        <v>4404</v>
      </c>
      <c r="B32" s="7" t="s">
        <v>23</v>
      </c>
      <c r="C32" s="7" t="s">
        <v>2358</v>
      </c>
      <c r="D32" s="7" t="s">
        <v>1907</v>
      </c>
      <c r="E32" s="7" t="s">
        <v>206</v>
      </c>
      <c r="F32" s="7" t="s">
        <v>4405</v>
      </c>
      <c r="G32" s="7" t="s">
        <v>258</v>
      </c>
      <c r="H32" s="10" t="n">
        <v>300</v>
      </c>
      <c r="I32" s="7" t="s">
        <v>350</v>
      </c>
      <c r="J32" s="7"/>
      <c r="K32" s="7"/>
      <c r="L32" s="7" t="s">
        <v>274</v>
      </c>
      <c r="M32" s="7"/>
      <c r="N32" s="7" t="s">
        <v>4406</v>
      </c>
      <c r="O32" s="7" t="s">
        <v>84</v>
      </c>
    </row>
    <row r="33" customFormat="false" ht="15" hidden="false" customHeight="false" outlineLevel="0" collapsed="false">
      <c r="A33" s="7" t="s">
        <v>4407</v>
      </c>
      <c r="B33" s="7" t="s">
        <v>23</v>
      </c>
      <c r="C33" s="7" t="s">
        <v>2358</v>
      </c>
      <c r="D33" s="7" t="s">
        <v>4408</v>
      </c>
      <c r="E33" s="7" t="s">
        <v>1081</v>
      </c>
      <c r="F33" s="7" t="s">
        <v>4409</v>
      </c>
      <c r="G33" s="7" t="s">
        <v>258</v>
      </c>
      <c r="H33" s="10" t="n">
        <v>350</v>
      </c>
      <c r="I33" s="7" t="s">
        <v>350</v>
      </c>
      <c r="J33" s="7"/>
      <c r="K33" s="7"/>
      <c r="L33" s="7" t="s">
        <v>274</v>
      </c>
      <c r="M33" s="7"/>
      <c r="N33" s="7" t="s">
        <v>4410</v>
      </c>
      <c r="O33" s="7" t="s">
        <v>84</v>
      </c>
    </row>
    <row r="34" customFormat="false" ht="15" hidden="false" customHeight="false" outlineLevel="0" collapsed="false">
      <c r="A34" s="7" t="s">
        <v>4411</v>
      </c>
      <c r="B34" s="7" t="s">
        <v>23</v>
      </c>
      <c r="C34" s="7" t="s">
        <v>4412</v>
      </c>
      <c r="D34" s="7" t="s">
        <v>104</v>
      </c>
      <c r="E34" s="7" t="s">
        <v>105</v>
      </c>
      <c r="F34" s="7" t="s">
        <v>4413</v>
      </c>
      <c r="G34" s="7" t="s">
        <v>258</v>
      </c>
      <c r="H34" s="10" t="n">
        <v>250</v>
      </c>
      <c r="I34" s="7" t="s">
        <v>350</v>
      </c>
      <c r="J34" s="7"/>
      <c r="K34" s="7"/>
      <c r="L34" s="7" t="s">
        <v>274</v>
      </c>
      <c r="M34" s="7"/>
      <c r="N34" s="7" t="s">
        <v>4414</v>
      </c>
      <c r="O34" s="7" t="s">
        <v>84</v>
      </c>
    </row>
    <row r="35" customFormat="false" ht="15" hidden="false" customHeight="false" outlineLevel="0" collapsed="false">
      <c r="A35" s="7" t="s">
        <v>4415</v>
      </c>
      <c r="B35" s="7" t="s">
        <v>23</v>
      </c>
      <c r="C35" s="7" t="s">
        <v>2358</v>
      </c>
      <c r="D35" s="7" t="s">
        <v>4416</v>
      </c>
      <c r="E35" s="7" t="s">
        <v>4417</v>
      </c>
      <c r="F35" s="7" t="s">
        <v>4418</v>
      </c>
      <c r="G35" s="7" t="s">
        <v>258</v>
      </c>
      <c r="H35" s="10" t="n">
        <v>300</v>
      </c>
      <c r="I35" s="7" t="s">
        <v>350</v>
      </c>
      <c r="J35" s="7"/>
      <c r="K35" s="7"/>
      <c r="L35" s="7" t="s">
        <v>274</v>
      </c>
      <c r="M35" s="7"/>
      <c r="N35" s="7" t="s">
        <v>4419</v>
      </c>
      <c r="O35" s="7" t="s">
        <v>84</v>
      </c>
    </row>
    <row r="36" customFormat="false" ht="15" hidden="false" customHeight="false" outlineLevel="0" collapsed="false">
      <c r="A36" s="7" t="s">
        <v>4420</v>
      </c>
      <c r="B36" s="7" t="s">
        <v>23</v>
      </c>
      <c r="C36" s="7" t="s">
        <v>2358</v>
      </c>
      <c r="D36" s="7" t="s">
        <v>4421</v>
      </c>
      <c r="E36" s="7" t="s">
        <v>1030</v>
      </c>
      <c r="F36" s="7" t="s">
        <v>4422</v>
      </c>
      <c r="G36" s="7" t="s">
        <v>258</v>
      </c>
      <c r="H36" s="10" t="n">
        <v>350</v>
      </c>
      <c r="I36" s="7" t="s">
        <v>350</v>
      </c>
      <c r="J36" s="7"/>
      <c r="K36" s="7"/>
      <c r="L36" s="7" t="s">
        <v>274</v>
      </c>
      <c r="M36" s="7"/>
      <c r="N36" s="7" t="s">
        <v>4423</v>
      </c>
      <c r="O36" s="7" t="s">
        <v>84</v>
      </c>
    </row>
    <row r="37" customFormat="false" ht="15" hidden="false" customHeight="false" outlineLevel="0" collapsed="false">
      <c r="A37" s="7" t="s">
        <v>4424</v>
      </c>
      <c r="B37" s="7" t="s">
        <v>23</v>
      </c>
      <c r="C37" s="7" t="s">
        <v>2358</v>
      </c>
      <c r="D37" s="7" t="s">
        <v>2736</v>
      </c>
      <c r="E37" s="7" t="s">
        <v>338</v>
      </c>
      <c r="F37" s="7" t="s">
        <v>4425</v>
      </c>
      <c r="G37" s="7" t="s">
        <v>258</v>
      </c>
      <c r="H37" s="10" t="n">
        <v>250</v>
      </c>
      <c r="I37" s="7" t="s">
        <v>350</v>
      </c>
      <c r="J37" s="7"/>
      <c r="K37" s="7"/>
      <c r="L37" s="7" t="s">
        <v>274</v>
      </c>
      <c r="M37" s="7"/>
      <c r="N37" s="7" t="s">
        <v>4426</v>
      </c>
      <c r="O37" s="7" t="s">
        <v>84</v>
      </c>
    </row>
    <row r="38" customFormat="false" ht="15" hidden="false" customHeight="false" outlineLevel="0" collapsed="false">
      <c r="A38" s="7" t="s">
        <v>4427</v>
      </c>
      <c r="B38" s="7" t="s">
        <v>23</v>
      </c>
      <c r="C38" s="7" t="s">
        <v>2358</v>
      </c>
      <c r="D38" s="7" t="s">
        <v>171</v>
      </c>
      <c r="E38" s="7" t="s">
        <v>172</v>
      </c>
      <c r="F38" s="7" t="s">
        <v>4428</v>
      </c>
      <c r="G38" s="7" t="s">
        <v>258</v>
      </c>
      <c r="H38" s="10" t="n">
        <v>200</v>
      </c>
      <c r="I38" s="7" t="s">
        <v>350</v>
      </c>
      <c r="J38" s="7"/>
      <c r="K38" s="7"/>
      <c r="L38" s="7" t="s">
        <v>274</v>
      </c>
      <c r="M38" s="7"/>
      <c r="N38" s="7" t="s">
        <v>4429</v>
      </c>
      <c r="O38" s="7" t="s">
        <v>84</v>
      </c>
    </row>
    <row r="39" customFormat="false" ht="15" hidden="false" customHeight="false" outlineLevel="0" collapsed="false">
      <c r="A39" s="7" t="s">
        <v>4430</v>
      </c>
      <c r="B39" s="7" t="s">
        <v>23</v>
      </c>
      <c r="C39" s="7" t="s">
        <v>2358</v>
      </c>
      <c r="D39" s="7" t="s">
        <v>4431</v>
      </c>
      <c r="E39" s="7" t="s">
        <v>78</v>
      </c>
      <c r="F39" s="7" t="s">
        <v>4432</v>
      </c>
      <c r="G39" s="7" t="s">
        <v>258</v>
      </c>
      <c r="H39" s="10" t="n">
        <v>250</v>
      </c>
      <c r="I39" s="7" t="s">
        <v>350</v>
      </c>
      <c r="J39" s="7"/>
      <c r="K39" s="7"/>
      <c r="L39" s="7" t="s">
        <v>274</v>
      </c>
      <c r="M39" s="7"/>
      <c r="N39" s="7" t="s">
        <v>4433</v>
      </c>
      <c r="O39" s="7" t="s">
        <v>84</v>
      </c>
    </row>
    <row r="40" customFormat="false" ht="15" hidden="false" customHeight="false" outlineLevel="0" collapsed="false">
      <c r="A40" s="7" t="s">
        <v>4434</v>
      </c>
      <c r="B40" s="7" t="s">
        <v>23</v>
      </c>
      <c r="C40" s="7" t="s">
        <v>2358</v>
      </c>
      <c r="D40" s="7" t="s">
        <v>4435</v>
      </c>
      <c r="E40" s="7" t="s">
        <v>88</v>
      </c>
      <c r="F40" s="7" t="s">
        <v>4436</v>
      </c>
      <c r="G40" s="7" t="s">
        <v>258</v>
      </c>
      <c r="H40" s="10" t="n">
        <v>300</v>
      </c>
      <c r="I40" s="7" t="s">
        <v>350</v>
      </c>
      <c r="J40" s="7"/>
      <c r="K40" s="7"/>
      <c r="L40" s="7" t="s">
        <v>177</v>
      </c>
      <c r="M40" s="7"/>
      <c r="N40" s="7" t="s">
        <v>4437</v>
      </c>
      <c r="O40" s="7" t="s">
        <v>84</v>
      </c>
    </row>
    <row r="41" customFormat="false" ht="15" hidden="false" customHeight="false" outlineLevel="0" collapsed="false">
      <c r="A41" s="7" t="s">
        <v>4438</v>
      </c>
      <c r="B41" s="7" t="s">
        <v>23</v>
      </c>
      <c r="C41" s="7" t="s">
        <v>2358</v>
      </c>
      <c r="D41" s="7" t="s">
        <v>4439</v>
      </c>
      <c r="E41" s="7" t="s">
        <v>172</v>
      </c>
      <c r="F41" s="7" t="s">
        <v>4440</v>
      </c>
      <c r="G41" s="7" t="s">
        <v>258</v>
      </c>
      <c r="H41" s="10" t="n">
        <v>400</v>
      </c>
      <c r="I41" s="7" t="s">
        <v>350</v>
      </c>
      <c r="J41" s="7"/>
      <c r="K41" s="7"/>
      <c r="L41" s="7" t="s">
        <v>177</v>
      </c>
      <c r="M41" s="7"/>
      <c r="N41" s="7" t="s">
        <v>4441</v>
      </c>
      <c r="O41" s="7" t="s">
        <v>84</v>
      </c>
    </row>
    <row r="42" customFormat="false" ht="15" hidden="false" customHeight="false" outlineLevel="0" collapsed="false">
      <c r="A42" s="7" t="s">
        <v>4442</v>
      </c>
      <c r="B42" s="7" t="s">
        <v>23</v>
      </c>
      <c r="C42" s="7" t="s">
        <v>2358</v>
      </c>
      <c r="D42" s="7" t="s">
        <v>1907</v>
      </c>
      <c r="E42" s="7" t="s">
        <v>206</v>
      </c>
      <c r="F42" s="7" t="s">
        <v>4443</v>
      </c>
      <c r="G42" s="7" t="s">
        <v>258</v>
      </c>
      <c r="H42" s="10" t="n">
        <v>200</v>
      </c>
      <c r="I42" s="7" t="s">
        <v>350</v>
      </c>
      <c r="J42" s="7"/>
      <c r="K42" s="7"/>
      <c r="L42" s="7" t="s">
        <v>274</v>
      </c>
      <c r="M42" s="7"/>
      <c r="N42" s="7" t="s">
        <v>4444</v>
      </c>
      <c r="O42" s="7" t="s">
        <v>84</v>
      </c>
    </row>
    <row r="43" customFormat="false" ht="15" hidden="false" customHeight="false" outlineLevel="0" collapsed="false">
      <c r="A43" s="7" t="s">
        <v>4445</v>
      </c>
      <c r="B43" s="7" t="s">
        <v>23</v>
      </c>
      <c r="C43" s="7" t="s">
        <v>2358</v>
      </c>
      <c r="D43" s="7" t="s">
        <v>3567</v>
      </c>
      <c r="E43" s="7" t="s">
        <v>78</v>
      </c>
      <c r="F43" s="7" t="s">
        <v>4446</v>
      </c>
      <c r="G43" s="7" t="s">
        <v>258</v>
      </c>
      <c r="H43" s="10" t="n">
        <v>200</v>
      </c>
      <c r="I43" s="7" t="s">
        <v>350</v>
      </c>
      <c r="J43" s="7"/>
      <c r="K43" s="7"/>
      <c r="L43" s="7" t="s">
        <v>274</v>
      </c>
      <c r="M43" s="7"/>
      <c r="N43" s="7" t="s">
        <v>4447</v>
      </c>
      <c r="O43" s="7" t="s">
        <v>84</v>
      </c>
    </row>
    <row r="44" customFormat="false" ht="15" hidden="false" customHeight="false" outlineLevel="0" collapsed="false">
      <c r="A44" s="7" t="s">
        <v>4448</v>
      </c>
      <c r="B44" s="7" t="s">
        <v>23</v>
      </c>
      <c r="C44" s="7" t="s">
        <v>2358</v>
      </c>
      <c r="D44" s="7" t="s">
        <v>4449</v>
      </c>
      <c r="E44" s="7" t="s">
        <v>222</v>
      </c>
      <c r="F44" s="7" t="s">
        <v>4450</v>
      </c>
      <c r="G44" s="7" t="s">
        <v>258</v>
      </c>
      <c r="H44" s="10" t="n">
        <v>250</v>
      </c>
      <c r="I44" s="7" t="s">
        <v>350</v>
      </c>
      <c r="J44" s="7"/>
      <c r="K44" s="7"/>
      <c r="L44" s="7" t="s">
        <v>274</v>
      </c>
      <c r="M44" s="7"/>
      <c r="N44" s="7" t="s">
        <v>4451</v>
      </c>
      <c r="O44" s="7" t="s">
        <v>84</v>
      </c>
    </row>
    <row r="45" customFormat="false" ht="15" hidden="false" customHeight="false" outlineLevel="0" collapsed="false">
      <c r="A45" s="7" t="s">
        <v>4452</v>
      </c>
      <c r="B45" s="7" t="s">
        <v>23</v>
      </c>
      <c r="C45" s="7" t="s">
        <v>2358</v>
      </c>
      <c r="D45" s="7" t="s">
        <v>4453</v>
      </c>
      <c r="E45" s="7" t="s">
        <v>88</v>
      </c>
      <c r="F45" s="7" t="s">
        <v>4454</v>
      </c>
      <c r="G45" s="7" t="s">
        <v>258</v>
      </c>
      <c r="H45" s="10" t="n">
        <v>300</v>
      </c>
      <c r="I45" s="7" t="s">
        <v>350</v>
      </c>
      <c r="J45" s="7"/>
      <c r="K45" s="7"/>
      <c r="L45" s="7" t="s">
        <v>274</v>
      </c>
      <c r="M45" s="7"/>
      <c r="N45" s="7" t="s">
        <v>4455</v>
      </c>
      <c r="O45" s="7" t="s">
        <v>84</v>
      </c>
    </row>
    <row r="46" customFormat="false" ht="15" hidden="false" customHeight="false" outlineLevel="0" collapsed="false">
      <c r="A46" s="7" t="s">
        <v>4456</v>
      </c>
      <c r="B46" s="7" t="s">
        <v>24</v>
      </c>
      <c r="C46" s="7" t="s">
        <v>2520</v>
      </c>
      <c r="D46" s="7" t="s">
        <v>4457</v>
      </c>
      <c r="E46" s="7" t="s">
        <v>206</v>
      </c>
      <c r="F46" s="7" t="s">
        <v>4458</v>
      </c>
      <c r="G46" s="7" t="s">
        <v>68</v>
      </c>
      <c r="H46" s="10" t="n">
        <v>3000</v>
      </c>
      <c r="I46" s="7" t="s">
        <v>350</v>
      </c>
      <c r="J46" s="7"/>
      <c r="K46" s="7" t="s">
        <v>4459</v>
      </c>
      <c r="L46" s="7" t="s">
        <v>414</v>
      </c>
      <c r="M46" s="7"/>
      <c r="N46" s="7" t="s">
        <v>4460</v>
      </c>
      <c r="O46" s="7" t="s">
        <v>2509</v>
      </c>
    </row>
    <row r="47" customFormat="false" ht="15" hidden="false" customHeight="false" outlineLevel="0" collapsed="false">
      <c r="A47" s="7" t="s">
        <v>4461</v>
      </c>
      <c r="B47" s="7" t="s">
        <v>24</v>
      </c>
      <c r="C47" s="7" t="s">
        <v>2618</v>
      </c>
      <c r="D47" s="7" t="s">
        <v>1599</v>
      </c>
      <c r="E47" s="7" t="s">
        <v>78</v>
      </c>
      <c r="F47" s="7" t="s">
        <v>4462</v>
      </c>
      <c r="G47" s="7" t="s">
        <v>68</v>
      </c>
      <c r="H47" s="10" t="n">
        <v>1900</v>
      </c>
      <c r="I47" s="7" t="s">
        <v>377</v>
      </c>
      <c r="J47" s="7"/>
      <c r="K47" s="7" t="s">
        <v>4463</v>
      </c>
      <c r="L47" s="7" t="s">
        <v>414</v>
      </c>
      <c r="M47" s="7"/>
      <c r="N47" s="7" t="s">
        <v>4464</v>
      </c>
      <c r="O47" s="7" t="s">
        <v>4465</v>
      </c>
    </row>
    <row r="48" customFormat="false" ht="15" hidden="false" customHeight="false" outlineLevel="0" collapsed="false">
      <c r="A48" s="7" t="s">
        <v>4466</v>
      </c>
      <c r="B48" s="7" t="s">
        <v>24</v>
      </c>
      <c r="C48" s="7" t="s">
        <v>2618</v>
      </c>
      <c r="D48" s="7" t="s">
        <v>4467</v>
      </c>
      <c r="E48" s="7" t="s">
        <v>4468</v>
      </c>
      <c r="F48" s="7" t="s">
        <v>4469</v>
      </c>
      <c r="G48" s="7" t="s">
        <v>68</v>
      </c>
      <c r="H48" s="10" t="n">
        <v>2000</v>
      </c>
      <c r="I48" s="7" t="s">
        <v>377</v>
      </c>
      <c r="J48" s="7"/>
      <c r="K48" s="7" t="s">
        <v>4470</v>
      </c>
      <c r="L48" s="7" t="s">
        <v>414</v>
      </c>
      <c r="M48" s="7"/>
      <c r="N48" s="7" t="s">
        <v>4471</v>
      </c>
      <c r="O48" s="7" t="s">
        <v>4472</v>
      </c>
    </row>
    <row r="49" customFormat="false" ht="15" hidden="false" customHeight="false" outlineLevel="0" collapsed="false">
      <c r="A49" s="7" t="s">
        <v>4473</v>
      </c>
      <c r="B49" s="7" t="s">
        <v>24</v>
      </c>
      <c r="C49" s="7" t="s">
        <v>2618</v>
      </c>
      <c r="D49" s="7" t="s">
        <v>4474</v>
      </c>
      <c r="E49" s="7" t="s">
        <v>428</v>
      </c>
      <c r="F49" s="7" t="s">
        <v>4475</v>
      </c>
      <c r="G49" s="7" t="s">
        <v>68</v>
      </c>
      <c r="H49" s="10" t="n">
        <v>2000</v>
      </c>
      <c r="I49" s="7" t="s">
        <v>377</v>
      </c>
      <c r="J49" s="7"/>
      <c r="K49" s="7" t="s">
        <v>4476</v>
      </c>
      <c r="L49" s="7" t="s">
        <v>414</v>
      </c>
      <c r="M49" s="7"/>
      <c r="N49" s="7" t="s">
        <v>4477</v>
      </c>
      <c r="O49" s="7" t="s">
        <v>4478</v>
      </c>
    </row>
    <row r="50" customFormat="false" ht="15" hidden="false" customHeight="false" outlineLevel="0" collapsed="false">
      <c r="A50" s="7" t="s">
        <v>4479</v>
      </c>
      <c r="B50" s="7" t="s">
        <v>24</v>
      </c>
      <c r="C50" s="7" t="s">
        <v>4480</v>
      </c>
      <c r="D50" s="7" t="s">
        <v>104</v>
      </c>
      <c r="E50" s="7" t="s">
        <v>105</v>
      </c>
      <c r="F50" s="7" t="s">
        <v>4481</v>
      </c>
      <c r="G50" s="7" t="s">
        <v>68</v>
      </c>
      <c r="H50" s="10" t="n">
        <v>1700</v>
      </c>
      <c r="I50" s="7" t="s">
        <v>69</v>
      </c>
      <c r="J50" s="7" t="s">
        <v>4482</v>
      </c>
      <c r="K50" s="7" t="s">
        <v>4483</v>
      </c>
      <c r="L50" s="7" t="s">
        <v>2564</v>
      </c>
      <c r="M50" s="7"/>
      <c r="N50" s="7" t="s">
        <v>4484</v>
      </c>
      <c r="O50" s="7" t="s">
        <v>4485</v>
      </c>
    </row>
    <row r="51" customFormat="false" ht="15" hidden="false" customHeight="false" outlineLevel="0" collapsed="false">
      <c r="A51" s="7" t="s">
        <v>4486</v>
      </c>
      <c r="B51" s="7" t="s">
        <v>24</v>
      </c>
      <c r="C51" s="7" t="s">
        <v>2660</v>
      </c>
      <c r="D51" s="7" t="s">
        <v>77</v>
      </c>
      <c r="E51" s="7" t="s">
        <v>78</v>
      </c>
      <c r="F51" s="7" t="s">
        <v>4487</v>
      </c>
      <c r="G51" s="7" t="s">
        <v>68</v>
      </c>
      <c r="H51" s="10" t="n">
        <v>3500</v>
      </c>
      <c r="I51" s="7" t="s">
        <v>350</v>
      </c>
      <c r="J51" s="7"/>
      <c r="K51" s="7" t="s">
        <v>4488</v>
      </c>
      <c r="L51" s="7" t="s">
        <v>2564</v>
      </c>
      <c r="M51" s="7"/>
      <c r="N51" s="7" t="s">
        <v>4489</v>
      </c>
      <c r="O51" s="7" t="s">
        <v>4490</v>
      </c>
    </row>
    <row r="52" customFormat="false" ht="15" hidden="false" customHeight="false" outlineLevel="0" collapsed="false">
      <c r="A52" s="7" t="s">
        <v>4491</v>
      </c>
      <c r="B52" s="7" t="s">
        <v>24</v>
      </c>
      <c r="C52" s="7" t="s">
        <v>2618</v>
      </c>
      <c r="D52" s="7" t="s">
        <v>1599</v>
      </c>
      <c r="E52" s="7" t="s">
        <v>78</v>
      </c>
      <c r="F52" s="7" t="s">
        <v>4492</v>
      </c>
      <c r="G52" s="7" t="s">
        <v>68</v>
      </c>
      <c r="H52" s="10" t="n">
        <v>1200</v>
      </c>
      <c r="I52" s="7" t="s">
        <v>377</v>
      </c>
      <c r="J52" s="7"/>
      <c r="K52" s="7" t="s">
        <v>4493</v>
      </c>
      <c r="L52" s="7" t="s">
        <v>414</v>
      </c>
      <c r="M52" s="7"/>
      <c r="N52" s="7" t="s">
        <v>4494</v>
      </c>
      <c r="O52" s="7" t="s">
        <v>4495</v>
      </c>
    </row>
    <row r="53" customFormat="false" ht="15" hidden="false" customHeight="false" outlineLevel="0" collapsed="false">
      <c r="A53" s="7" t="s">
        <v>4496</v>
      </c>
      <c r="B53" s="7" t="s">
        <v>24</v>
      </c>
      <c r="C53" s="7" t="s">
        <v>4497</v>
      </c>
      <c r="D53" s="7" t="s">
        <v>4498</v>
      </c>
      <c r="E53" s="7" t="s">
        <v>480</v>
      </c>
      <c r="F53" s="7" t="s">
        <v>4499</v>
      </c>
      <c r="G53" s="7" t="s">
        <v>68</v>
      </c>
      <c r="H53" s="10" t="n">
        <v>2800</v>
      </c>
      <c r="I53" s="7" t="s">
        <v>3239</v>
      </c>
      <c r="J53" s="7"/>
      <c r="K53" s="7" t="s">
        <v>4500</v>
      </c>
      <c r="L53" s="7" t="s">
        <v>414</v>
      </c>
      <c r="M53" s="7"/>
      <c r="N53" s="7" t="s">
        <v>4501</v>
      </c>
      <c r="O53" s="7" t="s">
        <v>4502</v>
      </c>
    </row>
    <row r="54" customFormat="false" ht="15" hidden="false" customHeight="false" outlineLevel="0" collapsed="false">
      <c r="A54" s="7" t="s">
        <v>4503</v>
      </c>
      <c r="B54" s="7" t="s">
        <v>24</v>
      </c>
      <c r="C54" s="7" t="s">
        <v>4504</v>
      </c>
      <c r="D54" s="7" t="s">
        <v>549</v>
      </c>
      <c r="E54" s="7" t="s">
        <v>147</v>
      </c>
      <c r="F54" s="7" t="s">
        <v>4505</v>
      </c>
      <c r="G54" s="7" t="s">
        <v>68</v>
      </c>
      <c r="H54" s="10" t="n">
        <v>1500</v>
      </c>
      <c r="I54" s="7" t="s">
        <v>386</v>
      </c>
      <c r="J54" s="7"/>
      <c r="K54" s="7" t="s">
        <v>4506</v>
      </c>
      <c r="L54" s="7" t="s">
        <v>2564</v>
      </c>
      <c r="M54" s="7"/>
      <c r="N54" s="7" t="s">
        <v>4507</v>
      </c>
      <c r="O54" s="7" t="s">
        <v>4485</v>
      </c>
    </row>
    <row r="55" customFormat="false" ht="15" hidden="false" customHeight="false" outlineLevel="0" collapsed="false">
      <c r="A55" s="7" t="s">
        <v>4508</v>
      </c>
      <c r="B55" s="7" t="s">
        <v>24</v>
      </c>
      <c r="C55" s="7" t="s">
        <v>4504</v>
      </c>
      <c r="D55" s="7" t="s">
        <v>1115</v>
      </c>
      <c r="E55" s="7" t="s">
        <v>1116</v>
      </c>
      <c r="F55" s="7" t="s">
        <v>4509</v>
      </c>
      <c r="G55" s="7" t="s">
        <v>68</v>
      </c>
      <c r="H55" s="10" t="n">
        <v>3000</v>
      </c>
      <c r="I55" s="7" t="s">
        <v>69</v>
      </c>
      <c r="J55" s="7" t="s">
        <v>4510</v>
      </c>
      <c r="K55" s="7" t="s">
        <v>4511</v>
      </c>
      <c r="L55" s="7" t="s">
        <v>4512</v>
      </c>
      <c r="M55" s="7"/>
      <c r="N55" s="7" t="s">
        <v>4513</v>
      </c>
      <c r="O55" s="7" t="s">
        <v>334</v>
      </c>
    </row>
    <row r="56" customFormat="false" ht="15" hidden="false" customHeight="false" outlineLevel="0" collapsed="false">
      <c r="A56" s="7" t="s">
        <v>4514</v>
      </c>
      <c r="B56" s="7" t="s">
        <v>24</v>
      </c>
      <c r="C56" s="7" t="s">
        <v>2618</v>
      </c>
      <c r="D56" s="7" t="s">
        <v>347</v>
      </c>
      <c r="E56" s="7" t="s">
        <v>348</v>
      </c>
      <c r="F56" s="7" t="s">
        <v>4515</v>
      </c>
      <c r="G56" s="7" t="s">
        <v>68</v>
      </c>
      <c r="H56" s="10" t="n">
        <v>2200</v>
      </c>
      <c r="I56" s="7" t="s">
        <v>377</v>
      </c>
      <c r="J56" s="7"/>
      <c r="K56" s="7" t="s">
        <v>4516</v>
      </c>
      <c r="L56" s="7" t="s">
        <v>414</v>
      </c>
      <c r="M56" s="7"/>
      <c r="N56" s="7" t="s">
        <v>4517</v>
      </c>
      <c r="O56" s="7" t="s">
        <v>4518</v>
      </c>
    </row>
    <row r="57" customFormat="false" ht="15" hidden="false" customHeight="false" outlineLevel="0" collapsed="false">
      <c r="A57" s="7" t="s">
        <v>4519</v>
      </c>
      <c r="B57" s="7" t="s">
        <v>24</v>
      </c>
      <c r="C57" s="7" t="s">
        <v>2618</v>
      </c>
      <c r="D57" s="7" t="s">
        <v>4520</v>
      </c>
      <c r="E57" s="7" t="s">
        <v>480</v>
      </c>
      <c r="F57" s="7" t="s">
        <v>4521</v>
      </c>
      <c r="G57" s="7" t="s">
        <v>68</v>
      </c>
      <c r="H57" s="10" t="n">
        <v>1300</v>
      </c>
      <c r="I57" s="7" t="s">
        <v>377</v>
      </c>
      <c r="J57" s="7"/>
      <c r="K57" s="7" t="s">
        <v>4522</v>
      </c>
      <c r="L57" s="7" t="s">
        <v>414</v>
      </c>
      <c r="M57" s="7"/>
      <c r="N57" s="7" t="s">
        <v>4523</v>
      </c>
      <c r="O57" s="7" t="s">
        <v>4524</v>
      </c>
    </row>
    <row r="58" customFormat="false" ht="15" hidden="false" customHeight="false" outlineLevel="0" collapsed="false">
      <c r="A58" s="7" t="s">
        <v>4525</v>
      </c>
      <c r="B58" s="7" t="s">
        <v>24</v>
      </c>
      <c r="C58" s="7" t="s">
        <v>4526</v>
      </c>
      <c r="D58" s="7" t="s">
        <v>1434</v>
      </c>
      <c r="E58" s="7" t="s">
        <v>250</v>
      </c>
      <c r="F58" s="7" t="s">
        <v>4527</v>
      </c>
      <c r="G58" s="7" t="s">
        <v>68</v>
      </c>
      <c r="H58" s="10" t="n">
        <v>1700</v>
      </c>
      <c r="I58" s="7" t="s">
        <v>69</v>
      </c>
      <c r="J58" s="7" t="s">
        <v>1032</v>
      </c>
      <c r="K58" s="7" t="s">
        <v>4528</v>
      </c>
      <c r="L58" s="7" t="s">
        <v>4529</v>
      </c>
      <c r="M58" s="7"/>
      <c r="N58" s="7" t="s">
        <v>4530</v>
      </c>
      <c r="O58" s="7" t="s">
        <v>4531</v>
      </c>
    </row>
    <row r="59" customFormat="false" ht="15" hidden="false" customHeight="false" outlineLevel="0" collapsed="false">
      <c r="A59" s="7" t="s">
        <v>4532</v>
      </c>
      <c r="B59" s="7" t="s">
        <v>24</v>
      </c>
      <c r="C59" s="7" t="s">
        <v>2660</v>
      </c>
      <c r="D59" s="7" t="s">
        <v>411</v>
      </c>
      <c r="E59" s="7" t="s">
        <v>137</v>
      </c>
      <c r="F59" s="7" t="s">
        <v>4533</v>
      </c>
      <c r="G59" s="7" t="s">
        <v>68</v>
      </c>
      <c r="H59" s="10" t="n">
        <v>7000</v>
      </c>
      <c r="I59" s="7" t="s">
        <v>350</v>
      </c>
      <c r="J59" s="7"/>
      <c r="K59" s="7" t="s">
        <v>4534</v>
      </c>
      <c r="L59" s="7" t="s">
        <v>2564</v>
      </c>
      <c r="M59" s="7"/>
      <c r="N59" s="7" t="s">
        <v>4535</v>
      </c>
      <c r="O59" s="7" t="s">
        <v>2665</v>
      </c>
    </row>
    <row r="60" customFormat="false" ht="15" hidden="false" customHeight="false" outlineLevel="0" collapsed="false">
      <c r="A60" s="7" t="s">
        <v>4536</v>
      </c>
      <c r="B60" s="7" t="s">
        <v>24</v>
      </c>
      <c r="C60" s="7" t="s">
        <v>2618</v>
      </c>
      <c r="D60" s="7" t="s">
        <v>4537</v>
      </c>
      <c r="E60" s="7" t="s">
        <v>155</v>
      </c>
      <c r="F60" s="7" t="s">
        <v>4538</v>
      </c>
      <c r="G60" s="7" t="s">
        <v>68</v>
      </c>
      <c r="H60" s="10" t="n">
        <v>2000</v>
      </c>
      <c r="I60" s="7" t="s">
        <v>377</v>
      </c>
      <c r="J60" s="7"/>
      <c r="K60" s="7" t="s">
        <v>4539</v>
      </c>
      <c r="L60" s="7" t="s">
        <v>414</v>
      </c>
      <c r="M60" s="7"/>
      <c r="N60" s="7" t="s">
        <v>4540</v>
      </c>
      <c r="O60" s="7" t="s">
        <v>4541</v>
      </c>
    </row>
    <row r="61" customFormat="false" ht="15" hidden="false" customHeight="false" outlineLevel="0" collapsed="false">
      <c r="A61" s="7" t="s">
        <v>4542</v>
      </c>
      <c r="B61" s="7" t="s">
        <v>24</v>
      </c>
      <c r="C61" s="7" t="s">
        <v>2618</v>
      </c>
      <c r="D61" s="7" t="s">
        <v>4543</v>
      </c>
      <c r="E61" s="7" t="s">
        <v>250</v>
      </c>
      <c r="F61" s="7" t="s">
        <v>4544</v>
      </c>
      <c r="G61" s="7" t="s">
        <v>68</v>
      </c>
      <c r="H61" s="10" t="n">
        <v>1500</v>
      </c>
      <c r="I61" s="7" t="s">
        <v>377</v>
      </c>
      <c r="J61" s="7"/>
      <c r="K61" s="7" t="s">
        <v>4545</v>
      </c>
      <c r="L61" s="7" t="s">
        <v>2564</v>
      </c>
      <c r="M61" s="7"/>
      <c r="N61" s="7" t="s">
        <v>4546</v>
      </c>
      <c r="O61" s="7" t="s">
        <v>4547</v>
      </c>
    </row>
    <row r="62" customFormat="false" ht="15" hidden="false" customHeight="false" outlineLevel="0" collapsed="false">
      <c r="A62" s="7" t="s">
        <v>4548</v>
      </c>
      <c r="B62" s="7" t="s">
        <v>24</v>
      </c>
      <c r="C62" s="7" t="s">
        <v>2618</v>
      </c>
      <c r="D62" s="7" t="s">
        <v>4467</v>
      </c>
      <c r="E62" s="7" t="s">
        <v>4468</v>
      </c>
      <c r="F62" s="7" t="s">
        <v>4549</v>
      </c>
      <c r="G62" s="7" t="s">
        <v>68</v>
      </c>
      <c r="H62" s="10" t="n">
        <v>2100</v>
      </c>
      <c r="I62" s="7" t="s">
        <v>377</v>
      </c>
      <c r="J62" s="7"/>
      <c r="K62" s="7" t="s">
        <v>4550</v>
      </c>
      <c r="L62" s="7" t="s">
        <v>414</v>
      </c>
      <c r="M62" s="7"/>
      <c r="N62" s="7" t="s">
        <v>4551</v>
      </c>
      <c r="O62" s="7" t="s">
        <v>4552</v>
      </c>
    </row>
    <row r="63" customFormat="false" ht="15" hidden="false" customHeight="false" outlineLevel="0" collapsed="false">
      <c r="A63" s="7" t="s">
        <v>4553</v>
      </c>
      <c r="B63" s="7" t="s">
        <v>24</v>
      </c>
      <c r="C63" s="7" t="s">
        <v>2618</v>
      </c>
      <c r="D63" s="7" t="s">
        <v>4554</v>
      </c>
      <c r="E63" s="7" t="s">
        <v>4555</v>
      </c>
      <c r="F63" s="7" t="s">
        <v>4556</v>
      </c>
      <c r="G63" s="7" t="s">
        <v>68</v>
      </c>
      <c r="H63" s="10" t="n">
        <v>3300</v>
      </c>
      <c r="I63" s="7" t="s">
        <v>377</v>
      </c>
      <c r="J63" s="7"/>
      <c r="K63" s="7" t="s">
        <v>4557</v>
      </c>
      <c r="L63" s="7" t="s">
        <v>414</v>
      </c>
      <c r="M63" s="7"/>
      <c r="N63" s="7" t="s">
        <v>4558</v>
      </c>
      <c r="O63" s="7" t="s">
        <v>4559</v>
      </c>
    </row>
    <row r="64" customFormat="false" ht="15" hidden="false" customHeight="false" outlineLevel="0" collapsed="false">
      <c r="A64" s="7" t="s">
        <v>4560</v>
      </c>
      <c r="B64" s="7" t="s">
        <v>24</v>
      </c>
      <c r="C64" s="7" t="s">
        <v>4561</v>
      </c>
      <c r="D64" s="7" t="s">
        <v>4562</v>
      </c>
      <c r="E64" s="7" t="s">
        <v>4563</v>
      </c>
      <c r="F64" s="7" t="s">
        <v>4564</v>
      </c>
      <c r="G64" s="7" t="s">
        <v>68</v>
      </c>
      <c r="H64" s="10" t="n">
        <v>2500</v>
      </c>
      <c r="I64" s="7" t="s">
        <v>350</v>
      </c>
      <c r="J64" s="7"/>
      <c r="K64" s="7" t="s">
        <v>4565</v>
      </c>
      <c r="L64" s="7" t="s">
        <v>4566</v>
      </c>
      <c r="M64" s="7"/>
      <c r="N64" s="7" t="s">
        <v>4567</v>
      </c>
      <c r="O64" s="7" t="s">
        <v>2704</v>
      </c>
    </row>
    <row r="65" customFormat="false" ht="15" hidden="false" customHeight="false" outlineLevel="0" collapsed="false">
      <c r="A65" s="7" t="s">
        <v>4568</v>
      </c>
      <c r="B65" s="7" t="s">
        <v>24</v>
      </c>
      <c r="C65" s="7" t="s">
        <v>2520</v>
      </c>
      <c r="D65" s="7" t="s">
        <v>4569</v>
      </c>
      <c r="E65" s="7" t="s">
        <v>113</v>
      </c>
      <c r="F65" s="7" t="s">
        <v>4570</v>
      </c>
      <c r="G65" s="7" t="s">
        <v>68</v>
      </c>
      <c r="H65" s="10" t="n">
        <v>1000</v>
      </c>
      <c r="I65" s="7" t="s">
        <v>350</v>
      </c>
      <c r="J65" s="7"/>
      <c r="K65" s="7" t="s">
        <v>4571</v>
      </c>
      <c r="L65" s="7" t="s">
        <v>414</v>
      </c>
      <c r="M65" s="7"/>
      <c r="N65" s="7" t="s">
        <v>4572</v>
      </c>
      <c r="O65" s="7" t="s">
        <v>2525</v>
      </c>
    </row>
    <row r="66" customFormat="false" ht="15" hidden="false" customHeight="false" outlineLevel="0" collapsed="false">
      <c r="A66" s="7" t="s">
        <v>4573</v>
      </c>
      <c r="B66" s="7" t="s">
        <v>24</v>
      </c>
      <c r="C66" s="7" t="s">
        <v>2618</v>
      </c>
      <c r="D66" s="7" t="s">
        <v>4574</v>
      </c>
      <c r="E66" s="7" t="s">
        <v>4555</v>
      </c>
      <c r="F66" s="7" t="s">
        <v>4575</v>
      </c>
      <c r="G66" s="7" t="s">
        <v>68</v>
      </c>
      <c r="H66" s="10" t="n">
        <v>3500</v>
      </c>
      <c r="I66" s="7" t="s">
        <v>377</v>
      </c>
      <c r="J66" s="7"/>
      <c r="K66" s="7" t="s">
        <v>4576</v>
      </c>
      <c r="L66" s="7" t="s">
        <v>4577</v>
      </c>
      <c r="M66" s="7"/>
      <c r="N66" s="7" t="s">
        <v>4578</v>
      </c>
      <c r="O66" s="7" t="s">
        <v>4579</v>
      </c>
    </row>
    <row r="67" customFormat="false" ht="15" hidden="false" customHeight="false" outlineLevel="0" collapsed="false">
      <c r="A67" s="7" t="s">
        <v>4580</v>
      </c>
      <c r="B67" s="7" t="s">
        <v>24</v>
      </c>
      <c r="C67" s="7" t="s">
        <v>2520</v>
      </c>
      <c r="D67" s="7" t="s">
        <v>4581</v>
      </c>
      <c r="E67" s="7" t="s">
        <v>4582</v>
      </c>
      <c r="F67" s="7" t="s">
        <v>4583</v>
      </c>
      <c r="G67" s="7" t="s">
        <v>68</v>
      </c>
      <c r="H67" s="10" t="n">
        <v>2000</v>
      </c>
      <c r="I67" s="7" t="s">
        <v>350</v>
      </c>
      <c r="J67" s="7"/>
      <c r="K67" s="7" t="s">
        <v>4584</v>
      </c>
      <c r="L67" s="7" t="s">
        <v>414</v>
      </c>
      <c r="M67" s="7"/>
      <c r="N67" s="7" t="s">
        <v>4585</v>
      </c>
      <c r="O67" s="7" t="s">
        <v>2525</v>
      </c>
    </row>
    <row r="68" customFormat="false" ht="15" hidden="false" customHeight="false" outlineLevel="0" collapsed="false">
      <c r="A68" s="7" t="s">
        <v>4586</v>
      </c>
      <c r="B68" s="7" t="s">
        <v>24</v>
      </c>
      <c r="C68" s="7" t="s">
        <v>2520</v>
      </c>
      <c r="D68" s="7" t="s">
        <v>4587</v>
      </c>
      <c r="E68" s="7" t="s">
        <v>78</v>
      </c>
      <c r="F68" s="7" t="s">
        <v>4588</v>
      </c>
      <c r="G68" s="7" t="s">
        <v>68</v>
      </c>
      <c r="H68" s="10" t="n">
        <v>2000</v>
      </c>
      <c r="I68" s="7" t="s">
        <v>350</v>
      </c>
      <c r="J68" s="7"/>
      <c r="K68" s="7" t="s">
        <v>4589</v>
      </c>
      <c r="L68" s="7" t="s">
        <v>414</v>
      </c>
      <c r="M68" s="7"/>
      <c r="N68" s="7" t="s">
        <v>4590</v>
      </c>
      <c r="O68" s="7" t="s">
        <v>2509</v>
      </c>
    </row>
    <row r="69" customFormat="false" ht="15" hidden="false" customHeight="false" outlineLevel="0" collapsed="false">
      <c r="A69" s="7" t="s">
        <v>4591</v>
      </c>
      <c r="B69" s="7" t="s">
        <v>24</v>
      </c>
      <c r="C69" s="7" t="s">
        <v>4592</v>
      </c>
      <c r="D69" s="7" t="s">
        <v>65</v>
      </c>
      <c r="E69" s="7" t="s">
        <v>66</v>
      </c>
      <c r="F69" s="7" t="s">
        <v>4593</v>
      </c>
      <c r="G69" s="7" t="s">
        <v>68</v>
      </c>
      <c r="H69" s="10" t="n">
        <v>1000</v>
      </c>
      <c r="I69" s="7" t="s">
        <v>69</v>
      </c>
      <c r="J69" s="7" t="s">
        <v>4594</v>
      </c>
      <c r="K69" s="7" t="s">
        <v>4595</v>
      </c>
      <c r="L69" s="7" t="s">
        <v>2564</v>
      </c>
      <c r="M69" s="7"/>
      <c r="N69" s="7" t="s">
        <v>4596</v>
      </c>
      <c r="O69" s="7" t="s">
        <v>4597</v>
      </c>
    </row>
    <row r="70" customFormat="false" ht="15" hidden="false" customHeight="false" outlineLevel="0" collapsed="false">
      <c r="A70" s="7" t="s">
        <v>4598</v>
      </c>
      <c r="B70" s="7" t="s">
        <v>24</v>
      </c>
      <c r="C70" s="7" t="s">
        <v>2660</v>
      </c>
      <c r="D70" s="7" t="s">
        <v>1321</v>
      </c>
      <c r="E70" s="7" t="s">
        <v>78</v>
      </c>
      <c r="F70" s="7" t="s">
        <v>4599</v>
      </c>
      <c r="G70" s="7" t="s">
        <v>68</v>
      </c>
      <c r="H70" s="10" t="n">
        <v>4500</v>
      </c>
      <c r="I70" s="7" t="s">
        <v>69</v>
      </c>
      <c r="J70" s="7" t="s">
        <v>4600</v>
      </c>
      <c r="K70" s="7" t="s">
        <v>4601</v>
      </c>
      <c r="L70" s="7" t="s">
        <v>4602</v>
      </c>
      <c r="M70" s="7"/>
      <c r="N70" s="7" t="s">
        <v>4603</v>
      </c>
      <c r="O70" s="7" t="s">
        <v>4604</v>
      </c>
    </row>
    <row r="71" customFormat="false" ht="15" hidden="false" customHeight="false" outlineLevel="0" collapsed="false">
      <c r="A71" s="7" t="s">
        <v>4605</v>
      </c>
      <c r="B71" s="7" t="s">
        <v>24</v>
      </c>
      <c r="C71" s="7" t="s">
        <v>4504</v>
      </c>
      <c r="D71" s="7" t="s">
        <v>154</v>
      </c>
      <c r="E71" s="7" t="s">
        <v>155</v>
      </c>
      <c r="F71" s="7" t="s">
        <v>4606</v>
      </c>
      <c r="G71" s="7" t="s">
        <v>68</v>
      </c>
      <c r="H71" s="10" t="n">
        <v>1800</v>
      </c>
      <c r="I71" s="7" t="s">
        <v>69</v>
      </c>
      <c r="J71" s="7" t="s">
        <v>2009</v>
      </c>
      <c r="K71" s="7" t="s">
        <v>4607</v>
      </c>
      <c r="L71" s="7" t="s">
        <v>4512</v>
      </c>
      <c r="M71" s="7"/>
      <c r="N71" s="7" t="s">
        <v>4608</v>
      </c>
      <c r="O71" s="7" t="s">
        <v>4485</v>
      </c>
    </row>
    <row r="72" customFormat="false" ht="15" hidden="false" customHeight="false" outlineLevel="0" collapsed="false">
      <c r="A72" s="7" t="s">
        <v>4609</v>
      </c>
      <c r="B72" s="7" t="s">
        <v>24</v>
      </c>
      <c r="C72" s="7" t="s">
        <v>2618</v>
      </c>
      <c r="D72" s="7" t="s">
        <v>4610</v>
      </c>
      <c r="E72" s="7" t="s">
        <v>3533</v>
      </c>
      <c r="F72" s="7" t="s">
        <v>4611</v>
      </c>
      <c r="G72" s="7" t="s">
        <v>68</v>
      </c>
      <c r="H72" s="10" t="n">
        <v>2200</v>
      </c>
      <c r="I72" s="7" t="s">
        <v>377</v>
      </c>
      <c r="J72" s="7"/>
      <c r="K72" s="7" t="s">
        <v>4612</v>
      </c>
      <c r="L72" s="7" t="s">
        <v>2701</v>
      </c>
      <c r="M72" s="7"/>
      <c r="N72" s="7" t="s">
        <v>4613</v>
      </c>
      <c r="O72" s="7" t="s">
        <v>4614</v>
      </c>
    </row>
    <row r="73" customFormat="false" ht="15" hidden="false" customHeight="false" outlineLevel="0" collapsed="false">
      <c r="A73" s="7" t="s">
        <v>4615</v>
      </c>
      <c r="B73" s="7" t="s">
        <v>24</v>
      </c>
      <c r="C73" s="7" t="s">
        <v>2520</v>
      </c>
      <c r="D73" s="7" t="s">
        <v>4616</v>
      </c>
      <c r="E73" s="7" t="s">
        <v>243</v>
      </c>
      <c r="F73" s="7" t="s">
        <v>4617</v>
      </c>
      <c r="G73" s="7" t="s">
        <v>68</v>
      </c>
      <c r="H73" s="10" t="n">
        <v>1700</v>
      </c>
      <c r="I73" s="7" t="s">
        <v>350</v>
      </c>
      <c r="J73" s="7"/>
      <c r="K73" s="7" t="s">
        <v>4618</v>
      </c>
      <c r="L73" s="7" t="s">
        <v>414</v>
      </c>
      <c r="M73" s="7"/>
      <c r="N73" s="7" t="s">
        <v>4619</v>
      </c>
      <c r="O73" s="7" t="s">
        <v>2525</v>
      </c>
    </row>
    <row r="74" customFormat="false" ht="15" hidden="false" customHeight="false" outlineLevel="0" collapsed="false">
      <c r="A74" s="7" t="s">
        <v>4620</v>
      </c>
      <c r="B74" s="7" t="s">
        <v>24</v>
      </c>
      <c r="C74" s="7" t="s">
        <v>2618</v>
      </c>
      <c r="D74" s="7" t="s">
        <v>4621</v>
      </c>
      <c r="E74" s="7" t="s">
        <v>348</v>
      </c>
      <c r="F74" s="7" t="s">
        <v>4622</v>
      </c>
      <c r="G74" s="7" t="s">
        <v>68</v>
      </c>
      <c r="H74" s="10" t="n">
        <v>2500</v>
      </c>
      <c r="I74" s="7" t="s">
        <v>377</v>
      </c>
      <c r="J74" s="7"/>
      <c r="K74" s="7" t="s">
        <v>4623</v>
      </c>
      <c r="L74" s="7" t="s">
        <v>414</v>
      </c>
      <c r="M74" s="7"/>
      <c r="N74" s="7" t="s">
        <v>4624</v>
      </c>
      <c r="O74" s="7" t="s">
        <v>4625</v>
      </c>
    </row>
    <row r="75" customFormat="false" ht="15" hidden="false" customHeight="false" outlineLevel="0" collapsed="false">
      <c r="A75" s="7" t="s">
        <v>4626</v>
      </c>
      <c r="B75" s="7" t="s">
        <v>24</v>
      </c>
      <c r="C75" s="7" t="s">
        <v>2618</v>
      </c>
      <c r="D75" s="7" t="s">
        <v>4627</v>
      </c>
      <c r="E75" s="7" t="s">
        <v>250</v>
      </c>
      <c r="F75" s="7" t="s">
        <v>4628</v>
      </c>
      <c r="G75" s="7" t="s">
        <v>68</v>
      </c>
      <c r="H75" s="10" t="n">
        <v>3000</v>
      </c>
      <c r="I75" s="7" t="s">
        <v>377</v>
      </c>
      <c r="J75" s="7"/>
      <c r="K75" s="7" t="s">
        <v>4629</v>
      </c>
      <c r="L75" s="7" t="s">
        <v>4630</v>
      </c>
      <c r="M75" s="7"/>
      <c r="N75" s="7" t="s">
        <v>4631</v>
      </c>
      <c r="O75" s="7" t="s">
        <v>4632</v>
      </c>
    </row>
    <row r="76" customFormat="false" ht="15" hidden="false" customHeight="false" outlineLevel="0" collapsed="false">
      <c r="A76" s="7" t="s">
        <v>4633</v>
      </c>
      <c r="B76" s="7" t="s">
        <v>24</v>
      </c>
      <c r="C76" s="7" t="s">
        <v>4634</v>
      </c>
      <c r="D76" s="7" t="s">
        <v>264</v>
      </c>
      <c r="E76" s="7" t="s">
        <v>250</v>
      </c>
      <c r="F76" s="7" t="s">
        <v>4635</v>
      </c>
      <c r="G76" s="7" t="s">
        <v>68</v>
      </c>
      <c r="H76" s="10" t="n">
        <v>900</v>
      </c>
      <c r="I76" s="7" t="s">
        <v>69</v>
      </c>
      <c r="J76" s="7" t="s">
        <v>837</v>
      </c>
      <c r="K76" s="7" t="s">
        <v>4636</v>
      </c>
      <c r="L76" s="7" t="s">
        <v>2564</v>
      </c>
      <c r="M76" s="7"/>
      <c r="N76" s="7" t="s">
        <v>4637</v>
      </c>
      <c r="O76" s="7" t="s">
        <v>4638</v>
      </c>
    </row>
    <row r="77" customFormat="false" ht="15" hidden="false" customHeight="false" outlineLevel="0" collapsed="false">
      <c r="A77" s="7" t="s">
        <v>4639</v>
      </c>
      <c r="B77" s="7" t="s">
        <v>24</v>
      </c>
      <c r="C77" s="7" t="s">
        <v>2520</v>
      </c>
      <c r="D77" s="7" t="s">
        <v>4640</v>
      </c>
      <c r="E77" s="7" t="s">
        <v>163</v>
      </c>
      <c r="F77" s="7" t="s">
        <v>4641</v>
      </c>
      <c r="G77" s="7" t="s">
        <v>68</v>
      </c>
      <c r="H77" s="10" t="n">
        <v>1500</v>
      </c>
      <c r="I77" s="7" t="s">
        <v>350</v>
      </c>
      <c r="J77" s="7"/>
      <c r="K77" s="7" t="s">
        <v>4642</v>
      </c>
      <c r="L77" s="7" t="s">
        <v>414</v>
      </c>
      <c r="M77" s="7"/>
      <c r="N77" s="7" t="s">
        <v>4643</v>
      </c>
      <c r="O77" s="7" t="s">
        <v>2525</v>
      </c>
    </row>
    <row r="78" customFormat="false" ht="15" hidden="false" customHeight="false" outlineLevel="0" collapsed="false">
      <c r="A78" s="7" t="s">
        <v>4644</v>
      </c>
      <c r="B78" s="7" t="s">
        <v>24</v>
      </c>
      <c r="C78" s="7" t="s">
        <v>4504</v>
      </c>
      <c r="D78" s="7" t="s">
        <v>1115</v>
      </c>
      <c r="E78" s="7" t="s">
        <v>1116</v>
      </c>
      <c r="F78" s="7" t="s">
        <v>4645</v>
      </c>
      <c r="G78" s="7" t="s">
        <v>68</v>
      </c>
      <c r="H78" s="10" t="n">
        <v>2500</v>
      </c>
      <c r="I78" s="7" t="s">
        <v>69</v>
      </c>
      <c r="J78" s="7" t="s">
        <v>4646</v>
      </c>
      <c r="K78" s="7" t="s">
        <v>4647</v>
      </c>
      <c r="L78" s="7" t="s">
        <v>4648</v>
      </c>
      <c r="M78" s="7"/>
      <c r="N78" s="7" t="s">
        <v>4649</v>
      </c>
      <c r="O78" s="7" t="s">
        <v>334</v>
      </c>
    </row>
    <row r="79" customFormat="false" ht="15" hidden="false" customHeight="false" outlineLevel="0" collapsed="false">
      <c r="A79" s="7" t="s">
        <v>4650</v>
      </c>
      <c r="B79" s="7" t="s">
        <v>24</v>
      </c>
      <c r="C79" s="7" t="s">
        <v>2609</v>
      </c>
      <c r="D79" s="7" t="s">
        <v>1443</v>
      </c>
      <c r="E79" s="7" t="s">
        <v>455</v>
      </c>
      <c r="F79" s="7" t="s">
        <v>4651</v>
      </c>
      <c r="G79" s="7" t="s">
        <v>68</v>
      </c>
      <c r="H79" s="10" t="n">
        <v>3000</v>
      </c>
      <c r="I79" s="7" t="s">
        <v>69</v>
      </c>
      <c r="J79" s="7" t="s">
        <v>1032</v>
      </c>
      <c r="K79" s="7" t="s">
        <v>4652</v>
      </c>
      <c r="L79" s="7" t="s">
        <v>2613</v>
      </c>
      <c r="M79" s="7"/>
      <c r="N79" s="7" t="s">
        <v>4653</v>
      </c>
      <c r="O79" s="7" t="s">
        <v>4654</v>
      </c>
    </row>
    <row r="80" customFormat="false" ht="15" hidden="false" customHeight="false" outlineLevel="0" collapsed="false">
      <c r="A80" s="7" t="s">
        <v>4655</v>
      </c>
      <c r="B80" s="7" t="s">
        <v>24</v>
      </c>
      <c r="C80" s="7" t="s">
        <v>4656</v>
      </c>
      <c r="D80" s="7" t="s">
        <v>3784</v>
      </c>
      <c r="E80" s="7" t="s">
        <v>78</v>
      </c>
      <c r="F80" s="7" t="s">
        <v>4657</v>
      </c>
      <c r="G80" s="7" t="s">
        <v>68</v>
      </c>
      <c r="H80" s="10" t="n">
        <v>800</v>
      </c>
      <c r="I80" s="7" t="s">
        <v>377</v>
      </c>
      <c r="J80" s="7"/>
      <c r="K80" s="7" t="s">
        <v>4658</v>
      </c>
      <c r="L80" s="7" t="s">
        <v>2604</v>
      </c>
      <c r="M80" s="7"/>
      <c r="N80" s="7" t="s">
        <v>4659</v>
      </c>
      <c r="O80" s="7" t="s">
        <v>4660</v>
      </c>
    </row>
    <row r="81" customFormat="false" ht="15" hidden="false" customHeight="false" outlineLevel="0" collapsed="false">
      <c r="A81" s="7" t="s">
        <v>4661</v>
      </c>
      <c r="B81" s="7" t="s">
        <v>24</v>
      </c>
      <c r="C81" s="7" t="s">
        <v>2618</v>
      </c>
      <c r="D81" s="7" t="s">
        <v>3494</v>
      </c>
      <c r="E81" s="7" t="s">
        <v>78</v>
      </c>
      <c r="F81" s="7" t="s">
        <v>4662</v>
      </c>
      <c r="G81" s="7" t="s">
        <v>68</v>
      </c>
      <c r="H81" s="10" t="n">
        <v>1500</v>
      </c>
      <c r="I81" s="7" t="s">
        <v>377</v>
      </c>
      <c r="J81" s="7"/>
      <c r="K81" s="7" t="s">
        <v>4663</v>
      </c>
      <c r="L81" s="7" t="s">
        <v>414</v>
      </c>
      <c r="M81" s="7"/>
      <c r="N81" s="7" t="s">
        <v>4664</v>
      </c>
      <c r="O81" s="7" t="s">
        <v>4665</v>
      </c>
    </row>
    <row r="82" customFormat="false" ht="15" hidden="false" customHeight="false" outlineLevel="0" collapsed="false">
      <c r="A82" s="7" t="s">
        <v>4666</v>
      </c>
      <c r="B82" s="7" t="s">
        <v>24</v>
      </c>
      <c r="C82" s="7" t="s">
        <v>2660</v>
      </c>
      <c r="D82" s="7" t="s">
        <v>694</v>
      </c>
      <c r="E82" s="7" t="s">
        <v>190</v>
      </c>
      <c r="F82" s="7" t="s">
        <v>4667</v>
      </c>
      <c r="G82" s="7" t="s">
        <v>68</v>
      </c>
      <c r="H82" s="10" t="n">
        <v>4000</v>
      </c>
      <c r="I82" s="7" t="s">
        <v>350</v>
      </c>
      <c r="J82" s="7"/>
      <c r="K82" s="7" t="s">
        <v>4668</v>
      </c>
      <c r="L82" s="7" t="s">
        <v>2564</v>
      </c>
      <c r="M82" s="7"/>
      <c r="N82" s="7" t="s">
        <v>4669</v>
      </c>
      <c r="O82" s="7" t="s">
        <v>2665</v>
      </c>
    </row>
    <row r="83" customFormat="false" ht="15" hidden="false" customHeight="false" outlineLevel="0" collapsed="false">
      <c r="A83" s="7" t="s">
        <v>4670</v>
      </c>
      <c r="B83" s="7" t="s">
        <v>24</v>
      </c>
      <c r="C83" s="7" t="s">
        <v>2660</v>
      </c>
      <c r="D83" s="7" t="s">
        <v>4671</v>
      </c>
      <c r="E83" s="7" t="s">
        <v>78</v>
      </c>
      <c r="F83" s="7" t="s">
        <v>4672</v>
      </c>
      <c r="G83" s="7" t="s">
        <v>68</v>
      </c>
      <c r="H83" s="10" t="n">
        <v>4000</v>
      </c>
      <c r="I83" s="7" t="s">
        <v>3239</v>
      </c>
      <c r="J83" s="7"/>
      <c r="K83" s="7" t="s">
        <v>4673</v>
      </c>
      <c r="L83" s="7" t="s">
        <v>2564</v>
      </c>
      <c r="M83" s="7"/>
      <c r="N83" s="7" t="s">
        <v>4674</v>
      </c>
      <c r="O83" s="7" t="s">
        <v>2665</v>
      </c>
    </row>
    <row r="84" customFormat="false" ht="15" hidden="false" customHeight="false" outlineLevel="0" collapsed="false">
      <c r="A84" s="7" t="s">
        <v>4675</v>
      </c>
      <c r="B84" s="7" t="s">
        <v>24</v>
      </c>
      <c r="C84" s="7" t="s">
        <v>4676</v>
      </c>
      <c r="D84" s="7" t="s">
        <v>182</v>
      </c>
      <c r="E84" s="7" t="s">
        <v>163</v>
      </c>
      <c r="F84" s="7" t="s">
        <v>4677</v>
      </c>
      <c r="G84" s="7" t="s">
        <v>68</v>
      </c>
      <c r="H84" s="10" t="n">
        <v>1500</v>
      </c>
      <c r="I84" s="7" t="s">
        <v>350</v>
      </c>
      <c r="J84" s="7"/>
      <c r="K84" s="7" t="s">
        <v>4678</v>
      </c>
      <c r="L84" s="7" t="s">
        <v>2604</v>
      </c>
      <c r="M84" s="7"/>
      <c r="N84" s="7" t="s">
        <v>4679</v>
      </c>
      <c r="O84" s="7" t="s">
        <v>4680</v>
      </c>
    </row>
    <row r="85" customFormat="false" ht="15" hidden="false" customHeight="false" outlineLevel="0" collapsed="false">
      <c r="A85" s="7" t="s">
        <v>4681</v>
      </c>
      <c r="B85" s="7" t="s">
        <v>24</v>
      </c>
      <c r="C85" s="7" t="s">
        <v>4682</v>
      </c>
      <c r="D85" s="7" t="s">
        <v>4562</v>
      </c>
      <c r="E85" s="7" t="s">
        <v>4563</v>
      </c>
      <c r="F85" s="7" t="s">
        <v>4683</v>
      </c>
      <c r="G85" s="7" t="s">
        <v>68</v>
      </c>
      <c r="H85" s="10" t="n">
        <v>1200</v>
      </c>
      <c r="I85" s="7" t="s">
        <v>377</v>
      </c>
      <c r="J85" s="7"/>
      <c r="K85" s="7" t="s">
        <v>4684</v>
      </c>
      <c r="L85" s="7" t="s">
        <v>4685</v>
      </c>
      <c r="M85" s="7"/>
      <c r="N85" s="7" t="s">
        <v>4686</v>
      </c>
      <c r="O85" s="7" t="s">
        <v>4687</v>
      </c>
    </row>
    <row r="86" customFormat="false" ht="15" hidden="false" customHeight="false" outlineLevel="0" collapsed="false">
      <c r="A86" s="7" t="s">
        <v>4688</v>
      </c>
      <c r="B86" s="7" t="s">
        <v>24</v>
      </c>
      <c r="C86" s="7" t="s">
        <v>4689</v>
      </c>
      <c r="D86" s="7" t="s">
        <v>112</v>
      </c>
      <c r="E86" s="7" t="s">
        <v>113</v>
      </c>
      <c r="F86" s="7" t="s">
        <v>4690</v>
      </c>
      <c r="G86" s="7" t="s">
        <v>68</v>
      </c>
      <c r="H86" s="10" t="n">
        <v>2200</v>
      </c>
      <c r="I86" s="7" t="s">
        <v>377</v>
      </c>
      <c r="J86" s="7"/>
      <c r="K86" s="7" t="s">
        <v>4691</v>
      </c>
      <c r="L86" s="7" t="s">
        <v>2604</v>
      </c>
      <c r="M86" s="7"/>
      <c r="N86" s="7" t="s">
        <v>4692</v>
      </c>
      <c r="O86" s="7" t="s">
        <v>4693</v>
      </c>
    </row>
    <row r="87" customFormat="false" ht="15" hidden="false" customHeight="false" outlineLevel="0" collapsed="false">
      <c r="A87" s="7" t="s">
        <v>4694</v>
      </c>
      <c r="B87" s="7" t="s">
        <v>24</v>
      </c>
      <c r="C87" s="7" t="s">
        <v>4695</v>
      </c>
      <c r="D87" s="7" t="s">
        <v>1822</v>
      </c>
      <c r="E87" s="7" t="s">
        <v>66</v>
      </c>
      <c r="F87" s="7" t="s">
        <v>4696</v>
      </c>
      <c r="G87" s="7" t="s">
        <v>68</v>
      </c>
      <c r="H87" s="10" t="n">
        <v>1000</v>
      </c>
      <c r="I87" s="7" t="s">
        <v>377</v>
      </c>
      <c r="J87" s="7"/>
      <c r="K87" s="7" t="s">
        <v>4697</v>
      </c>
      <c r="L87" s="7" t="s">
        <v>2604</v>
      </c>
      <c r="M87" s="7"/>
      <c r="N87" s="7" t="s">
        <v>4698</v>
      </c>
      <c r="O87" s="7" t="s">
        <v>4699</v>
      </c>
    </row>
    <row r="88" customFormat="false" ht="15" hidden="false" customHeight="false" outlineLevel="0" collapsed="false">
      <c r="A88" s="7" t="s">
        <v>4700</v>
      </c>
      <c r="B88" s="7" t="s">
        <v>24</v>
      </c>
      <c r="C88" s="7" t="s">
        <v>2618</v>
      </c>
      <c r="D88" s="7" t="s">
        <v>4701</v>
      </c>
      <c r="E88" s="7" t="s">
        <v>222</v>
      </c>
      <c r="F88" s="7" t="s">
        <v>4702</v>
      </c>
      <c r="G88" s="7" t="s">
        <v>68</v>
      </c>
      <c r="H88" s="10" t="n">
        <v>1900</v>
      </c>
      <c r="I88" s="7" t="s">
        <v>377</v>
      </c>
      <c r="J88" s="7"/>
      <c r="K88" s="7" t="s">
        <v>4703</v>
      </c>
      <c r="L88" s="7" t="s">
        <v>414</v>
      </c>
      <c r="M88" s="7"/>
      <c r="N88" s="7" t="s">
        <v>4704</v>
      </c>
      <c r="O88" s="7" t="s">
        <v>4705</v>
      </c>
    </row>
    <row r="89" customFormat="false" ht="15" hidden="false" customHeight="false" outlineLevel="0" collapsed="false">
      <c r="A89" s="7" t="s">
        <v>4706</v>
      </c>
      <c r="B89" s="7" t="s">
        <v>24</v>
      </c>
      <c r="C89" s="7" t="s">
        <v>2520</v>
      </c>
      <c r="D89" s="7" t="s">
        <v>4707</v>
      </c>
      <c r="E89" s="7" t="s">
        <v>250</v>
      </c>
      <c r="F89" s="7" t="s">
        <v>4708</v>
      </c>
      <c r="G89" s="7" t="s">
        <v>68</v>
      </c>
      <c r="H89" s="10" t="n">
        <v>2500</v>
      </c>
      <c r="I89" s="7" t="s">
        <v>350</v>
      </c>
      <c r="J89" s="7"/>
      <c r="K89" s="7" t="s">
        <v>4709</v>
      </c>
      <c r="L89" s="7" t="s">
        <v>414</v>
      </c>
      <c r="M89" s="7"/>
      <c r="N89" s="7" t="s">
        <v>4710</v>
      </c>
      <c r="O89" s="7" t="s">
        <v>2525</v>
      </c>
    </row>
    <row r="90" customFormat="false" ht="15" hidden="false" customHeight="false" outlineLevel="0" collapsed="false">
      <c r="A90" s="7" t="s">
        <v>4711</v>
      </c>
      <c r="B90" s="7" t="s">
        <v>24</v>
      </c>
      <c r="C90" s="7" t="s">
        <v>2618</v>
      </c>
      <c r="D90" s="7" t="s">
        <v>4712</v>
      </c>
      <c r="E90" s="7" t="s">
        <v>4713</v>
      </c>
      <c r="F90" s="7" t="s">
        <v>4714</v>
      </c>
      <c r="G90" s="7" t="s">
        <v>68</v>
      </c>
      <c r="H90" s="10" t="n">
        <v>3300</v>
      </c>
      <c r="I90" s="7" t="s">
        <v>377</v>
      </c>
      <c r="J90" s="7"/>
      <c r="K90" s="7" t="s">
        <v>4715</v>
      </c>
      <c r="L90" s="7" t="s">
        <v>414</v>
      </c>
      <c r="M90" s="7"/>
      <c r="N90" s="7" t="s">
        <v>4716</v>
      </c>
      <c r="O90" s="7" t="s">
        <v>4717</v>
      </c>
    </row>
    <row r="91" customFormat="false" ht="15" hidden="false" customHeight="false" outlineLevel="0" collapsed="false">
      <c r="A91" s="7" t="s">
        <v>4718</v>
      </c>
      <c r="B91" s="7" t="s">
        <v>24</v>
      </c>
      <c r="C91" s="7" t="s">
        <v>4719</v>
      </c>
      <c r="D91" s="7" t="s">
        <v>112</v>
      </c>
      <c r="E91" s="7" t="s">
        <v>113</v>
      </c>
      <c r="F91" s="7" t="s">
        <v>4720</v>
      </c>
      <c r="G91" s="7" t="s">
        <v>68</v>
      </c>
      <c r="H91" s="10" t="n">
        <v>1500</v>
      </c>
      <c r="I91" s="7" t="s">
        <v>69</v>
      </c>
      <c r="J91" s="7" t="s">
        <v>4721</v>
      </c>
      <c r="K91" s="7" t="s">
        <v>4722</v>
      </c>
      <c r="L91" s="7" t="s">
        <v>2564</v>
      </c>
      <c r="M91" s="7"/>
      <c r="N91" s="7" t="s">
        <v>4723</v>
      </c>
      <c r="O91" s="7" t="s">
        <v>4485</v>
      </c>
    </row>
    <row r="92" customFormat="false" ht="15" hidden="false" customHeight="false" outlineLevel="0" collapsed="false">
      <c r="A92" s="7" t="s">
        <v>4724</v>
      </c>
      <c r="B92" s="7" t="s">
        <v>24</v>
      </c>
      <c r="C92" s="7" t="s">
        <v>2520</v>
      </c>
      <c r="D92" s="7" t="s">
        <v>4725</v>
      </c>
      <c r="E92" s="7" t="s">
        <v>250</v>
      </c>
      <c r="F92" s="7" t="s">
        <v>4726</v>
      </c>
      <c r="G92" s="7" t="s">
        <v>68</v>
      </c>
      <c r="H92" s="10" t="n">
        <v>1700</v>
      </c>
      <c r="I92" s="7" t="s">
        <v>350</v>
      </c>
      <c r="J92" s="7"/>
      <c r="K92" s="7"/>
      <c r="L92" s="7" t="s">
        <v>414</v>
      </c>
      <c r="M92" s="7"/>
      <c r="N92" s="7" t="s">
        <v>4727</v>
      </c>
      <c r="O92" s="7" t="s">
        <v>2525</v>
      </c>
    </row>
    <row r="93" customFormat="false" ht="15" hidden="false" customHeight="false" outlineLevel="0" collapsed="false">
      <c r="A93" s="7" t="s">
        <v>4728</v>
      </c>
      <c r="B93" s="7" t="s">
        <v>24</v>
      </c>
      <c r="C93" s="7" t="s">
        <v>4729</v>
      </c>
      <c r="D93" s="7" t="s">
        <v>2440</v>
      </c>
      <c r="E93" s="7" t="s">
        <v>97</v>
      </c>
      <c r="F93" s="7" t="s">
        <v>4730</v>
      </c>
      <c r="G93" s="7" t="s">
        <v>68</v>
      </c>
      <c r="H93" s="10" t="n">
        <v>650</v>
      </c>
      <c r="I93" s="7" t="s">
        <v>377</v>
      </c>
      <c r="J93" s="7"/>
      <c r="K93" s="7" t="s">
        <v>4731</v>
      </c>
      <c r="L93" s="7" t="s">
        <v>2701</v>
      </c>
      <c r="M93" s="7"/>
      <c r="N93" s="7" t="s">
        <v>4732</v>
      </c>
      <c r="O93" s="7" t="s">
        <v>4733</v>
      </c>
    </row>
    <row r="94" customFormat="false" ht="15" hidden="false" customHeight="false" outlineLevel="0" collapsed="false">
      <c r="A94" s="7" t="s">
        <v>4734</v>
      </c>
      <c r="B94" s="7" t="s">
        <v>24</v>
      </c>
      <c r="C94" s="7" t="s">
        <v>2618</v>
      </c>
      <c r="D94" s="7" t="s">
        <v>4735</v>
      </c>
      <c r="E94" s="7" t="s">
        <v>3533</v>
      </c>
      <c r="F94" s="7" t="s">
        <v>4736</v>
      </c>
      <c r="G94" s="7" t="s">
        <v>68</v>
      </c>
      <c r="H94" s="10" t="n">
        <v>3000</v>
      </c>
      <c r="I94" s="7" t="s">
        <v>377</v>
      </c>
      <c r="J94" s="7"/>
      <c r="K94" s="7" t="s">
        <v>4737</v>
      </c>
      <c r="L94" s="7" t="s">
        <v>4738</v>
      </c>
      <c r="M94" s="7"/>
      <c r="N94" s="7" t="s">
        <v>4739</v>
      </c>
      <c r="O94" s="7" t="s">
        <v>4740</v>
      </c>
    </row>
    <row r="95" customFormat="false" ht="15" hidden="false" customHeight="false" outlineLevel="0" collapsed="false">
      <c r="A95" s="7" t="s">
        <v>4741</v>
      </c>
      <c r="B95" s="7" t="s">
        <v>24</v>
      </c>
      <c r="C95" s="7" t="s">
        <v>2520</v>
      </c>
      <c r="D95" s="7" t="s">
        <v>146</v>
      </c>
      <c r="E95" s="7" t="s">
        <v>147</v>
      </c>
      <c r="F95" s="7" t="s">
        <v>4742</v>
      </c>
      <c r="G95" s="7" t="s">
        <v>68</v>
      </c>
      <c r="H95" s="10" t="n">
        <v>2500</v>
      </c>
      <c r="I95" s="7" t="s">
        <v>350</v>
      </c>
      <c r="J95" s="7"/>
      <c r="K95" s="7" t="s">
        <v>4743</v>
      </c>
      <c r="L95" s="7" t="s">
        <v>414</v>
      </c>
      <c r="M95" s="7"/>
      <c r="N95" s="7" t="s">
        <v>4744</v>
      </c>
      <c r="O95" s="7" t="s">
        <v>2509</v>
      </c>
    </row>
    <row r="96" customFormat="false" ht="15" hidden="false" customHeight="false" outlineLevel="0" collapsed="false">
      <c r="A96" s="7" t="s">
        <v>4745</v>
      </c>
      <c r="B96" s="7" t="s">
        <v>24</v>
      </c>
      <c r="C96" s="7" t="s">
        <v>2618</v>
      </c>
      <c r="D96" s="7" t="s">
        <v>807</v>
      </c>
      <c r="E96" s="7" t="s">
        <v>88</v>
      </c>
      <c r="F96" s="7" t="s">
        <v>4746</v>
      </c>
      <c r="G96" s="7" t="s">
        <v>68</v>
      </c>
      <c r="H96" s="10" t="n">
        <v>2800</v>
      </c>
      <c r="I96" s="7" t="s">
        <v>377</v>
      </c>
      <c r="J96" s="7"/>
      <c r="K96" s="7" t="s">
        <v>4747</v>
      </c>
      <c r="L96" s="7" t="s">
        <v>4748</v>
      </c>
      <c r="M96" s="7"/>
      <c r="N96" s="7" t="s">
        <v>4749</v>
      </c>
      <c r="O96" s="7" t="s">
        <v>4750</v>
      </c>
    </row>
    <row r="97" customFormat="false" ht="15" hidden="false" customHeight="false" outlineLevel="0" collapsed="false">
      <c r="A97" s="7" t="s">
        <v>4751</v>
      </c>
      <c r="B97" s="7" t="s">
        <v>24</v>
      </c>
      <c r="C97" s="7" t="s">
        <v>2618</v>
      </c>
      <c r="D97" s="7" t="s">
        <v>4752</v>
      </c>
      <c r="E97" s="7" t="s">
        <v>4713</v>
      </c>
      <c r="F97" s="7" t="s">
        <v>4753</v>
      </c>
      <c r="G97" s="7" t="s">
        <v>68</v>
      </c>
      <c r="H97" s="10" t="n">
        <v>2500</v>
      </c>
      <c r="I97" s="7" t="s">
        <v>377</v>
      </c>
      <c r="J97" s="7"/>
      <c r="K97" s="7" t="s">
        <v>4754</v>
      </c>
      <c r="L97" s="7" t="s">
        <v>414</v>
      </c>
      <c r="M97" s="7"/>
      <c r="N97" s="7" t="s">
        <v>4755</v>
      </c>
      <c r="O97" s="7" t="s">
        <v>4756</v>
      </c>
    </row>
    <row r="98" customFormat="false" ht="15" hidden="false" customHeight="false" outlineLevel="0" collapsed="false">
      <c r="A98" s="7" t="s">
        <v>4757</v>
      </c>
      <c r="B98" s="7" t="s">
        <v>24</v>
      </c>
      <c r="C98" s="7" t="s">
        <v>4504</v>
      </c>
      <c r="D98" s="7" t="s">
        <v>4758</v>
      </c>
      <c r="E98" s="7" t="s">
        <v>854</v>
      </c>
      <c r="F98" s="7" t="s">
        <v>4759</v>
      </c>
      <c r="G98" s="7" t="s">
        <v>68</v>
      </c>
      <c r="H98" s="10" t="n">
        <v>1800</v>
      </c>
      <c r="I98" s="7" t="s">
        <v>69</v>
      </c>
      <c r="J98" s="7" t="s">
        <v>4760</v>
      </c>
      <c r="K98" s="7" t="s">
        <v>4761</v>
      </c>
      <c r="L98" s="7" t="s">
        <v>2564</v>
      </c>
      <c r="M98" s="7"/>
      <c r="N98" s="7" t="s">
        <v>4762</v>
      </c>
      <c r="O98" s="7" t="s">
        <v>4485</v>
      </c>
    </row>
    <row r="99" customFormat="false" ht="15" hidden="false" customHeight="false" outlineLevel="0" collapsed="false">
      <c r="A99" s="7" t="s">
        <v>4763</v>
      </c>
      <c r="B99" s="7" t="s">
        <v>24</v>
      </c>
      <c r="C99" s="7" t="s">
        <v>2618</v>
      </c>
      <c r="D99" s="7" t="s">
        <v>3298</v>
      </c>
      <c r="E99" s="7" t="s">
        <v>4764</v>
      </c>
      <c r="F99" s="7" t="s">
        <v>4765</v>
      </c>
      <c r="G99" s="7" t="s">
        <v>68</v>
      </c>
      <c r="H99" s="10" t="n">
        <v>3000</v>
      </c>
      <c r="I99" s="7" t="s">
        <v>377</v>
      </c>
      <c r="J99" s="7"/>
      <c r="K99" s="7" t="s">
        <v>4766</v>
      </c>
      <c r="L99" s="7" t="s">
        <v>414</v>
      </c>
      <c r="M99" s="7"/>
      <c r="N99" s="7" t="s">
        <v>4767</v>
      </c>
      <c r="O99" s="7" t="s">
        <v>4768</v>
      </c>
    </row>
    <row r="100" customFormat="false" ht="15" hidden="false" customHeight="false" outlineLevel="0" collapsed="false">
      <c r="A100" s="7" t="s">
        <v>4769</v>
      </c>
      <c r="B100" s="7" t="s">
        <v>24</v>
      </c>
      <c r="C100" s="7" t="s">
        <v>4770</v>
      </c>
      <c r="D100" s="7" t="s">
        <v>189</v>
      </c>
      <c r="E100" s="7" t="s">
        <v>190</v>
      </c>
      <c r="F100" s="7" t="s">
        <v>4771</v>
      </c>
      <c r="G100" s="7" t="s">
        <v>68</v>
      </c>
      <c r="H100" s="10" t="n">
        <v>3000</v>
      </c>
      <c r="I100" s="7" t="s">
        <v>377</v>
      </c>
      <c r="J100" s="7"/>
      <c r="K100" s="7" t="s">
        <v>4772</v>
      </c>
      <c r="L100" s="7" t="s">
        <v>414</v>
      </c>
      <c r="M100" s="7"/>
      <c r="N100" s="7" t="s">
        <v>4773</v>
      </c>
      <c r="O100" s="7" t="s">
        <v>4774</v>
      </c>
    </row>
    <row r="101" customFormat="false" ht="15" hidden="false" customHeight="false" outlineLevel="0" collapsed="false">
      <c r="A101" s="7" t="s">
        <v>4775</v>
      </c>
      <c r="B101" s="7" t="s">
        <v>24</v>
      </c>
      <c r="C101" s="7" t="s">
        <v>2536</v>
      </c>
      <c r="D101" s="7" t="s">
        <v>4776</v>
      </c>
      <c r="E101" s="7" t="s">
        <v>1212</v>
      </c>
      <c r="F101" s="7" t="s">
        <v>4777</v>
      </c>
      <c r="G101" s="7" t="s">
        <v>149</v>
      </c>
      <c r="H101" s="10" t="n">
        <v>400</v>
      </c>
      <c r="I101" s="7" t="s">
        <v>377</v>
      </c>
      <c r="J101" s="7"/>
      <c r="K101" s="7" t="s">
        <v>4778</v>
      </c>
      <c r="L101" s="7" t="s">
        <v>2531</v>
      </c>
      <c r="M101" s="7"/>
      <c r="N101" s="7" t="s">
        <v>4779</v>
      </c>
      <c r="O101" s="7" t="s">
        <v>4780</v>
      </c>
    </row>
    <row r="102" customFormat="false" ht="15" hidden="false" customHeight="false" outlineLevel="0" collapsed="false">
      <c r="A102" s="7" t="s">
        <v>4781</v>
      </c>
      <c r="B102" s="7" t="s">
        <v>24</v>
      </c>
      <c r="C102" s="7" t="s">
        <v>2697</v>
      </c>
      <c r="D102" s="7" t="s">
        <v>4782</v>
      </c>
      <c r="E102" s="7" t="s">
        <v>250</v>
      </c>
      <c r="F102" s="7" t="s">
        <v>4783</v>
      </c>
      <c r="G102" s="7" t="s">
        <v>149</v>
      </c>
      <c r="H102" s="10" t="n">
        <v>900</v>
      </c>
      <c r="I102" s="7" t="s">
        <v>3239</v>
      </c>
      <c r="J102" s="7"/>
      <c r="K102" s="7" t="s">
        <v>4784</v>
      </c>
      <c r="L102" s="7" t="s">
        <v>4630</v>
      </c>
      <c r="M102" s="7"/>
      <c r="N102" s="7" t="s">
        <v>4785</v>
      </c>
      <c r="O102" s="7" t="s">
        <v>4786</v>
      </c>
    </row>
    <row r="103" customFormat="false" ht="15" hidden="false" customHeight="false" outlineLevel="0" collapsed="false">
      <c r="A103" s="7" t="s">
        <v>4787</v>
      </c>
      <c r="B103" s="7" t="s">
        <v>24</v>
      </c>
      <c r="C103" s="7" t="s">
        <v>2697</v>
      </c>
      <c r="D103" s="7" t="s">
        <v>4467</v>
      </c>
      <c r="E103" s="7" t="s">
        <v>4468</v>
      </c>
      <c r="F103" s="7" t="s">
        <v>4788</v>
      </c>
      <c r="G103" s="7" t="s">
        <v>149</v>
      </c>
      <c r="H103" s="10" t="n">
        <v>1000</v>
      </c>
      <c r="I103" s="7" t="s">
        <v>350</v>
      </c>
      <c r="J103" s="7"/>
      <c r="K103" s="7" t="s">
        <v>4789</v>
      </c>
      <c r="L103" s="7" t="s">
        <v>414</v>
      </c>
      <c r="M103" s="7"/>
      <c r="N103" s="7" t="s">
        <v>4790</v>
      </c>
      <c r="O103" s="7" t="s">
        <v>2704</v>
      </c>
    </row>
    <row r="104" customFormat="false" ht="15" hidden="false" customHeight="false" outlineLevel="0" collapsed="false">
      <c r="A104" s="7" t="s">
        <v>4791</v>
      </c>
      <c r="B104" s="7" t="s">
        <v>24</v>
      </c>
      <c r="C104" s="7" t="s">
        <v>2697</v>
      </c>
      <c r="D104" s="7" t="s">
        <v>4792</v>
      </c>
      <c r="E104" s="7" t="s">
        <v>4713</v>
      </c>
      <c r="F104" s="7" t="s">
        <v>4793</v>
      </c>
      <c r="G104" s="7" t="s">
        <v>149</v>
      </c>
      <c r="H104" s="10" t="n">
        <v>1000</v>
      </c>
      <c r="I104" s="7" t="s">
        <v>350</v>
      </c>
      <c r="J104" s="7"/>
      <c r="K104" s="7" t="s">
        <v>4794</v>
      </c>
      <c r="L104" s="7" t="s">
        <v>4630</v>
      </c>
      <c r="M104" s="7"/>
      <c r="N104" s="7" t="s">
        <v>4795</v>
      </c>
      <c r="O104" s="7" t="s">
        <v>2704</v>
      </c>
    </row>
    <row r="105" customFormat="false" ht="15" hidden="false" customHeight="false" outlineLevel="0" collapsed="false">
      <c r="A105" s="7" t="s">
        <v>4796</v>
      </c>
      <c r="B105" s="7" t="s">
        <v>24</v>
      </c>
      <c r="C105" s="7" t="s">
        <v>2697</v>
      </c>
      <c r="D105" s="7" t="s">
        <v>4797</v>
      </c>
      <c r="E105" s="7" t="s">
        <v>1212</v>
      </c>
      <c r="F105" s="7" t="s">
        <v>4798</v>
      </c>
      <c r="G105" s="7" t="s">
        <v>149</v>
      </c>
      <c r="H105" s="10" t="n">
        <v>900</v>
      </c>
      <c r="I105" s="7" t="s">
        <v>377</v>
      </c>
      <c r="J105" s="7"/>
      <c r="K105" s="7" t="s">
        <v>4799</v>
      </c>
      <c r="L105" s="7" t="s">
        <v>4738</v>
      </c>
      <c r="M105" s="7"/>
      <c r="N105" s="7" t="s">
        <v>4800</v>
      </c>
      <c r="O105" s="7" t="s">
        <v>2704</v>
      </c>
    </row>
    <row r="106" customFormat="false" ht="15" hidden="false" customHeight="false" outlineLevel="0" collapsed="false">
      <c r="A106" s="7" t="s">
        <v>4801</v>
      </c>
      <c r="B106" s="7" t="s">
        <v>24</v>
      </c>
      <c r="C106" s="7" t="s">
        <v>2697</v>
      </c>
      <c r="D106" s="7" t="s">
        <v>4802</v>
      </c>
      <c r="E106" s="7" t="s">
        <v>1030</v>
      </c>
      <c r="F106" s="7" t="s">
        <v>4803</v>
      </c>
      <c r="G106" s="7" t="s">
        <v>149</v>
      </c>
      <c r="H106" s="10" t="n">
        <v>1000</v>
      </c>
      <c r="I106" s="7" t="s">
        <v>3239</v>
      </c>
      <c r="J106" s="7"/>
      <c r="K106" s="7" t="s">
        <v>4804</v>
      </c>
      <c r="L106" s="7" t="s">
        <v>4805</v>
      </c>
      <c r="M106" s="7"/>
      <c r="N106" s="7" t="s">
        <v>4806</v>
      </c>
      <c r="O106" s="7" t="s">
        <v>2704</v>
      </c>
    </row>
    <row r="107" customFormat="false" ht="15" hidden="false" customHeight="false" outlineLevel="0" collapsed="false">
      <c r="A107" s="7" t="s">
        <v>4807</v>
      </c>
      <c r="B107" s="7" t="s">
        <v>24</v>
      </c>
      <c r="C107" s="7" t="s">
        <v>2520</v>
      </c>
      <c r="D107" s="7" t="s">
        <v>65</v>
      </c>
      <c r="E107" s="7" t="s">
        <v>66</v>
      </c>
      <c r="F107" s="7" t="s">
        <v>4808</v>
      </c>
      <c r="G107" s="7" t="s">
        <v>149</v>
      </c>
      <c r="H107" s="10" t="n">
        <v>1200</v>
      </c>
      <c r="I107" s="7" t="s">
        <v>350</v>
      </c>
      <c r="J107" s="7"/>
      <c r="K107" s="7" t="s">
        <v>4809</v>
      </c>
      <c r="L107" s="7" t="s">
        <v>414</v>
      </c>
      <c r="M107" s="7"/>
      <c r="N107" s="7" t="s">
        <v>4810</v>
      </c>
      <c r="O107" s="7" t="s">
        <v>2525</v>
      </c>
    </row>
    <row r="108" customFormat="false" ht="15" hidden="false" customHeight="false" outlineLevel="0" collapsed="false">
      <c r="A108" s="7" t="s">
        <v>4811</v>
      </c>
      <c r="B108" s="7" t="s">
        <v>24</v>
      </c>
      <c r="C108" s="7" t="s">
        <v>4812</v>
      </c>
      <c r="D108" s="7" t="s">
        <v>337</v>
      </c>
      <c r="E108" s="7" t="s">
        <v>338</v>
      </c>
      <c r="F108" s="7" t="s">
        <v>4813</v>
      </c>
      <c r="G108" s="7" t="s">
        <v>149</v>
      </c>
      <c r="H108" s="10" t="n">
        <v>1400</v>
      </c>
      <c r="I108" s="7" t="s">
        <v>350</v>
      </c>
      <c r="J108" s="7"/>
      <c r="K108" s="7" t="s">
        <v>4814</v>
      </c>
      <c r="L108" s="7" t="s">
        <v>4630</v>
      </c>
      <c r="M108" s="7"/>
      <c r="N108" s="7" t="s">
        <v>4815</v>
      </c>
      <c r="O108" s="7" t="s">
        <v>4816</v>
      </c>
    </row>
    <row r="109" customFormat="false" ht="15" hidden="false" customHeight="false" outlineLevel="0" collapsed="false">
      <c r="A109" s="7" t="s">
        <v>4817</v>
      </c>
      <c r="B109" s="7" t="s">
        <v>24</v>
      </c>
      <c r="C109" s="7" t="s">
        <v>4818</v>
      </c>
      <c r="D109" s="7" t="s">
        <v>347</v>
      </c>
      <c r="E109" s="7" t="s">
        <v>348</v>
      </c>
      <c r="F109" s="7" t="s">
        <v>4819</v>
      </c>
      <c r="G109" s="7" t="s">
        <v>149</v>
      </c>
      <c r="H109" s="10" t="n">
        <v>1300</v>
      </c>
      <c r="I109" s="7" t="s">
        <v>377</v>
      </c>
      <c r="J109" s="7"/>
      <c r="K109" s="7" t="s">
        <v>4820</v>
      </c>
      <c r="L109" s="7" t="s">
        <v>2604</v>
      </c>
      <c r="M109" s="7"/>
      <c r="N109" s="7" t="s">
        <v>4821</v>
      </c>
      <c r="O109" s="7" t="s">
        <v>4822</v>
      </c>
    </row>
    <row r="110" customFormat="false" ht="15" hidden="false" customHeight="false" outlineLevel="0" collapsed="false">
      <c r="A110" s="7" t="s">
        <v>4823</v>
      </c>
      <c r="B110" s="7" t="s">
        <v>24</v>
      </c>
      <c r="C110" s="7" t="s">
        <v>2609</v>
      </c>
      <c r="D110" s="7" t="s">
        <v>4824</v>
      </c>
      <c r="E110" s="7" t="s">
        <v>66</v>
      </c>
      <c r="F110" s="7" t="s">
        <v>4825</v>
      </c>
      <c r="G110" s="7" t="s">
        <v>149</v>
      </c>
      <c r="H110" s="10" t="n">
        <v>2200</v>
      </c>
      <c r="I110" s="7" t="s">
        <v>69</v>
      </c>
      <c r="J110" s="7" t="s">
        <v>4826</v>
      </c>
      <c r="K110" s="7" t="s">
        <v>4827</v>
      </c>
      <c r="L110" s="7" t="s">
        <v>414</v>
      </c>
      <c r="M110" s="7"/>
      <c r="N110" s="7" t="s">
        <v>4828</v>
      </c>
      <c r="O110" s="7" t="s">
        <v>4829</v>
      </c>
    </row>
    <row r="111" customFormat="false" ht="15" hidden="false" customHeight="false" outlineLevel="0" collapsed="false">
      <c r="A111" s="7" t="s">
        <v>4830</v>
      </c>
      <c r="B111" s="7" t="s">
        <v>24</v>
      </c>
      <c r="C111" s="7" t="s">
        <v>4504</v>
      </c>
      <c r="D111" s="7" t="s">
        <v>986</v>
      </c>
      <c r="E111" s="7" t="s">
        <v>215</v>
      </c>
      <c r="F111" s="7" t="s">
        <v>4831</v>
      </c>
      <c r="G111" s="7" t="s">
        <v>149</v>
      </c>
      <c r="H111" s="10" t="n">
        <v>1200</v>
      </c>
      <c r="I111" s="7" t="s">
        <v>69</v>
      </c>
      <c r="J111" s="7" t="s">
        <v>4832</v>
      </c>
      <c r="K111" s="7" t="s">
        <v>4833</v>
      </c>
      <c r="L111" s="7" t="s">
        <v>2564</v>
      </c>
      <c r="M111" s="7"/>
      <c r="N111" s="7" t="s">
        <v>4834</v>
      </c>
      <c r="O111" s="7" t="s">
        <v>4485</v>
      </c>
    </row>
    <row r="112" customFormat="false" ht="15" hidden="false" customHeight="false" outlineLevel="0" collapsed="false">
      <c r="A112" s="7" t="s">
        <v>4835</v>
      </c>
      <c r="B112" s="7" t="s">
        <v>24</v>
      </c>
      <c r="C112" s="7" t="s">
        <v>2697</v>
      </c>
      <c r="D112" s="7" t="s">
        <v>4836</v>
      </c>
      <c r="E112" s="7" t="s">
        <v>137</v>
      </c>
      <c r="F112" s="7" t="s">
        <v>4837</v>
      </c>
      <c r="G112" s="7" t="s">
        <v>149</v>
      </c>
      <c r="H112" s="10" t="n">
        <v>900</v>
      </c>
      <c r="I112" s="7" t="s">
        <v>377</v>
      </c>
      <c r="J112" s="7"/>
      <c r="K112" s="7" t="s">
        <v>4838</v>
      </c>
      <c r="L112" s="7" t="s">
        <v>414</v>
      </c>
      <c r="M112" s="7"/>
      <c r="N112" s="7" t="s">
        <v>4839</v>
      </c>
      <c r="O112" s="7" t="s">
        <v>4840</v>
      </c>
    </row>
    <row r="113" customFormat="false" ht="15" hidden="false" customHeight="false" outlineLevel="0" collapsed="false">
      <c r="A113" s="7" t="s">
        <v>4841</v>
      </c>
      <c r="B113" s="7" t="s">
        <v>24</v>
      </c>
      <c r="C113" s="7" t="s">
        <v>2520</v>
      </c>
      <c r="D113" s="7" t="s">
        <v>953</v>
      </c>
      <c r="E113" s="7" t="s">
        <v>1789</v>
      </c>
      <c r="F113" s="7" t="s">
        <v>4842</v>
      </c>
      <c r="G113" s="7" t="s">
        <v>149</v>
      </c>
      <c r="H113" s="10" t="n">
        <v>1000</v>
      </c>
      <c r="I113" s="7" t="s">
        <v>350</v>
      </c>
      <c r="J113" s="7"/>
      <c r="K113" s="7" t="s">
        <v>4843</v>
      </c>
      <c r="L113" s="7" t="s">
        <v>414</v>
      </c>
      <c r="M113" s="7"/>
      <c r="N113" s="7" t="s">
        <v>4844</v>
      </c>
      <c r="O113" s="7" t="s">
        <v>2525</v>
      </c>
    </row>
    <row r="114" customFormat="false" ht="15" hidden="false" customHeight="false" outlineLevel="0" collapsed="false">
      <c r="A114" s="7" t="s">
        <v>4845</v>
      </c>
      <c r="B114" s="7" t="s">
        <v>24</v>
      </c>
      <c r="C114" s="7" t="s">
        <v>4676</v>
      </c>
      <c r="D114" s="7" t="s">
        <v>4846</v>
      </c>
      <c r="E114" s="7" t="s">
        <v>155</v>
      </c>
      <c r="F114" s="7" t="s">
        <v>4847</v>
      </c>
      <c r="G114" s="7" t="s">
        <v>149</v>
      </c>
      <c r="H114" s="10" t="n">
        <v>700</v>
      </c>
      <c r="I114" s="7" t="s">
        <v>69</v>
      </c>
      <c r="J114" s="7" t="s">
        <v>107</v>
      </c>
      <c r="K114" s="7" t="s">
        <v>4848</v>
      </c>
      <c r="L114" s="7" t="s">
        <v>2604</v>
      </c>
      <c r="M114" s="7"/>
      <c r="N114" s="7" t="s">
        <v>4849</v>
      </c>
      <c r="O114" s="7" t="s">
        <v>4850</v>
      </c>
    </row>
    <row r="115" customFormat="false" ht="15" hidden="false" customHeight="false" outlineLevel="0" collapsed="false">
      <c r="A115" s="7" t="s">
        <v>4851</v>
      </c>
      <c r="B115" s="7" t="s">
        <v>24</v>
      </c>
      <c r="C115" s="7" t="s">
        <v>2697</v>
      </c>
      <c r="D115" s="7" t="s">
        <v>2528</v>
      </c>
      <c r="E115" s="7" t="s">
        <v>172</v>
      </c>
      <c r="F115" s="7" t="s">
        <v>4852</v>
      </c>
      <c r="G115" s="7" t="s">
        <v>149</v>
      </c>
      <c r="H115" s="10" t="n">
        <v>1900</v>
      </c>
      <c r="I115" s="7" t="s">
        <v>377</v>
      </c>
      <c r="J115" s="7"/>
      <c r="K115" s="7" t="s">
        <v>4853</v>
      </c>
      <c r="L115" s="7" t="s">
        <v>4738</v>
      </c>
      <c r="M115" s="7"/>
      <c r="N115" s="7" t="s">
        <v>4854</v>
      </c>
      <c r="O115" s="7" t="s">
        <v>2704</v>
      </c>
    </row>
    <row r="116" customFormat="false" ht="15" hidden="false" customHeight="false" outlineLevel="0" collapsed="false">
      <c r="A116" s="7" t="s">
        <v>4855</v>
      </c>
      <c r="B116" s="7" t="s">
        <v>24</v>
      </c>
      <c r="C116" s="7" t="s">
        <v>4856</v>
      </c>
      <c r="D116" s="7" t="s">
        <v>4857</v>
      </c>
      <c r="E116" s="7" t="s">
        <v>610</v>
      </c>
      <c r="F116" s="7" t="s">
        <v>4858</v>
      </c>
      <c r="G116" s="7" t="s">
        <v>149</v>
      </c>
      <c r="H116" s="10" t="n">
        <v>1500</v>
      </c>
      <c r="I116" s="7" t="s">
        <v>350</v>
      </c>
      <c r="J116" s="7"/>
      <c r="K116" s="7" t="s">
        <v>4859</v>
      </c>
      <c r="L116" s="7" t="s">
        <v>2564</v>
      </c>
      <c r="M116" s="7"/>
      <c r="N116" s="7" t="s">
        <v>4860</v>
      </c>
      <c r="O116" s="7" t="s">
        <v>2665</v>
      </c>
    </row>
    <row r="117" customFormat="false" ht="15" hidden="false" customHeight="false" outlineLevel="0" collapsed="false">
      <c r="A117" s="7" t="s">
        <v>4861</v>
      </c>
      <c r="B117" s="7" t="s">
        <v>24</v>
      </c>
      <c r="C117" s="7" t="s">
        <v>4862</v>
      </c>
      <c r="D117" s="7" t="s">
        <v>65</v>
      </c>
      <c r="E117" s="7" t="s">
        <v>66</v>
      </c>
      <c r="F117" s="7" t="s">
        <v>4863</v>
      </c>
      <c r="G117" s="7" t="s">
        <v>149</v>
      </c>
      <c r="H117" s="10" t="n">
        <v>600</v>
      </c>
      <c r="I117" s="7" t="s">
        <v>377</v>
      </c>
      <c r="J117" s="7"/>
      <c r="K117" s="7" t="s">
        <v>4864</v>
      </c>
      <c r="L117" s="7" t="s">
        <v>2604</v>
      </c>
      <c r="M117" s="7"/>
      <c r="N117" s="7" t="s">
        <v>4865</v>
      </c>
      <c r="O117" s="7" t="s">
        <v>4866</v>
      </c>
    </row>
    <row r="118" customFormat="false" ht="15" hidden="false" customHeight="false" outlineLevel="0" collapsed="false">
      <c r="A118" s="7" t="s">
        <v>4867</v>
      </c>
      <c r="B118" s="7" t="s">
        <v>24</v>
      </c>
      <c r="C118" s="7" t="s">
        <v>4868</v>
      </c>
      <c r="D118" s="7" t="s">
        <v>1579</v>
      </c>
      <c r="E118" s="7" t="s">
        <v>854</v>
      </c>
      <c r="F118" s="7" t="s">
        <v>4869</v>
      </c>
      <c r="G118" s="7" t="s">
        <v>149</v>
      </c>
      <c r="H118" s="10" t="n">
        <v>300</v>
      </c>
      <c r="I118" s="7" t="s">
        <v>377</v>
      </c>
      <c r="J118" s="7"/>
      <c r="K118" s="7" t="s">
        <v>4870</v>
      </c>
      <c r="L118" s="7" t="s">
        <v>2604</v>
      </c>
      <c r="M118" s="7"/>
      <c r="N118" s="7" t="s">
        <v>4871</v>
      </c>
      <c r="O118" s="7" t="s">
        <v>4872</v>
      </c>
    </row>
    <row r="119" customFormat="false" ht="15" hidden="false" customHeight="false" outlineLevel="0" collapsed="false">
      <c r="A119" s="7" t="s">
        <v>4873</v>
      </c>
      <c r="B119" s="7" t="s">
        <v>24</v>
      </c>
      <c r="C119" s="7" t="s">
        <v>2697</v>
      </c>
      <c r="D119" s="7" t="s">
        <v>4874</v>
      </c>
      <c r="E119" s="7" t="s">
        <v>250</v>
      </c>
      <c r="F119" s="7" t="s">
        <v>4875</v>
      </c>
      <c r="G119" s="7" t="s">
        <v>149</v>
      </c>
      <c r="H119" s="10" t="n">
        <v>850</v>
      </c>
      <c r="I119" s="7" t="s">
        <v>377</v>
      </c>
      <c r="J119" s="7"/>
      <c r="K119" s="7" t="s">
        <v>4876</v>
      </c>
      <c r="L119" s="7" t="s">
        <v>4877</v>
      </c>
      <c r="M119" s="7"/>
      <c r="N119" s="7" t="s">
        <v>4878</v>
      </c>
      <c r="O119" s="7" t="s">
        <v>2704</v>
      </c>
    </row>
    <row r="120" customFormat="false" ht="15" hidden="false" customHeight="false" outlineLevel="0" collapsed="false">
      <c r="A120" s="7" t="s">
        <v>4879</v>
      </c>
      <c r="B120" s="7" t="s">
        <v>24</v>
      </c>
      <c r="C120" s="7" t="s">
        <v>2697</v>
      </c>
      <c r="D120" s="7" t="s">
        <v>4880</v>
      </c>
      <c r="E120" s="7" t="s">
        <v>2464</v>
      </c>
      <c r="F120" s="7" t="s">
        <v>4881</v>
      </c>
      <c r="G120" s="7" t="s">
        <v>149</v>
      </c>
      <c r="H120" s="10" t="n">
        <v>1100</v>
      </c>
      <c r="I120" s="7" t="s">
        <v>377</v>
      </c>
      <c r="J120" s="7"/>
      <c r="K120" s="7" t="s">
        <v>4882</v>
      </c>
      <c r="L120" s="7" t="s">
        <v>4883</v>
      </c>
      <c r="M120" s="7"/>
      <c r="N120" s="7" t="s">
        <v>4884</v>
      </c>
      <c r="O120" s="7" t="s">
        <v>2704</v>
      </c>
    </row>
    <row r="121" customFormat="false" ht="15" hidden="false" customHeight="false" outlineLevel="0" collapsed="false">
      <c r="A121" s="7" t="s">
        <v>4885</v>
      </c>
      <c r="B121" s="7" t="s">
        <v>24</v>
      </c>
      <c r="C121" s="7" t="s">
        <v>4886</v>
      </c>
      <c r="D121" s="7" t="s">
        <v>1957</v>
      </c>
      <c r="E121" s="7" t="s">
        <v>78</v>
      </c>
      <c r="F121" s="7" t="s">
        <v>4887</v>
      </c>
      <c r="G121" s="7" t="s">
        <v>174</v>
      </c>
      <c r="H121" s="10" t="n">
        <v>500</v>
      </c>
      <c r="I121" s="7" t="s">
        <v>69</v>
      </c>
      <c r="J121" s="7" t="s">
        <v>4888</v>
      </c>
      <c r="K121" s="7" t="s">
        <v>4889</v>
      </c>
      <c r="L121" s="7" t="s">
        <v>2564</v>
      </c>
      <c r="M121" s="7"/>
      <c r="N121" s="7" t="s">
        <v>4890</v>
      </c>
      <c r="O121" s="7" t="s">
        <v>4891</v>
      </c>
    </row>
    <row r="122" customFormat="false" ht="15" hidden="false" customHeight="false" outlineLevel="0" collapsed="false">
      <c r="A122" s="7" t="s">
        <v>4892</v>
      </c>
      <c r="B122" s="7" t="s">
        <v>24</v>
      </c>
      <c r="C122" s="7" t="s">
        <v>4886</v>
      </c>
      <c r="D122" s="7" t="s">
        <v>4253</v>
      </c>
      <c r="E122" s="7" t="s">
        <v>78</v>
      </c>
      <c r="F122" s="7" t="s">
        <v>4893</v>
      </c>
      <c r="G122" s="7" t="s">
        <v>174</v>
      </c>
      <c r="H122" s="10" t="n">
        <v>500</v>
      </c>
      <c r="I122" s="7" t="s">
        <v>69</v>
      </c>
      <c r="J122" s="7" t="s">
        <v>715</v>
      </c>
      <c r="K122" s="7" t="s">
        <v>4894</v>
      </c>
      <c r="L122" s="7" t="s">
        <v>2564</v>
      </c>
      <c r="M122" s="7"/>
      <c r="N122" s="7" t="s">
        <v>4895</v>
      </c>
      <c r="O122" s="7" t="s">
        <v>334</v>
      </c>
    </row>
    <row r="123" customFormat="false" ht="15" hidden="false" customHeight="false" outlineLevel="0" collapsed="false">
      <c r="A123" s="7" t="s">
        <v>4896</v>
      </c>
      <c r="B123" s="7" t="s">
        <v>24</v>
      </c>
      <c r="C123" s="7" t="s">
        <v>2697</v>
      </c>
      <c r="D123" s="7" t="s">
        <v>2819</v>
      </c>
      <c r="E123" s="7" t="s">
        <v>147</v>
      </c>
      <c r="F123" s="7" t="s">
        <v>4897</v>
      </c>
      <c r="G123" s="7" t="s">
        <v>174</v>
      </c>
      <c r="H123" s="10" t="n">
        <v>1000</v>
      </c>
      <c r="I123" s="7" t="s">
        <v>377</v>
      </c>
      <c r="J123" s="7"/>
      <c r="K123" s="7" t="s">
        <v>4898</v>
      </c>
      <c r="L123" s="7" t="s">
        <v>414</v>
      </c>
      <c r="M123" s="7"/>
      <c r="N123" s="7" t="s">
        <v>4899</v>
      </c>
      <c r="O123" s="7" t="s">
        <v>2704</v>
      </c>
    </row>
    <row r="124" customFormat="false" ht="15" hidden="false" customHeight="false" outlineLevel="0" collapsed="false">
      <c r="A124" s="7" t="s">
        <v>4900</v>
      </c>
      <c r="B124" s="7" t="s">
        <v>24</v>
      </c>
      <c r="C124" s="7" t="s">
        <v>4901</v>
      </c>
      <c r="D124" s="7" t="s">
        <v>778</v>
      </c>
      <c r="E124" s="7" t="s">
        <v>779</v>
      </c>
      <c r="F124" s="7" t="s">
        <v>4902</v>
      </c>
      <c r="G124" s="7" t="s">
        <v>174</v>
      </c>
      <c r="H124" s="10" t="n">
        <v>500</v>
      </c>
      <c r="I124" s="7" t="s">
        <v>69</v>
      </c>
      <c r="J124" s="7" t="s">
        <v>4903</v>
      </c>
      <c r="K124" s="7" t="s">
        <v>4904</v>
      </c>
      <c r="L124" s="7" t="s">
        <v>2564</v>
      </c>
      <c r="M124" s="7"/>
      <c r="N124" s="7" t="s">
        <v>4905</v>
      </c>
      <c r="O124" s="7" t="s">
        <v>4906</v>
      </c>
    </row>
    <row r="125" customFormat="false" ht="15" hidden="false" customHeight="false" outlineLevel="0" collapsed="false">
      <c r="A125" s="7" t="s">
        <v>4907</v>
      </c>
      <c r="B125" s="7" t="s">
        <v>24</v>
      </c>
      <c r="C125" s="7" t="s">
        <v>2697</v>
      </c>
      <c r="D125" s="7" t="s">
        <v>4908</v>
      </c>
      <c r="E125" s="7" t="s">
        <v>172</v>
      </c>
      <c r="F125" s="7" t="s">
        <v>4909</v>
      </c>
      <c r="G125" s="7" t="s">
        <v>174</v>
      </c>
      <c r="H125" s="10" t="n">
        <v>550</v>
      </c>
      <c r="I125" s="7" t="s">
        <v>377</v>
      </c>
      <c r="J125" s="7"/>
      <c r="K125" s="7" t="s">
        <v>4910</v>
      </c>
      <c r="L125" s="7" t="s">
        <v>4630</v>
      </c>
      <c r="M125" s="7"/>
      <c r="N125" s="7" t="s">
        <v>4911</v>
      </c>
      <c r="O125" s="7" t="s">
        <v>2704</v>
      </c>
    </row>
    <row r="126" customFormat="false" ht="15" hidden="false" customHeight="false" outlineLevel="0" collapsed="false">
      <c r="A126" s="7" t="s">
        <v>4912</v>
      </c>
      <c r="B126" s="7" t="s">
        <v>24</v>
      </c>
      <c r="C126" s="7" t="s">
        <v>2697</v>
      </c>
      <c r="D126" s="7" t="s">
        <v>4913</v>
      </c>
      <c r="E126" s="7" t="s">
        <v>4563</v>
      </c>
      <c r="F126" s="7" t="s">
        <v>4914</v>
      </c>
      <c r="G126" s="7" t="s">
        <v>174</v>
      </c>
      <c r="H126" s="10" t="n">
        <v>600</v>
      </c>
      <c r="I126" s="7" t="s">
        <v>350</v>
      </c>
      <c r="J126" s="7"/>
      <c r="K126" s="7" t="s">
        <v>4915</v>
      </c>
      <c r="L126" s="7" t="s">
        <v>4630</v>
      </c>
      <c r="M126" s="7"/>
      <c r="N126" s="7" t="s">
        <v>4916</v>
      </c>
      <c r="O126" s="7" t="s">
        <v>2704</v>
      </c>
    </row>
    <row r="127" customFormat="false" ht="15" hidden="false" customHeight="false" outlineLevel="0" collapsed="false">
      <c r="A127" s="7" t="s">
        <v>4917</v>
      </c>
      <c r="B127" s="7" t="s">
        <v>24</v>
      </c>
      <c r="C127" s="7" t="s">
        <v>4886</v>
      </c>
      <c r="D127" s="7" t="s">
        <v>4918</v>
      </c>
      <c r="E127" s="7" t="s">
        <v>78</v>
      </c>
      <c r="F127" s="7" t="s">
        <v>4919</v>
      </c>
      <c r="G127" s="7" t="s">
        <v>174</v>
      </c>
      <c r="H127" s="10" t="n">
        <v>500</v>
      </c>
      <c r="I127" s="7" t="s">
        <v>69</v>
      </c>
      <c r="J127" s="7" t="s">
        <v>4920</v>
      </c>
      <c r="K127" s="7" t="s">
        <v>4921</v>
      </c>
      <c r="L127" s="7" t="s">
        <v>2564</v>
      </c>
      <c r="M127" s="7"/>
      <c r="N127" s="7" t="s">
        <v>4922</v>
      </c>
      <c r="O127" s="7" t="s">
        <v>4485</v>
      </c>
    </row>
    <row r="128" customFormat="false" ht="15" hidden="false" customHeight="false" outlineLevel="0" collapsed="false">
      <c r="A128" s="7" t="s">
        <v>4923</v>
      </c>
      <c r="B128" s="7" t="s">
        <v>24</v>
      </c>
      <c r="C128" s="7" t="s">
        <v>2697</v>
      </c>
      <c r="D128" s="7" t="s">
        <v>4581</v>
      </c>
      <c r="E128" s="7" t="s">
        <v>4582</v>
      </c>
      <c r="F128" s="7" t="s">
        <v>4924</v>
      </c>
      <c r="G128" s="7" t="s">
        <v>174</v>
      </c>
      <c r="H128" s="10" t="n">
        <v>650</v>
      </c>
      <c r="I128" s="7" t="s">
        <v>377</v>
      </c>
      <c r="J128" s="7"/>
      <c r="K128" s="7" t="s">
        <v>4925</v>
      </c>
      <c r="L128" s="7" t="s">
        <v>4630</v>
      </c>
      <c r="M128" s="7"/>
      <c r="N128" s="7" t="s">
        <v>4926</v>
      </c>
      <c r="O128" s="7" t="s">
        <v>2704</v>
      </c>
    </row>
    <row r="129" customFormat="false" ht="15" hidden="false" customHeight="false" outlineLevel="0" collapsed="false">
      <c r="A129" s="7" t="s">
        <v>4927</v>
      </c>
      <c r="B129" s="7" t="s">
        <v>24</v>
      </c>
      <c r="C129" s="7" t="s">
        <v>4928</v>
      </c>
      <c r="D129" s="7" t="s">
        <v>4929</v>
      </c>
      <c r="E129" s="7" t="s">
        <v>163</v>
      </c>
      <c r="F129" s="7" t="s">
        <v>4930</v>
      </c>
      <c r="G129" s="7" t="s">
        <v>174</v>
      </c>
      <c r="H129" s="10" t="n">
        <v>400</v>
      </c>
      <c r="I129" s="7" t="s">
        <v>69</v>
      </c>
      <c r="J129" s="7" t="s">
        <v>175</v>
      </c>
      <c r="K129" s="7" t="s">
        <v>4931</v>
      </c>
      <c r="L129" s="7" t="s">
        <v>2604</v>
      </c>
      <c r="M129" s="7"/>
      <c r="N129" s="7" t="s">
        <v>4932</v>
      </c>
      <c r="O129" s="7" t="s">
        <v>4933</v>
      </c>
    </row>
    <row r="130" customFormat="false" ht="15" hidden="false" customHeight="false" outlineLevel="0" collapsed="false">
      <c r="A130" s="7" t="s">
        <v>4934</v>
      </c>
      <c r="B130" s="7" t="s">
        <v>24</v>
      </c>
      <c r="C130" s="7" t="s">
        <v>2697</v>
      </c>
      <c r="D130" s="7" t="s">
        <v>4935</v>
      </c>
      <c r="E130" s="7" t="s">
        <v>105</v>
      </c>
      <c r="F130" s="7" t="s">
        <v>4936</v>
      </c>
      <c r="G130" s="7" t="s">
        <v>174</v>
      </c>
      <c r="H130" s="10" t="n">
        <v>650</v>
      </c>
      <c r="I130" s="7" t="s">
        <v>377</v>
      </c>
      <c r="J130" s="7"/>
      <c r="K130" s="7" t="s">
        <v>4937</v>
      </c>
      <c r="L130" s="7" t="s">
        <v>2701</v>
      </c>
      <c r="M130" s="7"/>
      <c r="N130" s="7" t="s">
        <v>4938</v>
      </c>
      <c r="O130" s="7" t="s">
        <v>2704</v>
      </c>
    </row>
    <row r="131" customFormat="false" ht="15" hidden="false" customHeight="false" outlineLevel="0" collapsed="false">
      <c r="A131" s="7" t="s">
        <v>4939</v>
      </c>
      <c r="B131" s="7" t="s">
        <v>24</v>
      </c>
      <c r="C131" s="7" t="s">
        <v>4886</v>
      </c>
      <c r="D131" s="7" t="s">
        <v>171</v>
      </c>
      <c r="E131" s="7" t="s">
        <v>172</v>
      </c>
      <c r="F131" s="7" t="s">
        <v>4940</v>
      </c>
      <c r="G131" s="7" t="s">
        <v>174</v>
      </c>
      <c r="H131" s="10" t="n">
        <v>450</v>
      </c>
      <c r="I131" s="7" t="s">
        <v>69</v>
      </c>
      <c r="J131" s="7" t="s">
        <v>4941</v>
      </c>
      <c r="K131" s="7" t="s">
        <v>4942</v>
      </c>
      <c r="L131" s="7" t="s">
        <v>2564</v>
      </c>
      <c r="M131" s="7"/>
      <c r="N131" s="7" t="s">
        <v>4943</v>
      </c>
      <c r="O131" s="7" t="s">
        <v>4485</v>
      </c>
    </row>
    <row r="132" customFormat="false" ht="15" hidden="false" customHeight="false" outlineLevel="0" collapsed="false">
      <c r="A132" s="7" t="s">
        <v>4944</v>
      </c>
      <c r="B132" s="7" t="s">
        <v>24</v>
      </c>
      <c r="C132" s="7" t="s">
        <v>2660</v>
      </c>
      <c r="D132" s="7" t="s">
        <v>4945</v>
      </c>
      <c r="E132" s="7" t="s">
        <v>78</v>
      </c>
      <c r="F132" s="7" t="s">
        <v>4946</v>
      </c>
      <c r="G132" s="7" t="s">
        <v>174</v>
      </c>
      <c r="H132" s="10" t="n">
        <v>1500</v>
      </c>
      <c r="I132" s="7" t="s">
        <v>350</v>
      </c>
      <c r="J132" s="7"/>
      <c r="K132" s="7" t="s">
        <v>4947</v>
      </c>
      <c r="L132" s="7" t="s">
        <v>2564</v>
      </c>
      <c r="M132" s="7"/>
      <c r="N132" s="7" t="s">
        <v>4948</v>
      </c>
      <c r="O132" s="7" t="s">
        <v>4949</v>
      </c>
    </row>
    <row r="133" customFormat="false" ht="15" hidden="false" customHeight="false" outlineLevel="0" collapsed="false">
      <c r="A133" s="7" t="s">
        <v>4950</v>
      </c>
      <c r="B133" s="7" t="s">
        <v>24</v>
      </c>
      <c r="C133" s="7" t="s">
        <v>4951</v>
      </c>
      <c r="D133" s="7" t="s">
        <v>4952</v>
      </c>
      <c r="E133" s="7" t="s">
        <v>222</v>
      </c>
      <c r="F133" s="7" t="s">
        <v>4953</v>
      </c>
      <c r="G133" s="7" t="s">
        <v>174</v>
      </c>
      <c r="H133" s="10" t="n">
        <v>600</v>
      </c>
      <c r="I133" s="7" t="s">
        <v>377</v>
      </c>
      <c r="J133" s="7"/>
      <c r="K133" s="7" t="s">
        <v>4954</v>
      </c>
      <c r="L133" s="7" t="s">
        <v>4955</v>
      </c>
      <c r="M133" s="7"/>
      <c r="N133" s="7" t="s">
        <v>4956</v>
      </c>
      <c r="O133" s="7" t="s">
        <v>2704</v>
      </c>
    </row>
    <row r="134" customFormat="false" ht="15" hidden="false" customHeight="false" outlineLevel="0" collapsed="false">
      <c r="A134" s="7" t="s">
        <v>4957</v>
      </c>
      <c r="B134" s="7" t="s">
        <v>24</v>
      </c>
      <c r="C134" s="7" t="s">
        <v>4886</v>
      </c>
      <c r="D134" s="7" t="s">
        <v>4958</v>
      </c>
      <c r="E134" s="7" t="s">
        <v>155</v>
      </c>
      <c r="F134" s="7" t="s">
        <v>4959</v>
      </c>
      <c r="G134" s="7" t="s">
        <v>174</v>
      </c>
      <c r="H134" s="10" t="n">
        <v>500</v>
      </c>
      <c r="I134" s="7" t="s">
        <v>69</v>
      </c>
      <c r="J134" s="7" t="s">
        <v>457</v>
      </c>
      <c r="K134" s="7" t="s">
        <v>4960</v>
      </c>
      <c r="L134" s="7" t="s">
        <v>2564</v>
      </c>
      <c r="M134" s="7"/>
      <c r="N134" s="7" t="s">
        <v>4961</v>
      </c>
      <c r="O134" s="7" t="s">
        <v>334</v>
      </c>
    </row>
    <row r="135" customFormat="false" ht="15" hidden="false" customHeight="false" outlineLevel="0" collapsed="false">
      <c r="A135" s="7" t="s">
        <v>4962</v>
      </c>
      <c r="B135" s="7" t="s">
        <v>24</v>
      </c>
      <c r="C135" s="7" t="s">
        <v>2660</v>
      </c>
      <c r="D135" s="7" t="s">
        <v>479</v>
      </c>
      <c r="E135" s="7" t="s">
        <v>480</v>
      </c>
      <c r="F135" s="7" t="s">
        <v>4963</v>
      </c>
      <c r="G135" s="7" t="s">
        <v>174</v>
      </c>
      <c r="H135" s="10" t="n">
        <v>1000</v>
      </c>
      <c r="I135" s="7" t="s">
        <v>517</v>
      </c>
      <c r="J135" s="7"/>
      <c r="K135" s="7" t="s">
        <v>4964</v>
      </c>
      <c r="L135" s="7" t="s">
        <v>2564</v>
      </c>
      <c r="M135" s="7"/>
      <c r="N135" s="7" t="s">
        <v>4965</v>
      </c>
      <c r="O135" s="7" t="s">
        <v>4966</v>
      </c>
    </row>
    <row r="136" customFormat="false" ht="15" hidden="false" customHeight="false" outlineLevel="0" collapsed="false">
      <c r="A136" s="7" t="s">
        <v>4967</v>
      </c>
      <c r="B136" s="7" t="s">
        <v>24</v>
      </c>
      <c r="C136" s="7" t="s">
        <v>2697</v>
      </c>
      <c r="D136" s="7" t="s">
        <v>4725</v>
      </c>
      <c r="E136" s="7" t="s">
        <v>250</v>
      </c>
      <c r="F136" s="7" t="s">
        <v>4968</v>
      </c>
      <c r="G136" s="7" t="s">
        <v>174</v>
      </c>
      <c r="H136" s="10" t="n">
        <v>500</v>
      </c>
      <c r="I136" s="7" t="s">
        <v>350</v>
      </c>
      <c r="J136" s="7"/>
      <c r="K136" s="7" t="s">
        <v>4969</v>
      </c>
      <c r="L136" s="7" t="s">
        <v>2701</v>
      </c>
      <c r="M136" s="7"/>
      <c r="N136" s="7" t="s">
        <v>4970</v>
      </c>
      <c r="O136" s="7" t="s">
        <v>2704</v>
      </c>
    </row>
    <row r="137" customFormat="false" ht="15" hidden="false" customHeight="false" outlineLevel="0" collapsed="false">
      <c r="A137" s="7" t="s">
        <v>4971</v>
      </c>
      <c r="B137" s="7" t="s">
        <v>24</v>
      </c>
      <c r="C137" s="7" t="s">
        <v>2697</v>
      </c>
      <c r="D137" s="7" t="s">
        <v>4972</v>
      </c>
      <c r="E137" s="7" t="s">
        <v>4417</v>
      </c>
      <c r="F137" s="7" t="s">
        <v>4973</v>
      </c>
      <c r="G137" s="7" t="s">
        <v>174</v>
      </c>
      <c r="H137" s="10" t="n">
        <v>650</v>
      </c>
      <c r="I137" s="7" t="s">
        <v>377</v>
      </c>
      <c r="J137" s="7"/>
      <c r="K137" s="7" t="s">
        <v>4974</v>
      </c>
      <c r="L137" s="7" t="s">
        <v>4955</v>
      </c>
      <c r="M137" s="7"/>
      <c r="N137" s="7" t="s">
        <v>4975</v>
      </c>
      <c r="O137" s="7" t="s">
        <v>2704</v>
      </c>
    </row>
    <row r="138" customFormat="false" ht="15" hidden="false" customHeight="false" outlineLevel="0" collapsed="false">
      <c r="A138" s="7" t="s">
        <v>4976</v>
      </c>
      <c r="B138" s="7" t="s">
        <v>24</v>
      </c>
      <c r="C138" s="7" t="s">
        <v>4977</v>
      </c>
      <c r="D138" s="7" t="s">
        <v>778</v>
      </c>
      <c r="E138" s="7" t="s">
        <v>779</v>
      </c>
      <c r="F138" s="7" t="s">
        <v>4978</v>
      </c>
      <c r="G138" s="7" t="s">
        <v>174</v>
      </c>
      <c r="H138" s="10" t="n">
        <v>1000</v>
      </c>
      <c r="I138" s="7" t="s">
        <v>377</v>
      </c>
      <c r="J138" s="7"/>
      <c r="K138" s="7" t="s">
        <v>4979</v>
      </c>
      <c r="L138" s="7" t="s">
        <v>2604</v>
      </c>
      <c r="M138" s="7"/>
      <c r="N138" s="7" t="s">
        <v>4980</v>
      </c>
      <c r="O138" s="7" t="s">
        <v>4981</v>
      </c>
    </row>
    <row r="139" customFormat="false" ht="15" hidden="false" customHeight="false" outlineLevel="0" collapsed="false">
      <c r="A139" s="7" t="s">
        <v>4982</v>
      </c>
      <c r="B139" s="7" t="s">
        <v>25</v>
      </c>
      <c r="C139" s="7" t="s">
        <v>4983</v>
      </c>
      <c r="D139" s="7" t="s">
        <v>358</v>
      </c>
      <c r="E139" s="7" t="s">
        <v>359</v>
      </c>
      <c r="F139" s="7" t="s">
        <v>4984</v>
      </c>
      <c r="G139" s="7" t="s">
        <v>149</v>
      </c>
      <c r="H139" s="10" t="n">
        <v>1500</v>
      </c>
      <c r="I139" s="7" t="s">
        <v>350</v>
      </c>
      <c r="J139" s="7"/>
      <c r="K139" s="7" t="s">
        <v>4985</v>
      </c>
      <c r="L139" s="7" t="s">
        <v>4986</v>
      </c>
      <c r="M139" s="7"/>
      <c r="N139" s="7" t="s">
        <v>4987</v>
      </c>
      <c r="O139" s="7" t="s">
        <v>4988</v>
      </c>
    </row>
    <row r="140" customFormat="false" ht="15" hidden="false" customHeight="false" outlineLevel="0" collapsed="false">
      <c r="A140" s="7" t="s">
        <v>4989</v>
      </c>
      <c r="B140" s="7" t="s">
        <v>25</v>
      </c>
      <c r="C140" s="7" t="s">
        <v>4990</v>
      </c>
      <c r="D140" s="7" t="s">
        <v>112</v>
      </c>
      <c r="E140" s="7" t="s">
        <v>113</v>
      </c>
      <c r="F140" s="7" t="s">
        <v>4991</v>
      </c>
      <c r="G140" s="7" t="s">
        <v>149</v>
      </c>
      <c r="H140" s="10" t="n">
        <v>500</v>
      </c>
      <c r="I140" s="7" t="s">
        <v>386</v>
      </c>
      <c r="J140" s="7"/>
      <c r="K140" s="7" t="s">
        <v>4992</v>
      </c>
      <c r="L140" s="7" t="s">
        <v>4993</v>
      </c>
      <c r="M140" s="7"/>
      <c r="N140" s="7" t="s">
        <v>4994</v>
      </c>
      <c r="O140" s="7" t="s">
        <v>4995</v>
      </c>
    </row>
    <row r="141" customFormat="false" ht="15" hidden="false" customHeight="false" outlineLevel="0" collapsed="false">
      <c r="A141" s="7" t="s">
        <v>4996</v>
      </c>
      <c r="B141" s="7" t="s">
        <v>25</v>
      </c>
      <c r="C141" s="7" t="s">
        <v>4997</v>
      </c>
      <c r="D141" s="7" t="s">
        <v>347</v>
      </c>
      <c r="E141" s="7" t="s">
        <v>348</v>
      </c>
      <c r="F141" s="7" t="s">
        <v>4998</v>
      </c>
      <c r="G141" s="7" t="s">
        <v>149</v>
      </c>
      <c r="H141" s="10" t="n">
        <v>2500</v>
      </c>
      <c r="I141" s="7" t="s">
        <v>517</v>
      </c>
      <c r="J141" s="7"/>
      <c r="K141" s="7" t="s">
        <v>4999</v>
      </c>
      <c r="L141" s="7" t="s">
        <v>5000</v>
      </c>
      <c r="M141" s="7"/>
      <c r="N141" s="7" t="s">
        <v>517</v>
      </c>
      <c r="O141" s="7" t="s">
        <v>5001</v>
      </c>
    </row>
    <row r="142" customFormat="false" ht="15" hidden="false" customHeight="false" outlineLevel="0" collapsed="false">
      <c r="A142" s="7" t="s">
        <v>5002</v>
      </c>
      <c r="B142" s="7" t="s">
        <v>25</v>
      </c>
      <c r="C142" s="7" t="s">
        <v>5003</v>
      </c>
      <c r="D142" s="7" t="s">
        <v>65</v>
      </c>
      <c r="E142" s="7" t="s">
        <v>66</v>
      </c>
      <c r="F142" s="7" t="s">
        <v>5004</v>
      </c>
      <c r="G142" s="7" t="s">
        <v>149</v>
      </c>
      <c r="H142" s="10" t="n">
        <v>700</v>
      </c>
      <c r="I142" s="7" t="s">
        <v>69</v>
      </c>
      <c r="J142" s="7" t="s">
        <v>5005</v>
      </c>
      <c r="K142" s="7" t="s">
        <v>5006</v>
      </c>
      <c r="L142" s="7" t="s">
        <v>5007</v>
      </c>
      <c r="M142" s="7"/>
      <c r="N142" s="7" t="s">
        <v>5008</v>
      </c>
      <c r="O142" s="7" t="s">
        <v>5009</v>
      </c>
    </row>
    <row r="143" customFormat="false" ht="15" hidden="false" customHeight="false" outlineLevel="0" collapsed="false">
      <c r="A143" s="7" t="s">
        <v>5010</v>
      </c>
      <c r="B143" s="7" t="s">
        <v>25</v>
      </c>
      <c r="C143" s="7" t="s">
        <v>5011</v>
      </c>
      <c r="D143" s="7" t="s">
        <v>112</v>
      </c>
      <c r="E143" s="7" t="s">
        <v>113</v>
      </c>
      <c r="F143" s="7" t="s">
        <v>5012</v>
      </c>
      <c r="G143" s="7" t="s">
        <v>149</v>
      </c>
      <c r="H143" s="10" t="n">
        <v>1000</v>
      </c>
      <c r="I143" s="7" t="s">
        <v>350</v>
      </c>
      <c r="J143" s="7"/>
      <c r="K143" s="7" t="s">
        <v>5013</v>
      </c>
      <c r="L143" s="7" t="s">
        <v>414</v>
      </c>
      <c r="M143" s="7"/>
      <c r="N143" s="7" t="s">
        <v>517</v>
      </c>
      <c r="O143" s="7" t="s">
        <v>5014</v>
      </c>
    </row>
    <row r="144" customFormat="false" ht="15" hidden="false" customHeight="false" outlineLevel="0" collapsed="false">
      <c r="A144" s="7" t="s">
        <v>5015</v>
      </c>
      <c r="B144" s="7" t="s">
        <v>25</v>
      </c>
      <c r="C144" s="7" t="s">
        <v>5016</v>
      </c>
      <c r="D144" s="7" t="s">
        <v>154</v>
      </c>
      <c r="E144" s="7" t="s">
        <v>155</v>
      </c>
      <c r="F144" s="7" t="s">
        <v>5017</v>
      </c>
      <c r="G144" s="7" t="s">
        <v>149</v>
      </c>
      <c r="H144" s="10" t="n">
        <v>1000</v>
      </c>
      <c r="I144" s="7" t="s">
        <v>69</v>
      </c>
      <c r="J144" s="7" t="s">
        <v>184</v>
      </c>
      <c r="K144" s="7" t="s">
        <v>5018</v>
      </c>
      <c r="L144" s="7" t="s">
        <v>661</v>
      </c>
      <c r="M144" s="7"/>
      <c r="N144" s="7" t="s">
        <v>5019</v>
      </c>
      <c r="O144" s="7" t="s">
        <v>5020</v>
      </c>
    </row>
    <row r="145" customFormat="false" ht="15" hidden="false" customHeight="false" outlineLevel="0" collapsed="false">
      <c r="A145" s="7" t="s">
        <v>5021</v>
      </c>
      <c r="B145" s="7" t="s">
        <v>25</v>
      </c>
      <c r="C145" s="7" t="s">
        <v>5022</v>
      </c>
      <c r="D145" s="7" t="s">
        <v>827</v>
      </c>
      <c r="E145" s="7" t="s">
        <v>480</v>
      </c>
      <c r="F145" s="7" t="s">
        <v>5023</v>
      </c>
      <c r="G145" s="7" t="s">
        <v>174</v>
      </c>
      <c r="H145" s="10" t="n">
        <v>700</v>
      </c>
      <c r="I145" s="7" t="s">
        <v>386</v>
      </c>
      <c r="J145" s="7"/>
      <c r="K145" s="7" t="s">
        <v>5024</v>
      </c>
      <c r="L145" s="7" t="s">
        <v>5025</v>
      </c>
      <c r="M145" s="7"/>
      <c r="N145" s="7" t="s">
        <v>5026</v>
      </c>
      <c r="O145" s="7" t="s">
        <v>5027</v>
      </c>
    </row>
    <row r="146" customFormat="false" ht="15" hidden="false" customHeight="false" outlineLevel="0" collapsed="false">
      <c r="A146" s="7" t="s">
        <v>5028</v>
      </c>
      <c r="B146" s="7" t="s">
        <v>25</v>
      </c>
      <c r="C146" s="7" t="s">
        <v>4990</v>
      </c>
      <c r="D146" s="7" t="s">
        <v>358</v>
      </c>
      <c r="E146" s="7" t="s">
        <v>359</v>
      </c>
      <c r="F146" s="7" t="s">
        <v>5029</v>
      </c>
      <c r="G146" s="7" t="s">
        <v>174</v>
      </c>
      <c r="H146" s="10" t="n">
        <v>300</v>
      </c>
      <c r="I146" s="7" t="s">
        <v>350</v>
      </c>
      <c r="J146" s="7"/>
      <c r="K146" s="7" t="s">
        <v>5030</v>
      </c>
      <c r="L146" s="7" t="s">
        <v>5031</v>
      </c>
      <c r="M146" s="7"/>
      <c r="N146" s="7" t="s">
        <v>354</v>
      </c>
      <c r="O146" s="7" t="s">
        <v>5032</v>
      </c>
    </row>
    <row r="147" customFormat="false" ht="15" hidden="false" customHeight="false" outlineLevel="0" collapsed="false">
      <c r="A147" s="7" t="s">
        <v>5033</v>
      </c>
      <c r="B147" s="7" t="s">
        <v>25</v>
      </c>
      <c r="C147" s="7" t="s">
        <v>5034</v>
      </c>
      <c r="D147" s="7" t="s">
        <v>249</v>
      </c>
      <c r="E147" s="7" t="s">
        <v>250</v>
      </c>
      <c r="F147" s="7" t="s">
        <v>5035</v>
      </c>
      <c r="G147" s="7" t="s">
        <v>174</v>
      </c>
      <c r="H147" s="10" t="n">
        <v>800</v>
      </c>
      <c r="I147" s="7" t="s">
        <v>69</v>
      </c>
      <c r="J147" s="7" t="s">
        <v>5036</v>
      </c>
      <c r="K147" s="7"/>
      <c r="L147" s="7" t="s">
        <v>661</v>
      </c>
      <c r="M147" s="7"/>
      <c r="N147" s="7" t="s">
        <v>5037</v>
      </c>
      <c r="O147" s="7" t="s">
        <v>451</v>
      </c>
    </row>
    <row r="148" customFormat="false" ht="15" hidden="false" customHeight="false" outlineLevel="0" collapsed="false">
      <c r="A148" s="7" t="s">
        <v>5038</v>
      </c>
      <c r="B148" s="7" t="s">
        <v>25</v>
      </c>
      <c r="C148" s="7" t="s">
        <v>540</v>
      </c>
      <c r="D148" s="7" t="s">
        <v>515</v>
      </c>
      <c r="E148" s="7" t="s">
        <v>428</v>
      </c>
      <c r="F148" s="7" t="s">
        <v>5039</v>
      </c>
      <c r="G148" s="7" t="s">
        <v>174</v>
      </c>
      <c r="H148" s="10" t="n">
        <v>400</v>
      </c>
      <c r="I148" s="7" t="s">
        <v>386</v>
      </c>
      <c r="J148" s="7"/>
      <c r="K148" s="7" t="s">
        <v>5040</v>
      </c>
      <c r="L148" s="7" t="s">
        <v>5041</v>
      </c>
      <c r="M148" s="7"/>
      <c r="N148" s="7" t="s">
        <v>5042</v>
      </c>
      <c r="O148" s="7" t="s">
        <v>5043</v>
      </c>
    </row>
    <row r="149" customFormat="false" ht="15" hidden="false" customHeight="false" outlineLevel="0" collapsed="false">
      <c r="A149" s="7" t="s">
        <v>5044</v>
      </c>
      <c r="B149" s="7" t="s">
        <v>25</v>
      </c>
      <c r="C149" s="7" t="s">
        <v>5045</v>
      </c>
      <c r="D149" s="7" t="s">
        <v>112</v>
      </c>
      <c r="E149" s="7" t="s">
        <v>113</v>
      </c>
      <c r="F149" s="7" t="s">
        <v>5046</v>
      </c>
      <c r="G149" s="7" t="s">
        <v>174</v>
      </c>
      <c r="H149" s="10" t="n">
        <v>400</v>
      </c>
      <c r="I149" s="7" t="s">
        <v>69</v>
      </c>
      <c r="J149" s="7"/>
      <c r="K149" s="7" t="s">
        <v>5047</v>
      </c>
      <c r="L149" s="7" t="s">
        <v>5048</v>
      </c>
      <c r="M149" s="7"/>
      <c r="N149" s="7" t="s">
        <v>5049</v>
      </c>
      <c r="O149" s="7" t="s">
        <v>5050</v>
      </c>
    </row>
    <row r="150" customFormat="false" ht="15" hidden="false" customHeight="false" outlineLevel="0" collapsed="false">
      <c r="A150" s="7" t="s">
        <v>5051</v>
      </c>
      <c r="B150" s="7" t="s">
        <v>25</v>
      </c>
      <c r="C150" s="7" t="s">
        <v>5052</v>
      </c>
      <c r="D150" s="7" t="s">
        <v>154</v>
      </c>
      <c r="E150" s="7" t="s">
        <v>155</v>
      </c>
      <c r="F150" s="7" t="s">
        <v>5053</v>
      </c>
      <c r="G150" s="7" t="s">
        <v>174</v>
      </c>
      <c r="H150" s="10" t="n">
        <v>3000</v>
      </c>
      <c r="I150" s="7" t="s">
        <v>350</v>
      </c>
      <c r="J150" s="7"/>
      <c r="K150" s="7" t="s">
        <v>5054</v>
      </c>
      <c r="L150" s="7" t="s">
        <v>5055</v>
      </c>
      <c r="M150" s="7"/>
      <c r="N150" s="7" t="s">
        <v>5056</v>
      </c>
      <c r="O150" s="7" t="s">
        <v>5057</v>
      </c>
    </row>
    <row r="151" customFormat="false" ht="15" hidden="false" customHeight="false" outlineLevel="0" collapsed="false">
      <c r="A151" s="7" t="s">
        <v>5058</v>
      </c>
      <c r="B151" s="7" t="s">
        <v>25</v>
      </c>
      <c r="C151" s="7" t="s">
        <v>410</v>
      </c>
      <c r="D151" s="7" t="s">
        <v>5059</v>
      </c>
      <c r="E151" s="7" t="s">
        <v>147</v>
      </c>
      <c r="F151" s="7" t="s">
        <v>5060</v>
      </c>
      <c r="G151" s="7" t="s">
        <v>174</v>
      </c>
      <c r="H151" s="10" t="n">
        <v>600</v>
      </c>
      <c r="I151" s="7" t="s">
        <v>350</v>
      </c>
      <c r="J151" s="7"/>
      <c r="K151" s="7" t="s">
        <v>5061</v>
      </c>
      <c r="L151" s="7" t="s">
        <v>661</v>
      </c>
      <c r="M151" s="7"/>
      <c r="N151" s="7" t="s">
        <v>485</v>
      </c>
      <c r="O151" s="7" t="s">
        <v>5062</v>
      </c>
    </row>
    <row r="152" customFormat="false" ht="15" hidden="false" customHeight="false" outlineLevel="0" collapsed="false">
      <c r="A152" s="7" t="s">
        <v>5063</v>
      </c>
      <c r="B152" s="7" t="s">
        <v>25</v>
      </c>
      <c r="C152" s="7" t="s">
        <v>5064</v>
      </c>
      <c r="D152" s="7" t="s">
        <v>1245</v>
      </c>
      <c r="E152" s="7" t="s">
        <v>78</v>
      </c>
      <c r="F152" s="7" t="s">
        <v>5065</v>
      </c>
      <c r="G152" s="7" t="s">
        <v>174</v>
      </c>
      <c r="H152" s="10" t="n">
        <v>500</v>
      </c>
      <c r="I152" s="7" t="s">
        <v>69</v>
      </c>
      <c r="J152" s="7" t="s">
        <v>5066</v>
      </c>
      <c r="K152" s="7" t="s">
        <v>5067</v>
      </c>
      <c r="L152" s="7" t="s">
        <v>573</v>
      </c>
      <c r="M152" s="7"/>
      <c r="N152" s="7" t="s">
        <v>5068</v>
      </c>
      <c r="O152" s="7" t="s">
        <v>5069</v>
      </c>
    </row>
    <row r="153" customFormat="false" ht="15" hidden="false" customHeight="false" outlineLevel="0" collapsed="false">
      <c r="A153" s="7" t="s">
        <v>5070</v>
      </c>
      <c r="B153" s="7" t="s">
        <v>25</v>
      </c>
      <c r="C153" s="7" t="s">
        <v>5071</v>
      </c>
      <c r="D153" s="7" t="s">
        <v>347</v>
      </c>
      <c r="E153" s="7" t="s">
        <v>348</v>
      </c>
      <c r="F153" s="7" t="s">
        <v>5072</v>
      </c>
      <c r="G153" s="7" t="s">
        <v>174</v>
      </c>
      <c r="H153" s="10" t="n">
        <v>300</v>
      </c>
      <c r="I153" s="7" t="s">
        <v>350</v>
      </c>
      <c r="J153" s="7"/>
      <c r="K153" s="7" t="s">
        <v>5073</v>
      </c>
      <c r="L153" s="7" t="s">
        <v>5074</v>
      </c>
      <c r="M153" s="7"/>
      <c r="N153" s="7" t="s">
        <v>354</v>
      </c>
      <c r="O153" s="7" t="s">
        <v>5075</v>
      </c>
    </row>
    <row r="154" customFormat="false" ht="15" hidden="false" customHeight="false" outlineLevel="0" collapsed="false">
      <c r="A154" s="7" t="s">
        <v>5076</v>
      </c>
      <c r="B154" s="7" t="s">
        <v>25</v>
      </c>
      <c r="C154" s="7" t="s">
        <v>4990</v>
      </c>
      <c r="D154" s="7" t="s">
        <v>347</v>
      </c>
      <c r="E154" s="7" t="s">
        <v>348</v>
      </c>
      <c r="F154" s="7" t="s">
        <v>5077</v>
      </c>
      <c r="G154" s="7" t="s">
        <v>174</v>
      </c>
      <c r="H154" s="10" t="n">
        <v>500</v>
      </c>
      <c r="I154" s="7" t="s">
        <v>350</v>
      </c>
      <c r="J154" s="7"/>
      <c r="K154" s="7" t="s">
        <v>5078</v>
      </c>
      <c r="L154" s="7" t="s">
        <v>5041</v>
      </c>
      <c r="M154" s="7"/>
      <c r="N154" s="7" t="s">
        <v>5079</v>
      </c>
      <c r="O154" s="7" t="s">
        <v>5080</v>
      </c>
    </row>
    <row r="155" customFormat="false" ht="15" hidden="false" customHeight="false" outlineLevel="0" collapsed="false">
      <c r="A155" s="7" t="s">
        <v>5081</v>
      </c>
      <c r="B155" s="7" t="s">
        <v>25</v>
      </c>
      <c r="C155" s="7" t="s">
        <v>5082</v>
      </c>
      <c r="D155" s="7" t="s">
        <v>704</v>
      </c>
      <c r="E155" s="7" t="s">
        <v>296</v>
      </c>
      <c r="F155" s="7" t="s">
        <v>5083</v>
      </c>
      <c r="G155" s="7" t="s">
        <v>258</v>
      </c>
      <c r="H155" s="10" t="n">
        <v>300</v>
      </c>
      <c r="I155" s="7" t="s">
        <v>350</v>
      </c>
      <c r="J155" s="7"/>
      <c r="K155" s="7" t="s">
        <v>5084</v>
      </c>
      <c r="L155" s="7" t="s">
        <v>5085</v>
      </c>
      <c r="M155" s="7"/>
      <c r="N155" s="7" t="s">
        <v>354</v>
      </c>
      <c r="O155" s="7" t="s">
        <v>5086</v>
      </c>
    </row>
    <row r="156" customFormat="false" ht="15" hidden="false" customHeight="false" outlineLevel="0" collapsed="false">
      <c r="A156" s="7" t="s">
        <v>5087</v>
      </c>
      <c r="B156" s="7" t="s">
        <v>25</v>
      </c>
      <c r="C156" s="7" t="s">
        <v>5088</v>
      </c>
      <c r="D156" s="7" t="s">
        <v>112</v>
      </c>
      <c r="E156" s="7" t="s">
        <v>113</v>
      </c>
      <c r="F156" s="7" t="s">
        <v>5089</v>
      </c>
      <c r="G156" s="7" t="s">
        <v>258</v>
      </c>
      <c r="H156" s="10" t="n">
        <v>300</v>
      </c>
      <c r="I156" s="7" t="s">
        <v>69</v>
      </c>
      <c r="J156" s="7" t="s">
        <v>5090</v>
      </c>
      <c r="K156" s="7"/>
      <c r="L156" s="7" t="s">
        <v>661</v>
      </c>
      <c r="M156" s="7"/>
      <c r="N156" s="7" t="s">
        <v>5091</v>
      </c>
      <c r="O156" s="7" t="s">
        <v>451</v>
      </c>
    </row>
    <row r="157" customFormat="false" ht="15" hidden="false" customHeight="false" outlineLevel="0" collapsed="false">
      <c r="A157" s="7" t="s">
        <v>5092</v>
      </c>
      <c r="B157" s="7" t="s">
        <v>25</v>
      </c>
      <c r="C157" s="7" t="s">
        <v>410</v>
      </c>
      <c r="D157" s="7" t="s">
        <v>5093</v>
      </c>
      <c r="E157" s="7" t="s">
        <v>88</v>
      </c>
      <c r="F157" s="7" t="s">
        <v>5094</v>
      </c>
      <c r="G157" s="7" t="s">
        <v>258</v>
      </c>
      <c r="H157" s="10" t="n">
        <v>400</v>
      </c>
      <c r="I157" s="7" t="s">
        <v>350</v>
      </c>
      <c r="J157" s="7"/>
      <c r="K157" s="7" t="s">
        <v>5095</v>
      </c>
      <c r="L157" s="7" t="s">
        <v>661</v>
      </c>
      <c r="M157" s="7"/>
      <c r="N157" s="7" t="s">
        <v>485</v>
      </c>
      <c r="O157" s="7" t="s">
        <v>5096</v>
      </c>
    </row>
    <row r="158" customFormat="false" ht="15" hidden="false" customHeight="false" outlineLevel="0" collapsed="false">
      <c r="A158" s="7" t="s">
        <v>5097</v>
      </c>
      <c r="B158" s="7" t="s">
        <v>25</v>
      </c>
      <c r="C158" s="7" t="s">
        <v>5098</v>
      </c>
      <c r="D158" s="7" t="s">
        <v>182</v>
      </c>
      <c r="E158" s="7" t="s">
        <v>163</v>
      </c>
      <c r="F158" s="7" t="s">
        <v>5099</v>
      </c>
      <c r="G158" s="7" t="s">
        <v>258</v>
      </c>
      <c r="H158" s="10" t="n">
        <v>200</v>
      </c>
      <c r="I158" s="7" t="s">
        <v>69</v>
      </c>
      <c r="J158" s="7" t="s">
        <v>5100</v>
      </c>
      <c r="K158" s="7"/>
      <c r="L158" s="7" t="s">
        <v>5101</v>
      </c>
      <c r="M158" s="7"/>
      <c r="N158" s="7" t="s">
        <v>5102</v>
      </c>
      <c r="O158" s="7" t="s">
        <v>451</v>
      </c>
    </row>
    <row r="159" customFormat="false" ht="15" hidden="false" customHeight="false" outlineLevel="0" collapsed="false">
      <c r="A159" s="7" t="s">
        <v>5103</v>
      </c>
      <c r="B159" s="7" t="s">
        <v>25</v>
      </c>
      <c r="C159" s="7" t="s">
        <v>5104</v>
      </c>
      <c r="D159" s="7" t="s">
        <v>104</v>
      </c>
      <c r="E159" s="7" t="s">
        <v>105</v>
      </c>
      <c r="F159" s="7" t="s">
        <v>5105</v>
      </c>
      <c r="G159" s="7" t="s">
        <v>258</v>
      </c>
      <c r="H159" s="10" t="n">
        <v>200</v>
      </c>
      <c r="I159" s="7" t="s">
        <v>350</v>
      </c>
      <c r="J159" s="7"/>
      <c r="K159" s="7" t="s">
        <v>5106</v>
      </c>
      <c r="L159" s="7" t="s">
        <v>5107</v>
      </c>
      <c r="M159" s="7"/>
      <c r="N159" s="7" t="s">
        <v>354</v>
      </c>
      <c r="O159" s="7" t="s">
        <v>5108</v>
      </c>
    </row>
    <row r="160" customFormat="false" ht="15" hidden="false" customHeight="false" outlineLevel="0" collapsed="false">
      <c r="A160" s="7" t="s">
        <v>5109</v>
      </c>
      <c r="B160" s="7" t="s">
        <v>25</v>
      </c>
      <c r="C160" s="7" t="s">
        <v>5110</v>
      </c>
      <c r="D160" s="7" t="s">
        <v>249</v>
      </c>
      <c r="E160" s="7" t="s">
        <v>250</v>
      </c>
      <c r="F160" s="7" t="s">
        <v>5111</v>
      </c>
      <c r="G160" s="7" t="s">
        <v>258</v>
      </c>
      <c r="H160" s="10" t="n">
        <v>300</v>
      </c>
      <c r="I160" s="7" t="s">
        <v>350</v>
      </c>
      <c r="J160" s="7"/>
      <c r="K160" s="7" t="s">
        <v>5112</v>
      </c>
      <c r="L160" s="7" t="s">
        <v>5113</v>
      </c>
      <c r="M160" s="7"/>
      <c r="N160" s="7" t="s">
        <v>485</v>
      </c>
      <c r="O160" s="7" t="s">
        <v>5114</v>
      </c>
    </row>
    <row r="161" customFormat="false" ht="15" hidden="false" customHeight="false" outlineLevel="0" collapsed="false">
      <c r="A161" s="7" t="s">
        <v>5115</v>
      </c>
      <c r="B161" s="7" t="s">
        <v>25</v>
      </c>
      <c r="C161" s="7" t="s">
        <v>5116</v>
      </c>
      <c r="D161" s="7" t="s">
        <v>358</v>
      </c>
      <c r="E161" s="7" t="s">
        <v>359</v>
      </c>
      <c r="F161" s="7" t="s">
        <v>5117</v>
      </c>
      <c r="G161" s="7" t="s">
        <v>258</v>
      </c>
      <c r="H161" s="10" t="n">
        <v>400</v>
      </c>
      <c r="I161" s="7" t="s">
        <v>69</v>
      </c>
      <c r="J161" s="7"/>
      <c r="K161" s="7"/>
      <c r="L161" s="7" t="s">
        <v>639</v>
      </c>
      <c r="M161" s="7"/>
      <c r="N161" s="7" t="s">
        <v>5049</v>
      </c>
      <c r="O161" s="7" t="s">
        <v>5118</v>
      </c>
    </row>
    <row r="162" customFormat="false" ht="15" hidden="false" customHeight="false" outlineLevel="0" collapsed="false">
      <c r="A162" s="7" t="s">
        <v>5119</v>
      </c>
      <c r="B162" s="7" t="s">
        <v>26</v>
      </c>
      <c r="C162" s="7" t="s">
        <v>5120</v>
      </c>
      <c r="D162" s="7" t="s">
        <v>5121</v>
      </c>
      <c r="E162" s="7" t="s">
        <v>172</v>
      </c>
      <c r="F162" s="7" t="s">
        <v>5122</v>
      </c>
      <c r="G162" s="7" t="s">
        <v>68</v>
      </c>
      <c r="H162" s="10" t="n">
        <v>1200</v>
      </c>
      <c r="I162" s="7" t="s">
        <v>69</v>
      </c>
      <c r="J162" s="7" t="s">
        <v>1040</v>
      </c>
      <c r="K162" s="7"/>
      <c r="L162" s="7" t="s">
        <v>1491</v>
      </c>
      <c r="M162" s="7"/>
      <c r="N162" s="7" t="s">
        <v>5123</v>
      </c>
      <c r="O162" s="7" t="s">
        <v>5124</v>
      </c>
    </row>
    <row r="163" customFormat="false" ht="15" hidden="false" customHeight="false" outlineLevel="0" collapsed="false">
      <c r="A163" s="7" t="s">
        <v>5125</v>
      </c>
      <c r="B163" s="7" t="s">
        <v>26</v>
      </c>
      <c r="C163" s="7" t="s">
        <v>5126</v>
      </c>
      <c r="D163" s="7" t="s">
        <v>249</v>
      </c>
      <c r="E163" s="7" t="s">
        <v>250</v>
      </c>
      <c r="F163" s="7" t="s">
        <v>5127</v>
      </c>
      <c r="G163" s="7" t="s">
        <v>68</v>
      </c>
      <c r="H163" s="10" t="n">
        <v>1000</v>
      </c>
      <c r="I163" s="7" t="s">
        <v>3239</v>
      </c>
      <c r="J163" s="7"/>
      <c r="K163" s="7"/>
      <c r="L163" s="7" t="s">
        <v>2738</v>
      </c>
      <c r="M163" s="7"/>
      <c r="N163" s="7" t="s">
        <v>2740</v>
      </c>
      <c r="O163" s="7" t="s">
        <v>5128</v>
      </c>
    </row>
    <row r="164" customFormat="false" ht="15" hidden="false" customHeight="false" outlineLevel="0" collapsed="false">
      <c r="A164" s="7" t="s">
        <v>5129</v>
      </c>
      <c r="B164" s="7" t="s">
        <v>26</v>
      </c>
      <c r="C164" s="7" t="s">
        <v>5130</v>
      </c>
      <c r="D164" s="7" t="s">
        <v>4640</v>
      </c>
      <c r="E164" s="7" t="s">
        <v>163</v>
      </c>
      <c r="F164" s="7" t="s">
        <v>5131</v>
      </c>
      <c r="G164" s="7" t="s">
        <v>68</v>
      </c>
      <c r="H164" s="10" t="n">
        <v>2500</v>
      </c>
      <c r="I164" s="7" t="s">
        <v>3239</v>
      </c>
      <c r="J164" s="7"/>
      <c r="K164" s="7"/>
      <c r="L164" s="7" t="s">
        <v>2738</v>
      </c>
      <c r="M164" s="7"/>
      <c r="N164" s="7" t="s">
        <v>2740</v>
      </c>
      <c r="O164" s="7" t="s">
        <v>2741</v>
      </c>
    </row>
    <row r="165" customFormat="false" ht="15" hidden="false" customHeight="false" outlineLevel="0" collapsed="false">
      <c r="A165" s="7" t="s">
        <v>5132</v>
      </c>
      <c r="B165" s="7" t="s">
        <v>26</v>
      </c>
      <c r="C165" s="7" t="s">
        <v>5133</v>
      </c>
      <c r="D165" s="7" t="s">
        <v>171</v>
      </c>
      <c r="E165" s="7" t="s">
        <v>172</v>
      </c>
      <c r="F165" s="7" t="s">
        <v>5134</v>
      </c>
      <c r="G165" s="7" t="s">
        <v>68</v>
      </c>
      <c r="H165" s="10" t="n">
        <v>1500</v>
      </c>
      <c r="I165" s="7" t="s">
        <v>350</v>
      </c>
      <c r="J165" s="7"/>
      <c r="K165" s="7"/>
      <c r="L165" s="7" t="s">
        <v>1491</v>
      </c>
      <c r="M165" s="7"/>
      <c r="N165" s="7" t="s">
        <v>5135</v>
      </c>
      <c r="O165" s="7" t="s">
        <v>5124</v>
      </c>
    </row>
    <row r="166" customFormat="false" ht="15" hidden="false" customHeight="false" outlineLevel="0" collapsed="false">
      <c r="A166" s="7" t="s">
        <v>5136</v>
      </c>
      <c r="B166" s="7" t="s">
        <v>26</v>
      </c>
      <c r="C166" s="7" t="s">
        <v>5137</v>
      </c>
      <c r="D166" s="7" t="s">
        <v>2474</v>
      </c>
      <c r="E166" s="7" t="s">
        <v>1106</v>
      </c>
      <c r="F166" s="7" t="s">
        <v>5138</v>
      </c>
      <c r="G166" s="7" t="s">
        <v>68</v>
      </c>
      <c r="H166" s="10" t="n">
        <v>1000</v>
      </c>
      <c r="I166" s="7" t="s">
        <v>69</v>
      </c>
      <c r="J166" s="7" t="s">
        <v>5139</v>
      </c>
      <c r="K166" s="7"/>
      <c r="L166" s="7" t="s">
        <v>1491</v>
      </c>
      <c r="M166" s="7"/>
      <c r="N166" s="7" t="s">
        <v>5140</v>
      </c>
      <c r="O166" s="7" t="s">
        <v>5124</v>
      </c>
    </row>
    <row r="167" customFormat="false" ht="15" hidden="false" customHeight="false" outlineLevel="0" collapsed="false">
      <c r="A167" s="7" t="s">
        <v>5141</v>
      </c>
      <c r="B167" s="7" t="s">
        <v>26</v>
      </c>
      <c r="C167" s="7" t="s">
        <v>5142</v>
      </c>
      <c r="D167" s="7" t="s">
        <v>5143</v>
      </c>
      <c r="E167" s="7" t="s">
        <v>172</v>
      </c>
      <c r="F167" s="7" t="s">
        <v>5144</v>
      </c>
      <c r="G167" s="7" t="s">
        <v>68</v>
      </c>
      <c r="H167" s="10" t="n">
        <v>1200</v>
      </c>
      <c r="I167" s="7" t="s">
        <v>350</v>
      </c>
      <c r="J167" s="7"/>
      <c r="K167" s="7"/>
      <c r="L167" s="7" t="s">
        <v>2738</v>
      </c>
      <c r="M167" s="7"/>
      <c r="N167" s="7" t="s">
        <v>2740</v>
      </c>
      <c r="O167" s="7" t="s">
        <v>2741</v>
      </c>
    </row>
    <row r="168" customFormat="false" ht="15" hidden="false" customHeight="false" outlineLevel="0" collapsed="false">
      <c r="A168" s="7" t="s">
        <v>5145</v>
      </c>
      <c r="B168" s="7" t="s">
        <v>26</v>
      </c>
      <c r="C168" s="7" t="s">
        <v>5146</v>
      </c>
      <c r="D168" s="7" t="s">
        <v>2440</v>
      </c>
      <c r="E168" s="7" t="s">
        <v>97</v>
      </c>
      <c r="F168" s="7" t="s">
        <v>5147</v>
      </c>
      <c r="G168" s="7" t="s">
        <v>68</v>
      </c>
      <c r="H168" s="10" t="n">
        <v>1500</v>
      </c>
      <c r="I168" s="7" t="s">
        <v>3239</v>
      </c>
      <c r="J168" s="7"/>
      <c r="K168" s="7"/>
      <c r="L168" s="7" t="s">
        <v>2738</v>
      </c>
      <c r="M168" s="7"/>
      <c r="N168" s="7" t="s">
        <v>2740</v>
      </c>
      <c r="O168" s="7" t="s">
        <v>5148</v>
      </c>
    </row>
    <row r="169" customFormat="false" ht="15" hidden="false" customHeight="false" outlineLevel="0" collapsed="false">
      <c r="A169" s="7" t="s">
        <v>5149</v>
      </c>
      <c r="B169" s="7" t="s">
        <v>26</v>
      </c>
      <c r="C169" s="7" t="s">
        <v>5150</v>
      </c>
      <c r="D169" s="7" t="s">
        <v>5151</v>
      </c>
      <c r="E169" s="7" t="s">
        <v>1789</v>
      </c>
      <c r="F169" s="7" t="s">
        <v>5152</v>
      </c>
      <c r="G169" s="7" t="s">
        <v>68</v>
      </c>
      <c r="H169" s="10" t="n">
        <v>700</v>
      </c>
      <c r="I169" s="7" t="s">
        <v>3239</v>
      </c>
      <c r="J169" s="7"/>
      <c r="K169" s="7"/>
      <c r="L169" s="7" t="s">
        <v>2738</v>
      </c>
      <c r="M169" s="7"/>
      <c r="N169" s="7" t="s">
        <v>2740</v>
      </c>
      <c r="O169" s="7" t="s">
        <v>5148</v>
      </c>
    </row>
    <row r="170" customFormat="false" ht="15" hidden="false" customHeight="false" outlineLevel="0" collapsed="false">
      <c r="A170" s="7" t="s">
        <v>5153</v>
      </c>
      <c r="B170" s="7" t="s">
        <v>26</v>
      </c>
      <c r="C170" s="7" t="s">
        <v>5126</v>
      </c>
      <c r="D170" s="7" t="s">
        <v>5154</v>
      </c>
      <c r="E170" s="7" t="s">
        <v>296</v>
      </c>
      <c r="F170" s="7" t="s">
        <v>5155</v>
      </c>
      <c r="G170" s="7" t="s">
        <v>68</v>
      </c>
      <c r="H170" s="10" t="n">
        <v>1500</v>
      </c>
      <c r="I170" s="7" t="s">
        <v>350</v>
      </c>
      <c r="J170" s="7"/>
      <c r="K170" s="7"/>
      <c r="L170" s="7" t="s">
        <v>2738</v>
      </c>
      <c r="M170" s="7"/>
      <c r="N170" s="7" t="s">
        <v>2740</v>
      </c>
      <c r="O170" s="7" t="s">
        <v>5128</v>
      </c>
    </row>
    <row r="171" customFormat="false" ht="15" hidden="false" customHeight="false" outlineLevel="0" collapsed="false">
      <c r="A171" s="7" t="s">
        <v>5156</v>
      </c>
      <c r="B171" s="7" t="s">
        <v>26</v>
      </c>
      <c r="C171" s="7" t="s">
        <v>5157</v>
      </c>
      <c r="D171" s="7" t="s">
        <v>5158</v>
      </c>
      <c r="E171" s="7" t="s">
        <v>250</v>
      </c>
      <c r="F171" s="7" t="s">
        <v>5159</v>
      </c>
      <c r="G171" s="7" t="s">
        <v>68</v>
      </c>
      <c r="H171" s="10" t="n">
        <v>700</v>
      </c>
      <c r="I171" s="7" t="s">
        <v>350</v>
      </c>
      <c r="J171" s="7"/>
      <c r="K171" s="7"/>
      <c r="L171" s="7" t="s">
        <v>2738</v>
      </c>
      <c r="M171" s="7"/>
      <c r="N171" s="7" t="s">
        <v>2740</v>
      </c>
      <c r="O171" s="7" t="s">
        <v>5160</v>
      </c>
    </row>
    <row r="172" customFormat="false" ht="15" hidden="false" customHeight="false" outlineLevel="0" collapsed="false">
      <c r="A172" s="7" t="s">
        <v>5161</v>
      </c>
      <c r="B172" s="7" t="s">
        <v>26</v>
      </c>
      <c r="C172" s="7" t="s">
        <v>5162</v>
      </c>
      <c r="D172" s="7" t="s">
        <v>1090</v>
      </c>
      <c r="E172" s="7" t="s">
        <v>163</v>
      </c>
      <c r="F172" s="7" t="s">
        <v>5163</v>
      </c>
      <c r="G172" s="7" t="s">
        <v>68</v>
      </c>
      <c r="H172" s="10" t="n">
        <v>1200</v>
      </c>
      <c r="I172" s="7" t="s">
        <v>350</v>
      </c>
      <c r="J172" s="7"/>
      <c r="K172" s="7"/>
      <c r="L172" s="7" t="s">
        <v>1491</v>
      </c>
      <c r="M172" s="7"/>
      <c r="N172" s="7" t="s">
        <v>5164</v>
      </c>
      <c r="O172" s="7" t="s">
        <v>5124</v>
      </c>
    </row>
    <row r="173" customFormat="false" ht="15" hidden="false" customHeight="false" outlineLevel="0" collapsed="false">
      <c r="A173" s="7" t="s">
        <v>5165</v>
      </c>
      <c r="B173" s="7" t="s">
        <v>26</v>
      </c>
      <c r="C173" s="7" t="s">
        <v>5166</v>
      </c>
      <c r="D173" s="7" t="s">
        <v>5167</v>
      </c>
      <c r="E173" s="7" t="s">
        <v>172</v>
      </c>
      <c r="F173" s="7" t="s">
        <v>5168</v>
      </c>
      <c r="G173" s="7" t="s">
        <v>68</v>
      </c>
      <c r="H173" s="10" t="n">
        <v>800</v>
      </c>
      <c r="I173" s="7" t="s">
        <v>3239</v>
      </c>
      <c r="J173" s="7"/>
      <c r="K173" s="7"/>
      <c r="L173" s="7" t="s">
        <v>2738</v>
      </c>
      <c r="M173" s="7"/>
      <c r="N173" s="7" t="s">
        <v>2740</v>
      </c>
      <c r="O173" s="7" t="s">
        <v>5148</v>
      </c>
    </row>
    <row r="174" customFormat="false" ht="15" hidden="false" customHeight="false" outlineLevel="0" collapsed="false">
      <c r="A174" s="7" t="s">
        <v>5169</v>
      </c>
      <c r="B174" s="7" t="s">
        <v>26</v>
      </c>
      <c r="C174" s="7" t="s">
        <v>5170</v>
      </c>
      <c r="D174" s="7" t="s">
        <v>5171</v>
      </c>
      <c r="E174" s="7" t="s">
        <v>222</v>
      </c>
      <c r="F174" s="7" t="s">
        <v>5172</v>
      </c>
      <c r="G174" s="7" t="s">
        <v>68</v>
      </c>
      <c r="H174" s="10" t="n">
        <v>1000</v>
      </c>
      <c r="I174" s="7" t="s">
        <v>69</v>
      </c>
      <c r="J174" s="7" t="s">
        <v>5173</v>
      </c>
      <c r="K174" s="7"/>
      <c r="L174" s="7" t="s">
        <v>2738</v>
      </c>
      <c r="M174" s="7"/>
      <c r="N174" s="7" t="s">
        <v>2740</v>
      </c>
      <c r="O174" s="7" t="s">
        <v>5174</v>
      </c>
    </row>
    <row r="175" customFormat="false" ht="15" hidden="false" customHeight="false" outlineLevel="0" collapsed="false">
      <c r="A175" s="7" t="s">
        <v>5175</v>
      </c>
      <c r="B175" s="7" t="s">
        <v>26</v>
      </c>
      <c r="C175" s="7" t="s">
        <v>5130</v>
      </c>
      <c r="D175" s="7" t="s">
        <v>5176</v>
      </c>
      <c r="E175" s="7" t="s">
        <v>88</v>
      </c>
      <c r="F175" s="7" t="s">
        <v>5177</v>
      </c>
      <c r="G175" s="7" t="s">
        <v>68</v>
      </c>
      <c r="H175" s="10" t="n">
        <v>4000</v>
      </c>
      <c r="I175" s="7" t="s">
        <v>3239</v>
      </c>
      <c r="J175" s="7"/>
      <c r="K175" s="7"/>
      <c r="L175" s="7" t="s">
        <v>2738</v>
      </c>
      <c r="M175" s="7"/>
      <c r="N175" s="7" t="s">
        <v>2740</v>
      </c>
      <c r="O175" s="7" t="s">
        <v>2741</v>
      </c>
    </row>
    <row r="176" customFormat="false" ht="15" hidden="false" customHeight="false" outlineLevel="0" collapsed="false">
      <c r="A176" s="7" t="s">
        <v>5178</v>
      </c>
      <c r="B176" s="7" t="s">
        <v>26</v>
      </c>
      <c r="C176" s="7" t="s">
        <v>5179</v>
      </c>
      <c r="D176" s="7" t="s">
        <v>5180</v>
      </c>
      <c r="E176" s="7" t="s">
        <v>66</v>
      </c>
      <c r="F176" s="7" t="s">
        <v>5181</v>
      </c>
      <c r="G176" s="7" t="s">
        <v>68</v>
      </c>
      <c r="H176" s="10" t="n">
        <v>400</v>
      </c>
      <c r="I176" s="7" t="s">
        <v>350</v>
      </c>
      <c r="J176" s="7"/>
      <c r="K176" s="7"/>
      <c r="L176" s="7" t="s">
        <v>2738</v>
      </c>
      <c r="M176" s="7"/>
      <c r="N176" s="7" t="s">
        <v>5182</v>
      </c>
      <c r="O176" s="7" t="s">
        <v>2755</v>
      </c>
    </row>
    <row r="177" customFormat="false" ht="15" hidden="false" customHeight="false" outlineLevel="0" collapsed="false">
      <c r="A177" s="7" t="s">
        <v>5183</v>
      </c>
      <c r="B177" s="7" t="s">
        <v>26</v>
      </c>
      <c r="C177" s="7" t="s">
        <v>5184</v>
      </c>
      <c r="D177" s="7" t="s">
        <v>146</v>
      </c>
      <c r="E177" s="7" t="s">
        <v>147</v>
      </c>
      <c r="F177" s="7" t="s">
        <v>5185</v>
      </c>
      <c r="G177" s="7" t="s">
        <v>68</v>
      </c>
      <c r="H177" s="10" t="n">
        <v>1500</v>
      </c>
      <c r="I177" s="7" t="s">
        <v>3239</v>
      </c>
      <c r="J177" s="7"/>
      <c r="K177" s="7"/>
      <c r="L177" s="7" t="s">
        <v>2738</v>
      </c>
      <c r="M177" s="7"/>
      <c r="N177" s="7" t="s">
        <v>2740</v>
      </c>
      <c r="O177" s="7" t="s">
        <v>2741</v>
      </c>
    </row>
    <row r="178" customFormat="false" ht="15" hidden="false" customHeight="false" outlineLevel="0" collapsed="false">
      <c r="A178" s="7" t="s">
        <v>5186</v>
      </c>
      <c r="B178" s="7" t="s">
        <v>26</v>
      </c>
      <c r="C178" s="7" t="s">
        <v>5187</v>
      </c>
      <c r="D178" s="7" t="s">
        <v>5188</v>
      </c>
      <c r="E178" s="7" t="s">
        <v>428</v>
      </c>
      <c r="F178" s="7" t="s">
        <v>5189</v>
      </c>
      <c r="G178" s="7" t="s">
        <v>68</v>
      </c>
      <c r="H178" s="10" t="n">
        <v>1000</v>
      </c>
      <c r="I178" s="7" t="s">
        <v>3239</v>
      </c>
      <c r="J178" s="7"/>
      <c r="K178" s="7"/>
      <c r="L178" s="7" t="s">
        <v>2738</v>
      </c>
      <c r="M178" s="7"/>
      <c r="N178" s="7" t="s">
        <v>2740</v>
      </c>
      <c r="O178" s="7" t="s">
        <v>5174</v>
      </c>
    </row>
    <row r="179" customFormat="false" ht="15" hidden="false" customHeight="false" outlineLevel="0" collapsed="false">
      <c r="A179" s="7" t="s">
        <v>5190</v>
      </c>
      <c r="B179" s="7" t="s">
        <v>26</v>
      </c>
      <c r="C179" s="7" t="s">
        <v>5191</v>
      </c>
      <c r="D179" s="7" t="s">
        <v>827</v>
      </c>
      <c r="E179" s="7" t="s">
        <v>1116</v>
      </c>
      <c r="F179" s="7" t="s">
        <v>5192</v>
      </c>
      <c r="G179" s="7" t="s">
        <v>68</v>
      </c>
      <c r="H179" s="10" t="n">
        <v>700</v>
      </c>
      <c r="I179" s="7" t="s">
        <v>517</v>
      </c>
      <c r="J179" s="7"/>
      <c r="K179" s="7"/>
      <c r="L179" s="7" t="s">
        <v>2738</v>
      </c>
      <c r="M179" s="7"/>
      <c r="N179" s="7" t="s">
        <v>5193</v>
      </c>
      <c r="O179" s="7" t="s">
        <v>5194</v>
      </c>
    </row>
    <row r="180" customFormat="false" ht="15" hidden="false" customHeight="false" outlineLevel="0" collapsed="false">
      <c r="A180" s="7" t="s">
        <v>5195</v>
      </c>
      <c r="B180" s="7" t="s">
        <v>26</v>
      </c>
      <c r="C180" s="7" t="s">
        <v>5196</v>
      </c>
      <c r="D180" s="7" t="s">
        <v>5197</v>
      </c>
      <c r="E180" s="7" t="s">
        <v>854</v>
      </c>
      <c r="F180" s="7" t="s">
        <v>5198</v>
      </c>
      <c r="G180" s="7" t="s">
        <v>68</v>
      </c>
      <c r="H180" s="10" t="n">
        <v>1000</v>
      </c>
      <c r="I180" s="7" t="s">
        <v>377</v>
      </c>
      <c r="J180" s="7"/>
      <c r="K180" s="7" t="s">
        <v>5199</v>
      </c>
      <c r="L180" s="7" t="s">
        <v>2738</v>
      </c>
      <c r="M180" s="7"/>
      <c r="N180" s="7"/>
      <c r="O180" s="7" t="s">
        <v>5194</v>
      </c>
    </row>
    <row r="181" customFormat="false" ht="15" hidden="false" customHeight="false" outlineLevel="0" collapsed="false">
      <c r="A181" s="7" t="s">
        <v>5200</v>
      </c>
      <c r="B181" s="7" t="s">
        <v>26</v>
      </c>
      <c r="C181" s="7" t="s">
        <v>5201</v>
      </c>
      <c r="D181" s="7" t="s">
        <v>316</v>
      </c>
      <c r="E181" s="7" t="s">
        <v>348</v>
      </c>
      <c r="F181" s="7" t="s">
        <v>5202</v>
      </c>
      <c r="G181" s="7" t="s">
        <v>68</v>
      </c>
      <c r="H181" s="10" t="n">
        <v>1500</v>
      </c>
      <c r="I181" s="7" t="s">
        <v>350</v>
      </c>
      <c r="J181" s="7"/>
      <c r="K181" s="7"/>
      <c r="L181" s="7" t="s">
        <v>2738</v>
      </c>
      <c r="M181" s="7"/>
      <c r="N181" s="7" t="s">
        <v>2740</v>
      </c>
      <c r="O181" s="7" t="s">
        <v>2741</v>
      </c>
    </row>
    <row r="182" customFormat="false" ht="15" hidden="false" customHeight="false" outlineLevel="0" collapsed="false">
      <c r="A182" s="7" t="s">
        <v>5203</v>
      </c>
      <c r="B182" s="7" t="s">
        <v>26</v>
      </c>
      <c r="C182" s="7" t="s">
        <v>5204</v>
      </c>
      <c r="D182" s="7" t="s">
        <v>5205</v>
      </c>
      <c r="E182" s="7" t="s">
        <v>296</v>
      </c>
      <c r="F182" s="7" t="s">
        <v>5206</v>
      </c>
      <c r="G182" s="7" t="s">
        <v>68</v>
      </c>
      <c r="H182" s="10" t="n">
        <v>1200</v>
      </c>
      <c r="I182" s="7" t="s">
        <v>3239</v>
      </c>
      <c r="J182" s="7"/>
      <c r="K182" s="7"/>
      <c r="L182" s="7" t="s">
        <v>2738</v>
      </c>
      <c r="M182" s="7"/>
      <c r="N182" s="7" t="s">
        <v>2740</v>
      </c>
      <c r="O182" s="7" t="s">
        <v>5128</v>
      </c>
    </row>
    <row r="183" customFormat="false" ht="15" hidden="false" customHeight="false" outlineLevel="0" collapsed="false">
      <c r="A183" s="7" t="s">
        <v>5207</v>
      </c>
      <c r="B183" s="7" t="s">
        <v>26</v>
      </c>
      <c r="C183" s="7" t="s">
        <v>5208</v>
      </c>
      <c r="D183" s="7" t="s">
        <v>5209</v>
      </c>
      <c r="E183" s="7" t="s">
        <v>163</v>
      </c>
      <c r="F183" s="7" t="s">
        <v>5210</v>
      </c>
      <c r="G183" s="7" t="s">
        <v>68</v>
      </c>
      <c r="H183" s="10" t="n">
        <v>600</v>
      </c>
      <c r="I183" s="7" t="s">
        <v>350</v>
      </c>
      <c r="J183" s="7"/>
      <c r="K183" s="7"/>
      <c r="L183" s="7" t="s">
        <v>2738</v>
      </c>
      <c r="M183" s="7"/>
      <c r="N183" s="7" t="s">
        <v>2740</v>
      </c>
      <c r="O183" s="7" t="s">
        <v>5160</v>
      </c>
    </row>
    <row r="184" customFormat="false" ht="15" hidden="false" customHeight="false" outlineLevel="0" collapsed="false">
      <c r="A184" s="7" t="s">
        <v>5211</v>
      </c>
      <c r="B184" s="7" t="s">
        <v>26</v>
      </c>
      <c r="C184" s="7" t="s">
        <v>5212</v>
      </c>
      <c r="D184" s="7" t="s">
        <v>3149</v>
      </c>
      <c r="E184" s="7" t="s">
        <v>172</v>
      </c>
      <c r="F184" s="7" t="s">
        <v>5213</v>
      </c>
      <c r="G184" s="7" t="s">
        <v>68</v>
      </c>
      <c r="H184" s="10" t="n">
        <v>1800</v>
      </c>
      <c r="I184" s="7" t="s">
        <v>3239</v>
      </c>
      <c r="J184" s="7"/>
      <c r="K184" s="7"/>
      <c r="L184" s="7" t="s">
        <v>5214</v>
      </c>
      <c r="M184" s="7"/>
      <c r="N184" s="7" t="s">
        <v>5215</v>
      </c>
      <c r="O184" s="7" t="s">
        <v>2755</v>
      </c>
    </row>
    <row r="185" customFormat="false" ht="15" hidden="false" customHeight="false" outlineLevel="0" collapsed="false">
      <c r="A185" s="7" t="s">
        <v>5216</v>
      </c>
      <c r="B185" s="7" t="s">
        <v>26</v>
      </c>
      <c r="C185" s="7" t="s">
        <v>5208</v>
      </c>
      <c r="D185" s="7" t="s">
        <v>5217</v>
      </c>
      <c r="E185" s="7" t="s">
        <v>1030</v>
      </c>
      <c r="F185" s="7" t="s">
        <v>5218</v>
      </c>
      <c r="G185" s="7" t="s">
        <v>68</v>
      </c>
      <c r="H185" s="10" t="n">
        <v>900</v>
      </c>
      <c r="I185" s="7" t="s">
        <v>3239</v>
      </c>
      <c r="J185" s="7"/>
      <c r="K185" s="7"/>
      <c r="L185" s="7" t="s">
        <v>2738</v>
      </c>
      <c r="M185" s="7"/>
      <c r="N185" s="7" t="s">
        <v>2740</v>
      </c>
      <c r="O185" s="7" t="s">
        <v>5160</v>
      </c>
    </row>
    <row r="186" customFormat="false" ht="15" hidden="false" customHeight="false" outlineLevel="0" collapsed="false">
      <c r="A186" s="7" t="s">
        <v>5219</v>
      </c>
      <c r="B186" s="7" t="s">
        <v>26</v>
      </c>
      <c r="C186" s="7" t="s">
        <v>5126</v>
      </c>
      <c r="D186" s="7" t="s">
        <v>5220</v>
      </c>
      <c r="E186" s="7" t="s">
        <v>348</v>
      </c>
      <c r="F186" s="7" t="s">
        <v>5221</v>
      </c>
      <c r="G186" s="7" t="s">
        <v>68</v>
      </c>
      <c r="H186" s="10" t="n">
        <v>1500</v>
      </c>
      <c r="I186" s="7" t="s">
        <v>3239</v>
      </c>
      <c r="J186" s="7"/>
      <c r="K186" s="7"/>
      <c r="L186" s="7" t="s">
        <v>2738</v>
      </c>
      <c r="M186" s="7"/>
      <c r="N186" s="7" t="s">
        <v>2740</v>
      </c>
      <c r="O186" s="7" t="s">
        <v>5128</v>
      </c>
    </row>
    <row r="187" customFormat="false" ht="15" hidden="false" customHeight="false" outlineLevel="0" collapsed="false">
      <c r="A187" s="7" t="s">
        <v>5222</v>
      </c>
      <c r="B187" s="7" t="s">
        <v>26</v>
      </c>
      <c r="C187" s="7" t="s">
        <v>5126</v>
      </c>
      <c r="D187" s="7" t="s">
        <v>5223</v>
      </c>
      <c r="E187" s="7" t="s">
        <v>113</v>
      </c>
      <c r="F187" s="7" t="s">
        <v>5224</v>
      </c>
      <c r="G187" s="7" t="s">
        <v>68</v>
      </c>
      <c r="H187" s="10" t="n">
        <v>1500</v>
      </c>
      <c r="I187" s="7" t="s">
        <v>3239</v>
      </c>
      <c r="J187" s="7"/>
      <c r="K187" s="7"/>
      <c r="L187" s="7" t="s">
        <v>2738</v>
      </c>
      <c r="M187" s="7"/>
      <c r="N187" s="7" t="s">
        <v>2740</v>
      </c>
      <c r="O187" s="7" t="s">
        <v>5128</v>
      </c>
    </row>
    <row r="188" customFormat="false" ht="15" hidden="false" customHeight="false" outlineLevel="0" collapsed="false">
      <c r="A188" s="7" t="s">
        <v>5225</v>
      </c>
      <c r="B188" s="7" t="s">
        <v>26</v>
      </c>
      <c r="C188" s="7" t="s">
        <v>5226</v>
      </c>
      <c r="D188" s="7" t="s">
        <v>5227</v>
      </c>
      <c r="E188" s="7" t="s">
        <v>4713</v>
      </c>
      <c r="F188" s="7" t="s">
        <v>5228</v>
      </c>
      <c r="G188" s="7" t="s">
        <v>68</v>
      </c>
      <c r="H188" s="10" t="n">
        <v>1200</v>
      </c>
      <c r="I188" s="7" t="s">
        <v>350</v>
      </c>
      <c r="J188" s="7"/>
      <c r="K188" s="7"/>
      <c r="L188" s="7" t="s">
        <v>2738</v>
      </c>
      <c r="M188" s="7"/>
      <c r="N188" s="7" t="s">
        <v>2740</v>
      </c>
      <c r="O188" s="7" t="s">
        <v>5174</v>
      </c>
    </row>
    <row r="189" customFormat="false" ht="15" hidden="false" customHeight="false" outlineLevel="0" collapsed="false">
      <c r="A189" s="7" t="s">
        <v>5229</v>
      </c>
      <c r="B189" s="7" t="s">
        <v>26</v>
      </c>
      <c r="C189" s="7" t="s">
        <v>5230</v>
      </c>
      <c r="D189" s="7" t="s">
        <v>5231</v>
      </c>
      <c r="E189" s="7" t="s">
        <v>1030</v>
      </c>
      <c r="F189" s="7" t="s">
        <v>5232</v>
      </c>
      <c r="G189" s="7" t="s">
        <v>68</v>
      </c>
      <c r="H189" s="10" t="n">
        <v>1500</v>
      </c>
      <c r="I189" s="7" t="s">
        <v>350</v>
      </c>
      <c r="J189" s="7"/>
      <c r="K189" s="7"/>
      <c r="L189" s="7" t="s">
        <v>2738</v>
      </c>
      <c r="M189" s="7"/>
      <c r="N189" s="7" t="s">
        <v>2740</v>
      </c>
      <c r="O189" s="7" t="s">
        <v>2741</v>
      </c>
    </row>
    <row r="190" customFormat="false" ht="15" hidden="false" customHeight="false" outlineLevel="0" collapsed="false">
      <c r="A190" s="7" t="s">
        <v>5233</v>
      </c>
      <c r="B190" s="7" t="s">
        <v>26</v>
      </c>
      <c r="C190" s="7" t="s">
        <v>5234</v>
      </c>
      <c r="D190" s="7" t="s">
        <v>5235</v>
      </c>
      <c r="E190" s="7" t="s">
        <v>854</v>
      </c>
      <c r="F190" s="7" t="s">
        <v>5236</v>
      </c>
      <c r="G190" s="7" t="s">
        <v>68</v>
      </c>
      <c r="H190" s="10" t="n">
        <v>700</v>
      </c>
      <c r="I190" s="7" t="s">
        <v>3239</v>
      </c>
      <c r="J190" s="7"/>
      <c r="K190" s="7"/>
      <c r="L190" s="7" t="s">
        <v>2738</v>
      </c>
      <c r="M190" s="7"/>
      <c r="N190" s="7" t="s">
        <v>2740</v>
      </c>
      <c r="O190" s="7" t="s">
        <v>2741</v>
      </c>
    </row>
    <row r="191" customFormat="false" ht="15" hidden="false" customHeight="false" outlineLevel="0" collapsed="false">
      <c r="A191" s="7" t="s">
        <v>5237</v>
      </c>
      <c r="B191" s="7" t="s">
        <v>26</v>
      </c>
      <c r="C191" s="7" t="s">
        <v>5238</v>
      </c>
      <c r="D191" s="7" t="s">
        <v>5239</v>
      </c>
      <c r="E191" s="7" t="s">
        <v>155</v>
      </c>
      <c r="F191" s="7" t="s">
        <v>5240</v>
      </c>
      <c r="G191" s="7" t="s">
        <v>68</v>
      </c>
      <c r="H191" s="10" t="n">
        <v>700</v>
      </c>
      <c r="I191" s="7" t="s">
        <v>69</v>
      </c>
      <c r="J191" s="7" t="s">
        <v>5241</v>
      </c>
      <c r="K191" s="7"/>
      <c r="L191" s="7" t="s">
        <v>2738</v>
      </c>
      <c r="M191" s="7"/>
      <c r="N191" s="7" t="s">
        <v>5242</v>
      </c>
      <c r="O191" s="7" t="s">
        <v>5148</v>
      </c>
    </row>
    <row r="192" customFormat="false" ht="15" hidden="false" customHeight="false" outlineLevel="0" collapsed="false">
      <c r="A192" s="7" t="s">
        <v>5243</v>
      </c>
      <c r="B192" s="7" t="s">
        <v>26</v>
      </c>
      <c r="C192" s="7" t="s">
        <v>5226</v>
      </c>
      <c r="D192" s="7" t="s">
        <v>1907</v>
      </c>
      <c r="E192" s="7" t="s">
        <v>206</v>
      </c>
      <c r="F192" s="7" t="s">
        <v>5244</v>
      </c>
      <c r="G192" s="7" t="s">
        <v>68</v>
      </c>
      <c r="H192" s="10" t="n">
        <v>1000</v>
      </c>
      <c r="I192" s="7" t="s">
        <v>3239</v>
      </c>
      <c r="J192" s="7"/>
      <c r="K192" s="7"/>
      <c r="L192" s="7" t="s">
        <v>2738</v>
      </c>
      <c r="M192" s="7"/>
      <c r="N192" s="7" t="s">
        <v>2740</v>
      </c>
      <c r="O192" s="7" t="s">
        <v>5174</v>
      </c>
    </row>
    <row r="193" customFormat="false" ht="15" hidden="false" customHeight="false" outlineLevel="0" collapsed="false">
      <c r="A193" s="7" t="s">
        <v>5245</v>
      </c>
      <c r="B193" s="7" t="s">
        <v>26</v>
      </c>
      <c r="C193" s="7" t="s">
        <v>5246</v>
      </c>
      <c r="D193" s="7" t="s">
        <v>5247</v>
      </c>
      <c r="E193" s="7" t="s">
        <v>155</v>
      </c>
      <c r="F193" s="7" t="s">
        <v>5248</v>
      </c>
      <c r="G193" s="7" t="s">
        <v>68</v>
      </c>
      <c r="H193" s="10" t="n">
        <v>1500</v>
      </c>
      <c r="I193" s="7" t="s">
        <v>69</v>
      </c>
      <c r="J193" s="7" t="s">
        <v>5249</v>
      </c>
      <c r="K193" s="7"/>
      <c r="L193" s="7" t="s">
        <v>5250</v>
      </c>
      <c r="M193" s="7"/>
      <c r="N193" s="7" t="s">
        <v>5251</v>
      </c>
      <c r="O193" s="7" t="s">
        <v>5124</v>
      </c>
    </row>
    <row r="194" customFormat="false" ht="15" hidden="false" customHeight="false" outlineLevel="0" collapsed="false">
      <c r="A194" s="7" t="s">
        <v>5252</v>
      </c>
      <c r="B194" s="7" t="s">
        <v>26</v>
      </c>
      <c r="C194" s="7" t="s">
        <v>5253</v>
      </c>
      <c r="D194" s="7" t="s">
        <v>5254</v>
      </c>
      <c r="E194" s="7" t="s">
        <v>455</v>
      </c>
      <c r="F194" s="7" t="s">
        <v>5255</v>
      </c>
      <c r="G194" s="7" t="s">
        <v>68</v>
      </c>
      <c r="H194" s="10" t="n">
        <v>1400</v>
      </c>
      <c r="I194" s="7" t="s">
        <v>3239</v>
      </c>
      <c r="J194" s="7"/>
      <c r="K194" s="7"/>
      <c r="L194" s="7" t="s">
        <v>2738</v>
      </c>
      <c r="M194" s="7"/>
      <c r="N194" s="7" t="s">
        <v>2740</v>
      </c>
      <c r="O194" s="7" t="s">
        <v>5148</v>
      </c>
    </row>
    <row r="195" customFormat="false" ht="15" hidden="false" customHeight="false" outlineLevel="0" collapsed="false">
      <c r="A195" s="7" t="s">
        <v>5256</v>
      </c>
      <c r="B195" s="7" t="s">
        <v>26</v>
      </c>
      <c r="C195" s="7" t="s">
        <v>5257</v>
      </c>
      <c r="D195" s="7" t="s">
        <v>4150</v>
      </c>
      <c r="E195" s="7" t="s">
        <v>78</v>
      </c>
      <c r="F195" s="7" t="s">
        <v>5258</v>
      </c>
      <c r="G195" s="7" t="s">
        <v>68</v>
      </c>
      <c r="H195" s="10" t="n">
        <v>800</v>
      </c>
      <c r="I195" s="7" t="s">
        <v>350</v>
      </c>
      <c r="J195" s="7"/>
      <c r="K195" s="7"/>
      <c r="L195" s="7" t="s">
        <v>1491</v>
      </c>
      <c r="M195" s="7"/>
      <c r="N195" s="7" t="s">
        <v>5259</v>
      </c>
      <c r="O195" s="7" t="s">
        <v>5124</v>
      </c>
    </row>
    <row r="196" customFormat="false" ht="15" hidden="false" customHeight="false" outlineLevel="0" collapsed="false">
      <c r="A196" s="7" t="s">
        <v>5260</v>
      </c>
      <c r="B196" s="7" t="s">
        <v>26</v>
      </c>
      <c r="C196" s="7" t="s">
        <v>5261</v>
      </c>
      <c r="D196" s="7" t="s">
        <v>5262</v>
      </c>
      <c r="E196" s="7" t="s">
        <v>155</v>
      </c>
      <c r="F196" s="7" t="s">
        <v>5263</v>
      </c>
      <c r="G196" s="7" t="s">
        <v>68</v>
      </c>
      <c r="H196" s="10" t="n">
        <v>800</v>
      </c>
      <c r="I196" s="7" t="s">
        <v>3239</v>
      </c>
      <c r="J196" s="7"/>
      <c r="K196" s="7"/>
      <c r="L196" s="7" t="s">
        <v>2738</v>
      </c>
      <c r="M196" s="7"/>
      <c r="N196" s="7" t="s">
        <v>2740</v>
      </c>
      <c r="O196" s="7" t="s">
        <v>2741</v>
      </c>
    </row>
    <row r="197" customFormat="false" ht="15" hidden="false" customHeight="false" outlineLevel="0" collapsed="false">
      <c r="A197" s="7" t="s">
        <v>5264</v>
      </c>
      <c r="B197" s="7" t="s">
        <v>26</v>
      </c>
      <c r="C197" s="7" t="s">
        <v>5265</v>
      </c>
      <c r="D197" s="7" t="s">
        <v>2706</v>
      </c>
      <c r="E197" s="7" t="s">
        <v>172</v>
      </c>
      <c r="F197" s="7" t="s">
        <v>5266</v>
      </c>
      <c r="G197" s="7" t="s">
        <v>68</v>
      </c>
      <c r="H197" s="10" t="n">
        <v>1000</v>
      </c>
      <c r="I197" s="7" t="s">
        <v>69</v>
      </c>
      <c r="J197" s="7" t="s">
        <v>5267</v>
      </c>
      <c r="K197" s="7"/>
      <c r="L197" s="7" t="s">
        <v>2738</v>
      </c>
      <c r="M197" s="7"/>
      <c r="N197" s="7" t="s">
        <v>5268</v>
      </c>
      <c r="O197" s="7" t="s">
        <v>2741</v>
      </c>
    </row>
    <row r="198" customFormat="false" ht="15" hidden="false" customHeight="false" outlineLevel="0" collapsed="false">
      <c r="A198" s="7" t="s">
        <v>5269</v>
      </c>
      <c r="B198" s="7" t="s">
        <v>26</v>
      </c>
      <c r="C198" s="7" t="s">
        <v>5126</v>
      </c>
      <c r="D198" s="7" t="s">
        <v>970</v>
      </c>
      <c r="E198" s="7" t="s">
        <v>250</v>
      </c>
      <c r="F198" s="7" t="s">
        <v>5270</v>
      </c>
      <c r="G198" s="7" t="s">
        <v>68</v>
      </c>
      <c r="H198" s="10" t="n">
        <v>1200</v>
      </c>
      <c r="I198" s="7" t="s">
        <v>3239</v>
      </c>
      <c r="J198" s="7"/>
      <c r="K198" s="7"/>
      <c r="L198" s="7" t="s">
        <v>2738</v>
      </c>
      <c r="M198" s="7"/>
      <c r="N198" s="7" t="s">
        <v>2740</v>
      </c>
      <c r="O198" s="7" t="s">
        <v>5128</v>
      </c>
    </row>
    <row r="199" customFormat="false" ht="15" hidden="false" customHeight="false" outlineLevel="0" collapsed="false">
      <c r="A199" s="7" t="s">
        <v>5271</v>
      </c>
      <c r="B199" s="7" t="s">
        <v>26</v>
      </c>
      <c r="C199" s="7" t="s">
        <v>5157</v>
      </c>
      <c r="D199" s="7" t="s">
        <v>5272</v>
      </c>
      <c r="E199" s="7" t="s">
        <v>4764</v>
      </c>
      <c r="F199" s="7" t="s">
        <v>5273</v>
      </c>
      <c r="G199" s="7" t="s">
        <v>68</v>
      </c>
      <c r="H199" s="10" t="n">
        <v>700</v>
      </c>
      <c r="I199" s="7" t="s">
        <v>3239</v>
      </c>
      <c r="J199" s="7"/>
      <c r="K199" s="7"/>
      <c r="L199" s="7" t="s">
        <v>2738</v>
      </c>
      <c r="M199" s="7"/>
      <c r="N199" s="7" t="s">
        <v>2740</v>
      </c>
      <c r="O199" s="7" t="s">
        <v>5160</v>
      </c>
    </row>
    <row r="200" customFormat="false" ht="15" hidden="false" customHeight="false" outlineLevel="0" collapsed="false">
      <c r="A200" s="7" t="s">
        <v>5274</v>
      </c>
      <c r="B200" s="7" t="s">
        <v>26</v>
      </c>
      <c r="C200" s="7" t="s">
        <v>5275</v>
      </c>
      <c r="D200" s="7" t="s">
        <v>5276</v>
      </c>
      <c r="E200" s="7" t="s">
        <v>779</v>
      </c>
      <c r="F200" s="7" t="s">
        <v>5277</v>
      </c>
      <c r="G200" s="7" t="s">
        <v>68</v>
      </c>
      <c r="H200" s="10" t="n">
        <v>2000</v>
      </c>
      <c r="I200" s="7" t="s">
        <v>69</v>
      </c>
      <c r="J200" s="7" t="s">
        <v>1853</v>
      </c>
      <c r="K200" s="7"/>
      <c r="L200" s="7" t="s">
        <v>2738</v>
      </c>
      <c r="M200" s="7"/>
      <c r="N200" s="7" t="s">
        <v>2740</v>
      </c>
      <c r="O200" s="7" t="s">
        <v>2741</v>
      </c>
    </row>
    <row r="201" customFormat="false" ht="15" hidden="false" customHeight="false" outlineLevel="0" collapsed="false">
      <c r="A201" s="7" t="s">
        <v>5278</v>
      </c>
      <c r="B201" s="7" t="s">
        <v>26</v>
      </c>
      <c r="C201" s="7" t="s">
        <v>5279</v>
      </c>
      <c r="D201" s="7" t="s">
        <v>5280</v>
      </c>
      <c r="E201" s="7" t="s">
        <v>222</v>
      </c>
      <c r="F201" s="7" t="s">
        <v>5281</v>
      </c>
      <c r="G201" s="7" t="s">
        <v>68</v>
      </c>
      <c r="H201" s="10" t="n">
        <v>900</v>
      </c>
      <c r="I201" s="7" t="s">
        <v>3239</v>
      </c>
      <c r="J201" s="7"/>
      <c r="K201" s="7" t="s">
        <v>5282</v>
      </c>
      <c r="L201" s="7" t="s">
        <v>2738</v>
      </c>
      <c r="M201" s="7"/>
      <c r="N201" s="7" t="s">
        <v>5283</v>
      </c>
      <c r="O201" s="7" t="s">
        <v>5160</v>
      </c>
    </row>
    <row r="202" customFormat="false" ht="15" hidden="false" customHeight="false" outlineLevel="0" collapsed="false">
      <c r="A202" s="7" t="s">
        <v>5284</v>
      </c>
      <c r="B202" s="7" t="s">
        <v>26</v>
      </c>
      <c r="C202" s="7" t="s">
        <v>5208</v>
      </c>
      <c r="D202" s="7" t="s">
        <v>1080</v>
      </c>
      <c r="E202" s="7" t="s">
        <v>1081</v>
      </c>
      <c r="F202" s="7" t="s">
        <v>5285</v>
      </c>
      <c r="G202" s="7" t="s">
        <v>68</v>
      </c>
      <c r="H202" s="10" t="n">
        <v>900</v>
      </c>
      <c r="I202" s="7" t="s">
        <v>517</v>
      </c>
      <c r="J202" s="7"/>
      <c r="K202" s="7"/>
      <c r="L202" s="7" t="s">
        <v>2738</v>
      </c>
      <c r="M202" s="7"/>
      <c r="N202" s="7" t="s">
        <v>5193</v>
      </c>
      <c r="O202" s="7" t="s">
        <v>5160</v>
      </c>
    </row>
    <row r="203" customFormat="false" ht="15" hidden="false" customHeight="false" outlineLevel="0" collapsed="false">
      <c r="A203" s="7" t="s">
        <v>5286</v>
      </c>
      <c r="B203" s="7" t="s">
        <v>26</v>
      </c>
      <c r="C203" s="7" t="s">
        <v>5287</v>
      </c>
      <c r="D203" s="7" t="s">
        <v>5288</v>
      </c>
      <c r="E203" s="7" t="s">
        <v>250</v>
      </c>
      <c r="F203" s="7" t="s">
        <v>5289</v>
      </c>
      <c r="G203" s="7" t="s">
        <v>149</v>
      </c>
      <c r="H203" s="10" t="n">
        <v>800</v>
      </c>
      <c r="I203" s="7" t="s">
        <v>3239</v>
      </c>
      <c r="J203" s="7"/>
      <c r="K203" s="7"/>
      <c r="L203" s="7" t="s">
        <v>2738</v>
      </c>
      <c r="M203" s="7"/>
      <c r="N203" s="7" t="s">
        <v>2740</v>
      </c>
      <c r="O203" s="7" t="s">
        <v>5148</v>
      </c>
    </row>
    <row r="204" customFormat="false" ht="15" hidden="false" customHeight="false" outlineLevel="0" collapsed="false">
      <c r="A204" s="7" t="s">
        <v>5290</v>
      </c>
      <c r="B204" s="7" t="s">
        <v>26</v>
      </c>
      <c r="C204" s="7" t="s">
        <v>5291</v>
      </c>
      <c r="D204" s="7" t="s">
        <v>5292</v>
      </c>
      <c r="E204" s="7" t="s">
        <v>113</v>
      </c>
      <c r="F204" s="7" t="s">
        <v>5293</v>
      </c>
      <c r="G204" s="7" t="s">
        <v>149</v>
      </c>
      <c r="H204" s="10" t="n">
        <v>500</v>
      </c>
      <c r="I204" s="7" t="s">
        <v>3239</v>
      </c>
      <c r="J204" s="7"/>
      <c r="K204" s="7"/>
      <c r="L204" s="7" t="s">
        <v>2738</v>
      </c>
      <c r="M204" s="7"/>
      <c r="N204" s="7" t="s">
        <v>2740</v>
      </c>
      <c r="O204" s="7" t="s">
        <v>2741</v>
      </c>
    </row>
    <row r="205" customFormat="false" ht="15" hidden="false" customHeight="false" outlineLevel="0" collapsed="false">
      <c r="A205" s="7" t="s">
        <v>5294</v>
      </c>
      <c r="B205" s="7" t="s">
        <v>26</v>
      </c>
      <c r="C205" s="7" t="s">
        <v>5120</v>
      </c>
      <c r="D205" s="7" t="s">
        <v>5295</v>
      </c>
      <c r="E205" s="7" t="s">
        <v>137</v>
      </c>
      <c r="F205" s="7" t="s">
        <v>5296</v>
      </c>
      <c r="G205" s="7" t="s">
        <v>149</v>
      </c>
      <c r="H205" s="10" t="n">
        <v>1000</v>
      </c>
      <c r="I205" s="7" t="s">
        <v>350</v>
      </c>
      <c r="J205" s="7"/>
      <c r="K205" s="7"/>
      <c r="L205" s="7" t="s">
        <v>1491</v>
      </c>
      <c r="M205" s="7"/>
      <c r="N205" s="7" t="s">
        <v>5297</v>
      </c>
      <c r="O205" s="7" t="s">
        <v>5124</v>
      </c>
    </row>
    <row r="206" customFormat="false" ht="15" hidden="false" customHeight="false" outlineLevel="0" collapsed="false">
      <c r="A206" s="7" t="s">
        <v>5298</v>
      </c>
      <c r="B206" s="7" t="s">
        <v>26</v>
      </c>
      <c r="C206" s="7" t="s">
        <v>5299</v>
      </c>
      <c r="D206" s="7" t="s">
        <v>411</v>
      </c>
      <c r="E206" s="7" t="s">
        <v>137</v>
      </c>
      <c r="F206" s="7" t="s">
        <v>5300</v>
      </c>
      <c r="G206" s="7" t="s">
        <v>149</v>
      </c>
      <c r="H206" s="10" t="n">
        <v>600</v>
      </c>
      <c r="I206" s="7" t="s">
        <v>3239</v>
      </c>
      <c r="J206" s="7"/>
      <c r="K206" s="7"/>
      <c r="L206" s="7" t="s">
        <v>2738</v>
      </c>
      <c r="M206" s="7"/>
      <c r="N206" s="7" t="s">
        <v>2740</v>
      </c>
      <c r="O206" s="7" t="s">
        <v>5148</v>
      </c>
    </row>
    <row r="207" customFormat="false" ht="15" hidden="false" customHeight="false" outlineLevel="0" collapsed="false">
      <c r="A207" s="7" t="s">
        <v>5301</v>
      </c>
      <c r="B207" s="7" t="s">
        <v>26</v>
      </c>
      <c r="C207" s="7" t="s">
        <v>5157</v>
      </c>
      <c r="D207" s="7" t="s">
        <v>5302</v>
      </c>
      <c r="E207" s="7" t="s">
        <v>97</v>
      </c>
      <c r="F207" s="7" t="s">
        <v>5303</v>
      </c>
      <c r="G207" s="7" t="s">
        <v>149</v>
      </c>
      <c r="H207" s="10" t="n">
        <v>400</v>
      </c>
      <c r="I207" s="7" t="s">
        <v>350</v>
      </c>
      <c r="J207" s="7"/>
      <c r="K207" s="7"/>
      <c r="L207" s="7" t="s">
        <v>2738</v>
      </c>
      <c r="M207" s="7"/>
      <c r="N207" s="7" t="s">
        <v>5304</v>
      </c>
      <c r="O207" s="7" t="s">
        <v>2755</v>
      </c>
    </row>
    <row r="208" customFormat="false" ht="15" hidden="false" customHeight="false" outlineLevel="0" collapsed="false">
      <c r="A208" s="7" t="s">
        <v>5305</v>
      </c>
      <c r="B208" s="7" t="s">
        <v>26</v>
      </c>
      <c r="C208" s="7" t="s">
        <v>5306</v>
      </c>
      <c r="D208" s="7" t="s">
        <v>5307</v>
      </c>
      <c r="E208" s="7" t="s">
        <v>1106</v>
      </c>
      <c r="F208" s="7" t="s">
        <v>5308</v>
      </c>
      <c r="G208" s="7" t="s">
        <v>149</v>
      </c>
      <c r="H208" s="10" t="n">
        <v>800</v>
      </c>
      <c r="I208" s="7" t="s">
        <v>517</v>
      </c>
      <c r="J208" s="7"/>
      <c r="K208" s="7"/>
      <c r="L208" s="7" t="s">
        <v>2738</v>
      </c>
      <c r="M208" s="7"/>
      <c r="N208" s="7" t="s">
        <v>5193</v>
      </c>
      <c r="O208" s="7" t="s">
        <v>5148</v>
      </c>
    </row>
    <row r="209" customFormat="false" ht="15" hidden="false" customHeight="false" outlineLevel="0" collapsed="false">
      <c r="A209" s="7" t="s">
        <v>5309</v>
      </c>
      <c r="B209" s="7" t="s">
        <v>26</v>
      </c>
      <c r="C209" s="7" t="s">
        <v>5310</v>
      </c>
      <c r="D209" s="7" t="s">
        <v>5311</v>
      </c>
      <c r="E209" s="7" t="s">
        <v>155</v>
      </c>
      <c r="F209" s="7" t="s">
        <v>5312</v>
      </c>
      <c r="G209" s="7" t="s">
        <v>149</v>
      </c>
      <c r="H209" s="10" t="n">
        <v>800</v>
      </c>
      <c r="I209" s="7" t="s">
        <v>3239</v>
      </c>
      <c r="J209" s="7"/>
      <c r="K209" s="7"/>
      <c r="L209" s="7" t="s">
        <v>1491</v>
      </c>
      <c r="M209" s="7"/>
      <c r="N209" s="7" t="s">
        <v>2740</v>
      </c>
      <c r="O209" s="7" t="s">
        <v>2741</v>
      </c>
    </row>
    <row r="210" customFormat="false" ht="15" hidden="false" customHeight="false" outlineLevel="0" collapsed="false">
      <c r="A210" s="7" t="s">
        <v>5313</v>
      </c>
      <c r="B210" s="7" t="s">
        <v>26</v>
      </c>
      <c r="C210" s="7" t="s">
        <v>5314</v>
      </c>
      <c r="D210" s="7" t="s">
        <v>953</v>
      </c>
      <c r="E210" s="7" t="s">
        <v>1789</v>
      </c>
      <c r="F210" s="7" t="s">
        <v>5315</v>
      </c>
      <c r="G210" s="7" t="s">
        <v>149</v>
      </c>
      <c r="H210" s="10" t="n">
        <v>500</v>
      </c>
      <c r="I210" s="7" t="s">
        <v>350</v>
      </c>
      <c r="J210" s="7"/>
      <c r="K210" s="7"/>
      <c r="L210" s="7" t="s">
        <v>1491</v>
      </c>
      <c r="M210" s="7"/>
      <c r="N210" s="7" t="s">
        <v>5316</v>
      </c>
      <c r="O210" s="7" t="s">
        <v>5124</v>
      </c>
    </row>
    <row r="211" customFormat="false" ht="15" hidden="false" customHeight="false" outlineLevel="0" collapsed="false">
      <c r="A211" s="7" t="s">
        <v>5317</v>
      </c>
      <c r="B211" s="7" t="s">
        <v>26</v>
      </c>
      <c r="C211" s="7" t="s">
        <v>5318</v>
      </c>
      <c r="D211" s="7" t="s">
        <v>5319</v>
      </c>
      <c r="E211" s="7" t="s">
        <v>97</v>
      </c>
      <c r="F211" s="7" t="s">
        <v>5320</v>
      </c>
      <c r="G211" s="7" t="s">
        <v>149</v>
      </c>
      <c r="H211" s="10" t="n">
        <v>500</v>
      </c>
      <c r="I211" s="7" t="s">
        <v>3239</v>
      </c>
      <c r="J211" s="7"/>
      <c r="K211" s="7"/>
      <c r="L211" s="7" t="s">
        <v>1491</v>
      </c>
      <c r="M211" s="7"/>
      <c r="N211" s="7" t="s">
        <v>5321</v>
      </c>
      <c r="O211" s="7" t="s">
        <v>5124</v>
      </c>
    </row>
    <row r="212" customFormat="false" ht="15" hidden="false" customHeight="false" outlineLevel="0" collapsed="false">
      <c r="A212" s="7" t="s">
        <v>5322</v>
      </c>
      <c r="B212" s="7" t="s">
        <v>26</v>
      </c>
      <c r="C212" s="7" t="s">
        <v>5323</v>
      </c>
      <c r="D212" s="7" t="s">
        <v>1202</v>
      </c>
      <c r="E212" s="7" t="s">
        <v>296</v>
      </c>
      <c r="F212" s="7" t="s">
        <v>5324</v>
      </c>
      <c r="G212" s="7" t="s">
        <v>149</v>
      </c>
      <c r="H212" s="10" t="n">
        <v>600</v>
      </c>
      <c r="I212" s="7" t="s">
        <v>3239</v>
      </c>
      <c r="J212" s="7"/>
      <c r="K212" s="7"/>
      <c r="L212" s="7" t="s">
        <v>2738</v>
      </c>
      <c r="M212" s="7"/>
      <c r="N212" s="7" t="s">
        <v>2740</v>
      </c>
      <c r="O212" s="7" t="s">
        <v>2741</v>
      </c>
    </row>
    <row r="213" customFormat="false" ht="15" hidden="false" customHeight="false" outlineLevel="0" collapsed="false">
      <c r="A213" s="7" t="s">
        <v>5325</v>
      </c>
      <c r="B213" s="7" t="s">
        <v>26</v>
      </c>
      <c r="C213" s="7" t="s">
        <v>5326</v>
      </c>
      <c r="D213" s="7" t="s">
        <v>5327</v>
      </c>
      <c r="E213" s="7" t="s">
        <v>338</v>
      </c>
      <c r="F213" s="7" t="s">
        <v>5328</v>
      </c>
      <c r="G213" s="7" t="s">
        <v>149</v>
      </c>
      <c r="H213" s="10" t="n">
        <v>800</v>
      </c>
      <c r="I213" s="7" t="s">
        <v>69</v>
      </c>
      <c r="J213" s="7" t="s">
        <v>5329</v>
      </c>
      <c r="K213" s="7"/>
      <c r="L213" s="7" t="s">
        <v>1491</v>
      </c>
      <c r="M213" s="7"/>
      <c r="N213" s="7" t="s">
        <v>5330</v>
      </c>
      <c r="O213" s="7" t="s">
        <v>5124</v>
      </c>
    </row>
    <row r="214" customFormat="false" ht="15" hidden="false" customHeight="false" outlineLevel="0" collapsed="false">
      <c r="A214" s="7" t="s">
        <v>5331</v>
      </c>
      <c r="B214" s="7" t="s">
        <v>26</v>
      </c>
      <c r="C214" s="7" t="s">
        <v>5253</v>
      </c>
      <c r="D214" s="7" t="s">
        <v>5332</v>
      </c>
      <c r="E214" s="7" t="s">
        <v>113</v>
      </c>
      <c r="F214" s="7" t="s">
        <v>5333</v>
      </c>
      <c r="G214" s="7" t="s">
        <v>149</v>
      </c>
      <c r="H214" s="10" t="n">
        <v>600</v>
      </c>
      <c r="I214" s="7" t="s">
        <v>3239</v>
      </c>
      <c r="J214" s="7"/>
      <c r="K214" s="7"/>
      <c r="L214" s="7" t="s">
        <v>2738</v>
      </c>
      <c r="M214" s="7"/>
      <c r="N214" s="7" t="s">
        <v>2740</v>
      </c>
      <c r="O214" s="7" t="s">
        <v>5148</v>
      </c>
    </row>
    <row r="215" customFormat="false" ht="15" hidden="false" customHeight="false" outlineLevel="0" collapsed="false">
      <c r="A215" s="7" t="s">
        <v>5334</v>
      </c>
      <c r="B215" s="7" t="s">
        <v>26</v>
      </c>
      <c r="C215" s="7" t="s">
        <v>5157</v>
      </c>
      <c r="D215" s="7" t="s">
        <v>2489</v>
      </c>
      <c r="E215" s="7" t="s">
        <v>2490</v>
      </c>
      <c r="F215" s="7" t="s">
        <v>5335</v>
      </c>
      <c r="G215" s="7" t="s">
        <v>149</v>
      </c>
      <c r="H215" s="10" t="n">
        <v>700</v>
      </c>
      <c r="I215" s="7" t="s">
        <v>350</v>
      </c>
      <c r="J215" s="7"/>
      <c r="K215" s="7"/>
      <c r="L215" s="7" t="s">
        <v>2738</v>
      </c>
      <c r="M215" s="7"/>
      <c r="N215" s="7" t="s">
        <v>2740</v>
      </c>
      <c r="O215" s="7" t="s">
        <v>5160</v>
      </c>
    </row>
    <row r="216" customFormat="false" ht="15" hidden="false" customHeight="false" outlineLevel="0" collapsed="false">
      <c r="A216" s="7" t="s">
        <v>5336</v>
      </c>
      <c r="B216" s="7" t="s">
        <v>26</v>
      </c>
      <c r="C216" s="7" t="s">
        <v>5337</v>
      </c>
      <c r="D216" s="7" t="s">
        <v>5338</v>
      </c>
      <c r="E216" s="7" t="s">
        <v>105</v>
      </c>
      <c r="F216" s="7" t="s">
        <v>5339</v>
      </c>
      <c r="G216" s="7" t="s">
        <v>149</v>
      </c>
      <c r="H216" s="10" t="n">
        <v>700</v>
      </c>
      <c r="I216" s="7" t="s">
        <v>69</v>
      </c>
      <c r="J216" s="7" t="s">
        <v>5340</v>
      </c>
      <c r="K216" s="7"/>
      <c r="L216" s="7" t="s">
        <v>1491</v>
      </c>
      <c r="M216" s="7"/>
      <c r="N216" s="7" t="s">
        <v>5341</v>
      </c>
      <c r="O216" s="7" t="s">
        <v>5124</v>
      </c>
    </row>
    <row r="217" customFormat="false" ht="15" hidden="false" customHeight="false" outlineLevel="0" collapsed="false">
      <c r="A217" s="7" t="s">
        <v>5342</v>
      </c>
      <c r="B217" s="7" t="s">
        <v>26</v>
      </c>
      <c r="C217" s="7" t="s">
        <v>5208</v>
      </c>
      <c r="D217" s="7" t="s">
        <v>5343</v>
      </c>
      <c r="E217" s="7" t="s">
        <v>317</v>
      </c>
      <c r="F217" s="7" t="s">
        <v>5344</v>
      </c>
      <c r="G217" s="7" t="s">
        <v>149</v>
      </c>
      <c r="H217" s="10" t="n">
        <v>500</v>
      </c>
      <c r="I217" s="7" t="s">
        <v>517</v>
      </c>
      <c r="J217" s="7"/>
      <c r="K217" s="7"/>
      <c r="L217" s="7" t="s">
        <v>2738</v>
      </c>
      <c r="M217" s="7"/>
      <c r="N217" s="7" t="s">
        <v>5193</v>
      </c>
      <c r="O217" s="7" t="s">
        <v>5160</v>
      </c>
    </row>
    <row r="218" customFormat="false" ht="15" hidden="false" customHeight="false" outlineLevel="0" collapsed="false">
      <c r="A218" s="7" t="s">
        <v>5345</v>
      </c>
      <c r="B218" s="7" t="s">
        <v>26</v>
      </c>
      <c r="C218" s="7" t="s">
        <v>5346</v>
      </c>
      <c r="D218" s="7" t="s">
        <v>4880</v>
      </c>
      <c r="E218" s="7" t="s">
        <v>2464</v>
      </c>
      <c r="F218" s="7" t="s">
        <v>5347</v>
      </c>
      <c r="G218" s="7" t="s">
        <v>149</v>
      </c>
      <c r="H218" s="10" t="n">
        <v>600</v>
      </c>
      <c r="I218" s="7" t="s">
        <v>350</v>
      </c>
      <c r="J218" s="7"/>
      <c r="K218" s="7"/>
      <c r="L218" s="7" t="s">
        <v>2738</v>
      </c>
      <c r="M218" s="7"/>
      <c r="N218" s="7" t="s">
        <v>5348</v>
      </c>
      <c r="O218" s="7" t="s">
        <v>5174</v>
      </c>
    </row>
    <row r="219" customFormat="false" ht="15" hidden="false" customHeight="false" outlineLevel="0" collapsed="false">
      <c r="A219" s="7" t="s">
        <v>5349</v>
      </c>
      <c r="B219" s="7" t="s">
        <v>26</v>
      </c>
      <c r="C219" s="7" t="s">
        <v>5350</v>
      </c>
      <c r="D219" s="7" t="s">
        <v>5351</v>
      </c>
      <c r="E219" s="7" t="s">
        <v>455</v>
      </c>
      <c r="F219" s="7" t="s">
        <v>5352</v>
      </c>
      <c r="G219" s="7" t="s">
        <v>174</v>
      </c>
      <c r="H219" s="10" t="n">
        <v>300</v>
      </c>
      <c r="I219" s="7" t="s">
        <v>517</v>
      </c>
      <c r="J219" s="7"/>
      <c r="K219" s="7"/>
      <c r="L219" s="7" t="s">
        <v>1491</v>
      </c>
      <c r="M219" s="7"/>
      <c r="N219" s="7" t="s">
        <v>5353</v>
      </c>
      <c r="O219" s="7" t="s">
        <v>5124</v>
      </c>
    </row>
    <row r="220" customFormat="false" ht="15" hidden="false" customHeight="false" outlineLevel="0" collapsed="false">
      <c r="A220" s="7" t="s">
        <v>5354</v>
      </c>
      <c r="B220" s="7" t="s">
        <v>27</v>
      </c>
      <c r="C220" s="7" t="s">
        <v>5355</v>
      </c>
      <c r="D220" s="7" t="s">
        <v>5356</v>
      </c>
      <c r="E220" s="7" t="s">
        <v>3533</v>
      </c>
      <c r="F220" s="7" t="s">
        <v>5357</v>
      </c>
      <c r="G220" s="7" t="s">
        <v>68</v>
      </c>
      <c r="H220" s="10" t="n">
        <v>300</v>
      </c>
      <c r="I220" s="7" t="s">
        <v>69</v>
      </c>
      <c r="J220" s="7" t="s">
        <v>115</v>
      </c>
      <c r="K220" s="7" t="s">
        <v>5358</v>
      </c>
      <c r="L220" s="7" t="s">
        <v>5359</v>
      </c>
      <c r="M220" s="7"/>
      <c r="N220" s="7" t="s">
        <v>5360</v>
      </c>
      <c r="O220" s="7" t="s">
        <v>5361</v>
      </c>
    </row>
    <row r="221" customFormat="false" ht="15" hidden="false" customHeight="false" outlineLevel="0" collapsed="false">
      <c r="A221" s="7" t="s">
        <v>5362</v>
      </c>
      <c r="B221" s="7" t="s">
        <v>27</v>
      </c>
      <c r="C221" s="7" t="s">
        <v>5363</v>
      </c>
      <c r="D221" s="7" t="s">
        <v>5364</v>
      </c>
      <c r="E221" s="7" t="s">
        <v>172</v>
      </c>
      <c r="F221" s="7" t="s">
        <v>5365</v>
      </c>
      <c r="G221" s="7" t="s">
        <v>68</v>
      </c>
      <c r="H221" s="10" t="n">
        <v>8000</v>
      </c>
      <c r="I221" s="7" t="s">
        <v>3239</v>
      </c>
      <c r="J221" s="7"/>
      <c r="K221" s="7" t="s">
        <v>5366</v>
      </c>
      <c r="L221" s="7" t="s">
        <v>1491</v>
      </c>
      <c r="M221" s="7"/>
      <c r="N221" s="7" t="s">
        <v>5367</v>
      </c>
      <c r="O221" s="7" t="s">
        <v>5368</v>
      </c>
    </row>
    <row r="222" customFormat="false" ht="15" hidden="false" customHeight="false" outlineLevel="0" collapsed="false">
      <c r="A222" s="7" t="s">
        <v>5369</v>
      </c>
      <c r="B222" s="7" t="s">
        <v>27</v>
      </c>
      <c r="C222" s="7" t="s">
        <v>5370</v>
      </c>
      <c r="D222" s="7" t="s">
        <v>5371</v>
      </c>
      <c r="E222" s="7" t="s">
        <v>78</v>
      </c>
      <c r="F222" s="7" t="s">
        <v>5372</v>
      </c>
      <c r="G222" s="7" t="s">
        <v>68</v>
      </c>
      <c r="H222" s="10" t="n">
        <v>2500</v>
      </c>
      <c r="I222" s="7" t="s">
        <v>3239</v>
      </c>
      <c r="J222" s="7"/>
      <c r="K222" s="7" t="s">
        <v>5373</v>
      </c>
      <c r="L222" s="7" t="s">
        <v>1491</v>
      </c>
      <c r="M222" s="7"/>
      <c r="N222" s="7" t="s">
        <v>5374</v>
      </c>
      <c r="O222" s="7" t="s">
        <v>5375</v>
      </c>
    </row>
    <row r="223" customFormat="false" ht="15" hidden="false" customHeight="false" outlineLevel="0" collapsed="false">
      <c r="A223" s="7" t="s">
        <v>5376</v>
      </c>
      <c r="B223" s="7" t="s">
        <v>27</v>
      </c>
      <c r="C223" s="7" t="s">
        <v>5377</v>
      </c>
      <c r="D223" s="7" t="s">
        <v>65</v>
      </c>
      <c r="E223" s="7" t="s">
        <v>66</v>
      </c>
      <c r="F223" s="7" t="s">
        <v>5378</v>
      </c>
      <c r="G223" s="7" t="s">
        <v>68</v>
      </c>
      <c r="H223" s="10" t="n">
        <v>1500</v>
      </c>
      <c r="I223" s="7" t="s">
        <v>350</v>
      </c>
      <c r="J223" s="7"/>
      <c r="K223" s="7"/>
      <c r="L223" s="7" t="s">
        <v>2760</v>
      </c>
      <c r="M223" s="7"/>
      <c r="N223" s="7" t="s">
        <v>5379</v>
      </c>
      <c r="O223" s="7" t="s">
        <v>5380</v>
      </c>
    </row>
    <row r="224" customFormat="false" ht="15" hidden="false" customHeight="false" outlineLevel="0" collapsed="false">
      <c r="A224" s="7" t="s">
        <v>5381</v>
      </c>
      <c r="B224" s="7" t="s">
        <v>27</v>
      </c>
      <c r="C224" s="7" t="s">
        <v>5382</v>
      </c>
      <c r="D224" s="7" t="s">
        <v>3494</v>
      </c>
      <c r="E224" s="7" t="s">
        <v>78</v>
      </c>
      <c r="F224" s="7" t="s">
        <v>5383</v>
      </c>
      <c r="G224" s="7" t="s">
        <v>68</v>
      </c>
      <c r="H224" s="10" t="n">
        <v>1500</v>
      </c>
      <c r="I224" s="7" t="s">
        <v>3239</v>
      </c>
      <c r="J224" s="7"/>
      <c r="K224" s="7"/>
      <c r="L224" s="7" t="s">
        <v>1491</v>
      </c>
      <c r="M224" s="7"/>
      <c r="N224" s="7" t="s">
        <v>5384</v>
      </c>
      <c r="O224" s="7" t="s">
        <v>5385</v>
      </c>
    </row>
    <row r="225" customFormat="false" ht="15" hidden="false" customHeight="false" outlineLevel="0" collapsed="false">
      <c r="A225" s="7" t="s">
        <v>5386</v>
      </c>
      <c r="B225" s="7" t="s">
        <v>27</v>
      </c>
      <c r="C225" s="7" t="s">
        <v>5387</v>
      </c>
      <c r="D225" s="7" t="s">
        <v>5388</v>
      </c>
      <c r="E225" s="7" t="s">
        <v>78</v>
      </c>
      <c r="F225" s="7" t="s">
        <v>5389</v>
      </c>
      <c r="G225" s="7" t="s">
        <v>68</v>
      </c>
      <c r="H225" s="10" t="n">
        <v>2500</v>
      </c>
      <c r="I225" s="7" t="s">
        <v>69</v>
      </c>
      <c r="J225" s="7" t="s">
        <v>5390</v>
      </c>
      <c r="K225" s="7" t="s">
        <v>5391</v>
      </c>
      <c r="L225" s="7" t="s">
        <v>1491</v>
      </c>
      <c r="M225" s="7"/>
      <c r="N225" s="7" t="s">
        <v>5392</v>
      </c>
      <c r="O225" s="7" t="s">
        <v>5393</v>
      </c>
    </row>
    <row r="226" customFormat="false" ht="15" hidden="false" customHeight="false" outlineLevel="0" collapsed="false">
      <c r="A226" s="7" t="s">
        <v>5394</v>
      </c>
      <c r="B226" s="7" t="s">
        <v>27</v>
      </c>
      <c r="C226" s="7" t="s">
        <v>5395</v>
      </c>
      <c r="D226" s="7" t="s">
        <v>2076</v>
      </c>
      <c r="E226" s="7" t="s">
        <v>78</v>
      </c>
      <c r="F226" s="7" t="s">
        <v>5396</v>
      </c>
      <c r="G226" s="7" t="s">
        <v>68</v>
      </c>
      <c r="H226" s="10" t="n">
        <v>8000</v>
      </c>
      <c r="I226" s="7" t="s">
        <v>69</v>
      </c>
      <c r="J226" s="7" t="s">
        <v>5397</v>
      </c>
      <c r="K226" s="7"/>
      <c r="L226" s="7" t="s">
        <v>1491</v>
      </c>
      <c r="M226" s="7"/>
      <c r="N226" s="7" t="s">
        <v>5398</v>
      </c>
      <c r="O226" s="7" t="s">
        <v>2769</v>
      </c>
    </row>
    <row r="227" customFormat="false" ht="15" hidden="false" customHeight="false" outlineLevel="0" collapsed="false">
      <c r="A227" s="7" t="s">
        <v>5399</v>
      </c>
      <c r="B227" s="7" t="s">
        <v>27</v>
      </c>
      <c r="C227" s="7" t="s">
        <v>2757</v>
      </c>
      <c r="D227" s="7" t="s">
        <v>65</v>
      </c>
      <c r="E227" s="7" t="s">
        <v>66</v>
      </c>
      <c r="F227" s="7" t="s">
        <v>5400</v>
      </c>
      <c r="G227" s="7" t="s">
        <v>68</v>
      </c>
      <c r="H227" s="10" t="n">
        <v>5000</v>
      </c>
      <c r="I227" s="7" t="s">
        <v>69</v>
      </c>
      <c r="J227" s="7" t="s">
        <v>5401</v>
      </c>
      <c r="K227" s="7" t="s">
        <v>5402</v>
      </c>
      <c r="L227" s="7" t="s">
        <v>2760</v>
      </c>
      <c r="M227" s="7"/>
      <c r="N227" s="7" t="s">
        <v>5403</v>
      </c>
      <c r="O227" s="7" t="s">
        <v>5404</v>
      </c>
    </row>
    <row r="228" customFormat="false" ht="15" hidden="false" customHeight="false" outlineLevel="0" collapsed="false">
      <c r="A228" s="7" t="s">
        <v>5405</v>
      </c>
      <c r="B228" s="7" t="s">
        <v>27</v>
      </c>
      <c r="C228" s="7" t="s">
        <v>5406</v>
      </c>
      <c r="D228" s="7" t="s">
        <v>104</v>
      </c>
      <c r="E228" s="7" t="s">
        <v>105</v>
      </c>
      <c r="F228" s="7" t="s">
        <v>5407</v>
      </c>
      <c r="G228" s="7" t="s">
        <v>68</v>
      </c>
      <c r="H228" s="10" t="n">
        <v>4000</v>
      </c>
      <c r="I228" s="7" t="s">
        <v>350</v>
      </c>
      <c r="J228" s="7"/>
      <c r="K228" s="7" t="s">
        <v>5408</v>
      </c>
      <c r="L228" s="7" t="s">
        <v>1491</v>
      </c>
      <c r="M228" s="7"/>
      <c r="N228" s="7" t="s">
        <v>5409</v>
      </c>
      <c r="O228" s="7" t="s">
        <v>5410</v>
      </c>
    </row>
    <row r="229" customFormat="false" ht="15" hidden="false" customHeight="false" outlineLevel="0" collapsed="false">
      <c r="A229" s="7" t="s">
        <v>5411</v>
      </c>
      <c r="B229" s="7" t="s">
        <v>27</v>
      </c>
      <c r="C229" s="7" t="s">
        <v>5412</v>
      </c>
      <c r="D229" s="7" t="s">
        <v>3500</v>
      </c>
      <c r="E229" s="7" t="s">
        <v>88</v>
      </c>
      <c r="F229" s="7" t="s">
        <v>5413</v>
      </c>
      <c r="G229" s="7" t="s">
        <v>68</v>
      </c>
      <c r="H229" s="10" t="n">
        <v>8000</v>
      </c>
      <c r="I229" s="7" t="s">
        <v>350</v>
      </c>
      <c r="J229" s="7"/>
      <c r="K229" s="7" t="s">
        <v>5414</v>
      </c>
      <c r="L229" s="7" t="s">
        <v>1491</v>
      </c>
      <c r="M229" s="7"/>
      <c r="N229" s="7" t="s">
        <v>5415</v>
      </c>
      <c r="O229" s="7" t="s">
        <v>5416</v>
      </c>
    </row>
    <row r="230" customFormat="false" ht="15" hidden="false" customHeight="false" outlineLevel="0" collapsed="false">
      <c r="A230" s="7" t="s">
        <v>5417</v>
      </c>
      <c r="B230" s="7" t="s">
        <v>27</v>
      </c>
      <c r="C230" s="7" t="s">
        <v>5418</v>
      </c>
      <c r="D230" s="7" t="s">
        <v>445</v>
      </c>
      <c r="E230" s="7" t="s">
        <v>250</v>
      </c>
      <c r="F230" s="7" t="s">
        <v>5419</v>
      </c>
      <c r="G230" s="7" t="s">
        <v>68</v>
      </c>
      <c r="H230" s="10" t="n">
        <v>6000</v>
      </c>
      <c r="I230" s="7" t="s">
        <v>69</v>
      </c>
      <c r="J230" s="7" t="s">
        <v>157</v>
      </c>
      <c r="K230" s="7" t="s">
        <v>5420</v>
      </c>
      <c r="L230" s="7" t="s">
        <v>1491</v>
      </c>
      <c r="M230" s="7"/>
      <c r="N230" s="7" t="s">
        <v>5421</v>
      </c>
      <c r="O230" s="7" t="s">
        <v>5422</v>
      </c>
    </row>
    <row r="231" customFormat="false" ht="15" hidden="false" customHeight="false" outlineLevel="0" collapsed="false">
      <c r="A231" s="7" t="s">
        <v>5423</v>
      </c>
      <c r="B231" s="7" t="s">
        <v>27</v>
      </c>
      <c r="C231" s="7" t="s">
        <v>2757</v>
      </c>
      <c r="D231" s="7" t="s">
        <v>4355</v>
      </c>
      <c r="E231" s="7" t="s">
        <v>1116</v>
      </c>
      <c r="F231" s="7" t="s">
        <v>5424</v>
      </c>
      <c r="G231" s="7" t="s">
        <v>68</v>
      </c>
      <c r="H231" s="10" t="n">
        <v>300</v>
      </c>
      <c r="I231" s="7" t="s">
        <v>69</v>
      </c>
      <c r="J231" s="7" t="s">
        <v>5425</v>
      </c>
      <c r="K231" s="7" t="s">
        <v>5426</v>
      </c>
      <c r="L231" s="7" t="s">
        <v>2760</v>
      </c>
      <c r="M231" s="7"/>
      <c r="N231" s="7" t="s">
        <v>5427</v>
      </c>
      <c r="O231" s="7" t="s">
        <v>2769</v>
      </c>
    </row>
    <row r="232" customFormat="false" ht="15" hidden="false" customHeight="false" outlineLevel="0" collapsed="false">
      <c r="A232" s="7" t="s">
        <v>5428</v>
      </c>
      <c r="B232" s="7" t="s">
        <v>27</v>
      </c>
      <c r="C232" s="7" t="s">
        <v>5412</v>
      </c>
      <c r="D232" s="7" t="s">
        <v>2458</v>
      </c>
      <c r="E232" s="7" t="s">
        <v>338</v>
      </c>
      <c r="F232" s="7" t="s">
        <v>5429</v>
      </c>
      <c r="G232" s="7" t="s">
        <v>68</v>
      </c>
      <c r="H232" s="10" t="n">
        <v>6000</v>
      </c>
      <c r="I232" s="7" t="s">
        <v>350</v>
      </c>
      <c r="J232" s="7"/>
      <c r="K232" s="7" t="s">
        <v>5430</v>
      </c>
      <c r="L232" s="7" t="s">
        <v>1491</v>
      </c>
      <c r="M232" s="7"/>
      <c r="N232" s="7" t="s">
        <v>5431</v>
      </c>
      <c r="O232" s="7" t="s">
        <v>5432</v>
      </c>
    </row>
    <row r="233" customFormat="false" ht="15" hidden="false" customHeight="false" outlineLevel="0" collapsed="false">
      <c r="A233" s="7" t="s">
        <v>5433</v>
      </c>
      <c r="B233" s="7" t="s">
        <v>27</v>
      </c>
      <c r="C233" s="7" t="s">
        <v>5434</v>
      </c>
      <c r="D233" s="7" t="s">
        <v>154</v>
      </c>
      <c r="E233" s="7" t="s">
        <v>155</v>
      </c>
      <c r="F233" s="7" t="s">
        <v>5435</v>
      </c>
      <c r="G233" s="7" t="s">
        <v>68</v>
      </c>
      <c r="H233" s="10" t="n">
        <v>10000</v>
      </c>
      <c r="I233" s="7" t="s">
        <v>69</v>
      </c>
      <c r="J233" s="7" t="s">
        <v>115</v>
      </c>
      <c r="K233" s="7" t="s">
        <v>5436</v>
      </c>
      <c r="L233" s="7" t="s">
        <v>1491</v>
      </c>
      <c r="M233" s="7"/>
      <c r="N233" s="7" t="s">
        <v>5437</v>
      </c>
      <c r="O233" s="7" t="s">
        <v>5438</v>
      </c>
    </row>
    <row r="234" customFormat="false" ht="15" hidden="false" customHeight="false" outlineLevel="0" collapsed="false">
      <c r="A234" s="7" t="s">
        <v>5439</v>
      </c>
      <c r="B234" s="7" t="s">
        <v>27</v>
      </c>
      <c r="C234" s="7" t="s">
        <v>5440</v>
      </c>
      <c r="D234" s="7" t="s">
        <v>609</v>
      </c>
      <c r="E234" s="7" t="s">
        <v>610</v>
      </c>
      <c r="F234" s="7" t="s">
        <v>5441</v>
      </c>
      <c r="G234" s="7" t="s">
        <v>68</v>
      </c>
      <c r="H234" s="10" t="n">
        <v>1200</v>
      </c>
      <c r="I234" s="7" t="s">
        <v>69</v>
      </c>
      <c r="J234" s="7" t="s">
        <v>5442</v>
      </c>
      <c r="K234" s="7"/>
      <c r="L234" s="7" t="s">
        <v>1491</v>
      </c>
      <c r="M234" s="7"/>
      <c r="N234" s="7" t="s">
        <v>5443</v>
      </c>
      <c r="O234" s="7" t="s">
        <v>5444</v>
      </c>
    </row>
    <row r="235" customFormat="false" ht="15" hidden="false" customHeight="false" outlineLevel="0" collapsed="false">
      <c r="A235" s="7" t="s">
        <v>5445</v>
      </c>
      <c r="B235" s="7" t="s">
        <v>27</v>
      </c>
      <c r="C235" s="7" t="s">
        <v>5446</v>
      </c>
      <c r="D235" s="7" t="s">
        <v>1822</v>
      </c>
      <c r="E235" s="7" t="s">
        <v>66</v>
      </c>
      <c r="F235" s="7" t="s">
        <v>5447</v>
      </c>
      <c r="G235" s="7" t="s">
        <v>68</v>
      </c>
      <c r="H235" s="10" t="n">
        <v>6000</v>
      </c>
      <c r="I235" s="7" t="s">
        <v>350</v>
      </c>
      <c r="J235" s="7"/>
      <c r="K235" s="7" t="s">
        <v>5448</v>
      </c>
      <c r="L235" s="7" t="s">
        <v>1491</v>
      </c>
      <c r="M235" s="7"/>
      <c r="N235" s="7" t="s">
        <v>5449</v>
      </c>
      <c r="O235" s="7" t="s">
        <v>5410</v>
      </c>
    </row>
    <row r="236" customFormat="false" ht="15" hidden="false" customHeight="false" outlineLevel="0" collapsed="false">
      <c r="A236" s="7" t="s">
        <v>5450</v>
      </c>
      <c r="B236" s="7" t="s">
        <v>27</v>
      </c>
      <c r="C236" s="7" t="s">
        <v>5451</v>
      </c>
      <c r="D236" s="7" t="s">
        <v>4918</v>
      </c>
      <c r="E236" s="7" t="s">
        <v>78</v>
      </c>
      <c r="F236" s="7" t="s">
        <v>5452</v>
      </c>
      <c r="G236" s="7" t="s">
        <v>68</v>
      </c>
      <c r="H236" s="10" t="n">
        <v>1500</v>
      </c>
      <c r="I236" s="7" t="s">
        <v>3239</v>
      </c>
      <c r="J236" s="7"/>
      <c r="K236" s="7" t="s">
        <v>5453</v>
      </c>
      <c r="L236" s="7" t="s">
        <v>1491</v>
      </c>
      <c r="M236" s="7"/>
      <c r="N236" s="7" t="s">
        <v>5454</v>
      </c>
      <c r="O236" s="7" t="s">
        <v>5455</v>
      </c>
    </row>
    <row r="237" customFormat="false" ht="15" hidden="false" customHeight="false" outlineLevel="0" collapsed="false">
      <c r="A237" s="7" t="s">
        <v>5456</v>
      </c>
      <c r="B237" s="7" t="s">
        <v>27</v>
      </c>
      <c r="C237" s="7" t="s">
        <v>5457</v>
      </c>
      <c r="D237" s="7" t="s">
        <v>5458</v>
      </c>
      <c r="E237" s="7" t="s">
        <v>1030</v>
      </c>
      <c r="F237" s="7" t="s">
        <v>5459</v>
      </c>
      <c r="G237" s="7" t="s">
        <v>68</v>
      </c>
      <c r="H237" s="10" t="n">
        <v>1500</v>
      </c>
      <c r="I237" s="7" t="s">
        <v>3239</v>
      </c>
      <c r="J237" s="7"/>
      <c r="K237" s="7" t="s">
        <v>5460</v>
      </c>
      <c r="L237" s="7" t="s">
        <v>5461</v>
      </c>
      <c r="M237" s="7"/>
      <c r="N237" s="7" t="s">
        <v>5462</v>
      </c>
      <c r="O237" s="7" t="s">
        <v>5463</v>
      </c>
    </row>
    <row r="238" customFormat="false" ht="15" hidden="false" customHeight="false" outlineLevel="0" collapsed="false">
      <c r="A238" s="7" t="s">
        <v>5464</v>
      </c>
      <c r="B238" s="7" t="s">
        <v>27</v>
      </c>
      <c r="C238" s="7" t="s">
        <v>5465</v>
      </c>
      <c r="D238" s="7" t="s">
        <v>154</v>
      </c>
      <c r="E238" s="7" t="s">
        <v>155</v>
      </c>
      <c r="F238" s="7" t="s">
        <v>5466</v>
      </c>
      <c r="G238" s="7" t="s">
        <v>68</v>
      </c>
      <c r="H238" s="10" t="n">
        <v>7000</v>
      </c>
      <c r="I238" s="7" t="s">
        <v>3239</v>
      </c>
      <c r="J238" s="7"/>
      <c r="K238" s="7" t="s">
        <v>5467</v>
      </c>
      <c r="L238" s="7" t="s">
        <v>1491</v>
      </c>
      <c r="M238" s="7"/>
      <c r="N238" s="7" t="s">
        <v>5468</v>
      </c>
      <c r="O238" s="7" t="s">
        <v>5469</v>
      </c>
    </row>
    <row r="239" customFormat="false" ht="15" hidden="false" customHeight="false" outlineLevel="0" collapsed="false">
      <c r="A239" s="7" t="s">
        <v>5470</v>
      </c>
      <c r="B239" s="7" t="s">
        <v>27</v>
      </c>
      <c r="C239" s="7" t="s">
        <v>5471</v>
      </c>
      <c r="D239" s="7" t="s">
        <v>5472</v>
      </c>
      <c r="E239" s="7" t="s">
        <v>78</v>
      </c>
      <c r="F239" s="7" t="s">
        <v>5473</v>
      </c>
      <c r="G239" s="7" t="s">
        <v>68</v>
      </c>
      <c r="H239" s="10" t="n">
        <v>1500</v>
      </c>
      <c r="I239" s="7" t="s">
        <v>69</v>
      </c>
      <c r="J239" s="7" t="s">
        <v>5474</v>
      </c>
      <c r="K239" s="7"/>
      <c r="L239" s="7" t="s">
        <v>1491</v>
      </c>
      <c r="M239" s="7"/>
      <c r="N239" s="7" t="s">
        <v>5475</v>
      </c>
      <c r="O239" s="7" t="s">
        <v>5476</v>
      </c>
    </row>
    <row r="240" customFormat="false" ht="15" hidden="false" customHeight="false" outlineLevel="0" collapsed="false">
      <c r="A240" s="7" t="s">
        <v>5477</v>
      </c>
      <c r="B240" s="7" t="s">
        <v>27</v>
      </c>
      <c r="C240" s="7" t="s">
        <v>5478</v>
      </c>
      <c r="D240" s="7" t="s">
        <v>5479</v>
      </c>
      <c r="E240" s="7" t="s">
        <v>250</v>
      </c>
      <c r="F240" s="7" t="s">
        <v>5480</v>
      </c>
      <c r="G240" s="7" t="s">
        <v>68</v>
      </c>
      <c r="H240" s="10" t="n">
        <v>300</v>
      </c>
      <c r="I240" s="7" t="s">
        <v>69</v>
      </c>
      <c r="J240" s="7" t="s">
        <v>1775</v>
      </c>
      <c r="K240" s="7" t="s">
        <v>5481</v>
      </c>
      <c r="L240" s="7" t="s">
        <v>2760</v>
      </c>
      <c r="M240" s="7"/>
      <c r="N240" s="7" t="s">
        <v>5482</v>
      </c>
      <c r="O240" s="7" t="s">
        <v>5483</v>
      </c>
    </row>
    <row r="241" customFormat="false" ht="15" hidden="false" customHeight="false" outlineLevel="0" collapsed="false">
      <c r="A241" s="7" t="s">
        <v>5484</v>
      </c>
      <c r="B241" s="7" t="s">
        <v>27</v>
      </c>
      <c r="C241" s="7" t="s">
        <v>5395</v>
      </c>
      <c r="D241" s="7" t="s">
        <v>704</v>
      </c>
      <c r="E241" s="7" t="s">
        <v>296</v>
      </c>
      <c r="F241" s="7" t="s">
        <v>5485</v>
      </c>
      <c r="G241" s="7" t="s">
        <v>68</v>
      </c>
      <c r="H241" s="10" t="n">
        <v>15000</v>
      </c>
      <c r="I241" s="7" t="s">
        <v>69</v>
      </c>
      <c r="J241" s="7" t="s">
        <v>5486</v>
      </c>
      <c r="K241" s="7" t="s">
        <v>5487</v>
      </c>
      <c r="L241" s="7" t="s">
        <v>1491</v>
      </c>
      <c r="M241" s="7"/>
      <c r="N241" s="7" t="s">
        <v>5488</v>
      </c>
      <c r="O241" s="7" t="s">
        <v>5489</v>
      </c>
    </row>
    <row r="242" customFormat="false" ht="15" hidden="false" customHeight="false" outlineLevel="0" collapsed="false">
      <c r="A242" s="7" t="s">
        <v>5490</v>
      </c>
      <c r="B242" s="7" t="s">
        <v>27</v>
      </c>
      <c r="C242" s="7" t="s">
        <v>5491</v>
      </c>
      <c r="D242" s="7" t="s">
        <v>5492</v>
      </c>
      <c r="E242" s="7" t="s">
        <v>348</v>
      </c>
      <c r="F242" s="7" t="s">
        <v>5493</v>
      </c>
      <c r="G242" s="7" t="s">
        <v>68</v>
      </c>
      <c r="H242" s="10" t="n">
        <v>1500</v>
      </c>
      <c r="I242" s="7" t="s">
        <v>3239</v>
      </c>
      <c r="J242" s="7"/>
      <c r="K242" s="7" t="s">
        <v>5494</v>
      </c>
      <c r="L242" s="7" t="s">
        <v>1491</v>
      </c>
      <c r="M242" s="7"/>
      <c r="N242" s="7" t="s">
        <v>5495</v>
      </c>
      <c r="O242" s="7" t="s">
        <v>5496</v>
      </c>
    </row>
    <row r="243" customFormat="false" ht="15" hidden="false" customHeight="false" outlineLevel="0" collapsed="false">
      <c r="A243" s="7" t="s">
        <v>5497</v>
      </c>
      <c r="B243" s="7" t="s">
        <v>27</v>
      </c>
      <c r="C243" s="7" t="s">
        <v>5498</v>
      </c>
      <c r="D243" s="7" t="s">
        <v>962</v>
      </c>
      <c r="E243" s="7" t="s">
        <v>250</v>
      </c>
      <c r="F243" s="7" t="s">
        <v>5499</v>
      </c>
      <c r="G243" s="7" t="s">
        <v>68</v>
      </c>
      <c r="H243" s="10" t="n">
        <v>4000</v>
      </c>
      <c r="I243" s="7" t="s">
        <v>3239</v>
      </c>
      <c r="J243" s="7"/>
      <c r="K243" s="7" t="s">
        <v>5500</v>
      </c>
      <c r="L243" s="7" t="s">
        <v>1491</v>
      </c>
      <c r="M243" s="7"/>
      <c r="N243" s="7" t="s">
        <v>5501</v>
      </c>
      <c r="O243" s="7" t="s">
        <v>5502</v>
      </c>
    </row>
    <row r="244" customFormat="false" ht="15" hidden="false" customHeight="false" outlineLevel="0" collapsed="false">
      <c r="A244" s="7" t="s">
        <v>5503</v>
      </c>
      <c r="B244" s="7" t="s">
        <v>27</v>
      </c>
      <c r="C244" s="7" t="s">
        <v>5504</v>
      </c>
      <c r="D244" s="7" t="s">
        <v>970</v>
      </c>
      <c r="E244" s="7" t="s">
        <v>250</v>
      </c>
      <c r="F244" s="7" t="s">
        <v>5505</v>
      </c>
      <c r="G244" s="7" t="s">
        <v>68</v>
      </c>
      <c r="H244" s="10" t="n">
        <v>15000</v>
      </c>
      <c r="I244" s="7" t="s">
        <v>350</v>
      </c>
      <c r="J244" s="7"/>
      <c r="K244" s="7" t="s">
        <v>5506</v>
      </c>
      <c r="L244" s="7" t="s">
        <v>1491</v>
      </c>
      <c r="M244" s="7"/>
      <c r="N244" s="7" t="s">
        <v>5507</v>
      </c>
      <c r="O244" s="7" t="s">
        <v>5508</v>
      </c>
    </row>
    <row r="245" customFormat="false" ht="15" hidden="false" customHeight="false" outlineLevel="0" collapsed="false">
      <c r="A245" s="7" t="s">
        <v>5509</v>
      </c>
      <c r="B245" s="7" t="s">
        <v>27</v>
      </c>
      <c r="C245" s="7" t="s">
        <v>5510</v>
      </c>
      <c r="D245" s="7" t="s">
        <v>986</v>
      </c>
      <c r="E245" s="7" t="s">
        <v>215</v>
      </c>
      <c r="F245" s="7" t="s">
        <v>5511</v>
      </c>
      <c r="G245" s="7" t="s">
        <v>68</v>
      </c>
      <c r="H245" s="10" t="n">
        <v>5000</v>
      </c>
      <c r="I245" s="7" t="s">
        <v>350</v>
      </c>
      <c r="J245" s="7"/>
      <c r="K245" s="7" t="s">
        <v>5512</v>
      </c>
      <c r="L245" s="7" t="s">
        <v>1491</v>
      </c>
      <c r="M245" s="7"/>
      <c r="N245" s="7" t="s">
        <v>5513</v>
      </c>
      <c r="O245" s="7" t="s">
        <v>5514</v>
      </c>
    </row>
    <row r="246" customFormat="false" ht="15" hidden="false" customHeight="false" outlineLevel="0" collapsed="false">
      <c r="A246" s="7" t="s">
        <v>5515</v>
      </c>
      <c r="B246" s="7" t="s">
        <v>27</v>
      </c>
      <c r="C246" s="7" t="s">
        <v>5516</v>
      </c>
      <c r="D246" s="7" t="s">
        <v>5517</v>
      </c>
      <c r="E246" s="7" t="s">
        <v>155</v>
      </c>
      <c r="F246" s="7" t="s">
        <v>5518</v>
      </c>
      <c r="G246" s="7" t="s">
        <v>68</v>
      </c>
      <c r="H246" s="10" t="n">
        <v>1500</v>
      </c>
      <c r="I246" s="7" t="s">
        <v>69</v>
      </c>
      <c r="J246" s="7" t="s">
        <v>627</v>
      </c>
      <c r="K246" s="7"/>
      <c r="L246" s="7" t="s">
        <v>5461</v>
      </c>
      <c r="M246" s="7"/>
      <c r="N246" s="7" t="s">
        <v>5519</v>
      </c>
      <c r="O246" s="7" t="s">
        <v>5520</v>
      </c>
    </row>
    <row r="247" customFormat="false" ht="15" hidden="false" customHeight="false" outlineLevel="0" collapsed="false">
      <c r="A247" s="7" t="s">
        <v>5521</v>
      </c>
      <c r="B247" s="7" t="s">
        <v>27</v>
      </c>
      <c r="C247" s="7" t="s">
        <v>5522</v>
      </c>
      <c r="D247" s="7" t="s">
        <v>5523</v>
      </c>
      <c r="E247" s="7" t="s">
        <v>88</v>
      </c>
      <c r="F247" s="7" t="s">
        <v>5524</v>
      </c>
      <c r="G247" s="7" t="s">
        <v>68</v>
      </c>
      <c r="H247" s="10" t="n">
        <v>1200</v>
      </c>
      <c r="I247" s="7" t="s">
        <v>69</v>
      </c>
      <c r="J247" s="7" t="s">
        <v>559</v>
      </c>
      <c r="K247" s="7" t="s">
        <v>5525</v>
      </c>
      <c r="L247" s="7" t="s">
        <v>5250</v>
      </c>
      <c r="M247" s="7"/>
      <c r="N247" s="7" t="s">
        <v>5526</v>
      </c>
      <c r="O247" s="7" t="s">
        <v>5527</v>
      </c>
    </row>
    <row r="248" customFormat="false" ht="15" hidden="false" customHeight="false" outlineLevel="0" collapsed="false">
      <c r="A248" s="7" t="s">
        <v>5528</v>
      </c>
      <c r="B248" s="7" t="s">
        <v>27</v>
      </c>
      <c r="C248" s="7" t="s">
        <v>5355</v>
      </c>
      <c r="D248" s="7" t="s">
        <v>327</v>
      </c>
      <c r="E248" s="7" t="s">
        <v>328</v>
      </c>
      <c r="F248" s="7" t="s">
        <v>5529</v>
      </c>
      <c r="G248" s="7" t="s">
        <v>68</v>
      </c>
      <c r="H248" s="10" t="n">
        <v>400</v>
      </c>
      <c r="I248" s="7" t="s">
        <v>350</v>
      </c>
      <c r="J248" s="7"/>
      <c r="K248" s="7" t="s">
        <v>5530</v>
      </c>
      <c r="L248" s="7" t="s">
        <v>2760</v>
      </c>
      <c r="M248" s="7"/>
      <c r="N248" s="7" t="s">
        <v>5531</v>
      </c>
      <c r="O248" s="7" t="s">
        <v>5532</v>
      </c>
    </row>
    <row r="249" customFormat="false" ht="15" hidden="false" customHeight="false" outlineLevel="0" collapsed="false">
      <c r="A249" s="7" t="s">
        <v>5533</v>
      </c>
      <c r="B249" s="7" t="s">
        <v>27</v>
      </c>
      <c r="C249" s="7" t="s">
        <v>5412</v>
      </c>
      <c r="D249" s="7" t="s">
        <v>4416</v>
      </c>
      <c r="E249" s="7" t="s">
        <v>4417</v>
      </c>
      <c r="F249" s="7" t="s">
        <v>5534</v>
      </c>
      <c r="G249" s="7" t="s">
        <v>68</v>
      </c>
      <c r="H249" s="10" t="n">
        <v>5000</v>
      </c>
      <c r="I249" s="7" t="s">
        <v>350</v>
      </c>
      <c r="J249" s="7"/>
      <c r="K249" s="7" t="s">
        <v>5535</v>
      </c>
      <c r="L249" s="7" t="s">
        <v>1491</v>
      </c>
      <c r="M249" s="7"/>
      <c r="N249" s="7" t="s">
        <v>5536</v>
      </c>
      <c r="O249" s="7" t="s">
        <v>5537</v>
      </c>
    </row>
    <row r="250" customFormat="false" ht="15" hidden="false" customHeight="false" outlineLevel="0" collapsed="false">
      <c r="A250" s="7" t="s">
        <v>5538</v>
      </c>
      <c r="B250" s="7" t="s">
        <v>27</v>
      </c>
      <c r="C250" s="7" t="s">
        <v>5539</v>
      </c>
      <c r="D250" s="7" t="s">
        <v>1889</v>
      </c>
      <c r="E250" s="7" t="s">
        <v>88</v>
      </c>
      <c r="F250" s="7" t="s">
        <v>5540</v>
      </c>
      <c r="G250" s="7" t="s">
        <v>68</v>
      </c>
      <c r="H250" s="10" t="n">
        <v>6000</v>
      </c>
      <c r="I250" s="7" t="s">
        <v>350</v>
      </c>
      <c r="J250" s="7"/>
      <c r="K250" s="7" t="s">
        <v>5541</v>
      </c>
      <c r="L250" s="7" t="s">
        <v>1491</v>
      </c>
      <c r="M250" s="7"/>
      <c r="N250" s="7" t="s">
        <v>5542</v>
      </c>
      <c r="O250" s="7" t="s">
        <v>5543</v>
      </c>
    </row>
    <row r="251" customFormat="false" ht="15" hidden="false" customHeight="false" outlineLevel="0" collapsed="false">
      <c r="A251" s="7" t="s">
        <v>5544</v>
      </c>
      <c r="B251" s="7" t="s">
        <v>27</v>
      </c>
      <c r="C251" s="7" t="s">
        <v>5377</v>
      </c>
      <c r="D251" s="7" t="s">
        <v>5545</v>
      </c>
      <c r="E251" s="7" t="s">
        <v>78</v>
      </c>
      <c r="F251" s="7" t="s">
        <v>5546</v>
      </c>
      <c r="G251" s="7" t="s">
        <v>149</v>
      </c>
      <c r="H251" s="10" t="n">
        <v>3000</v>
      </c>
      <c r="I251" s="7" t="s">
        <v>69</v>
      </c>
      <c r="J251" s="7" t="s">
        <v>5547</v>
      </c>
      <c r="K251" s="7" t="s">
        <v>5548</v>
      </c>
      <c r="L251" s="7" t="s">
        <v>5549</v>
      </c>
      <c r="M251" s="7"/>
      <c r="N251" s="7" t="s">
        <v>5550</v>
      </c>
      <c r="O251" s="7" t="s">
        <v>5551</v>
      </c>
    </row>
    <row r="252" customFormat="false" ht="15" hidden="false" customHeight="false" outlineLevel="0" collapsed="false">
      <c r="A252" s="7" t="s">
        <v>5552</v>
      </c>
      <c r="B252" s="7" t="s">
        <v>27</v>
      </c>
      <c r="C252" s="7" t="s">
        <v>5553</v>
      </c>
      <c r="D252" s="7" t="s">
        <v>5554</v>
      </c>
      <c r="E252" s="7" t="s">
        <v>348</v>
      </c>
      <c r="F252" s="7" t="s">
        <v>5555</v>
      </c>
      <c r="G252" s="7" t="s">
        <v>149</v>
      </c>
      <c r="H252" s="10" t="n">
        <v>1000</v>
      </c>
      <c r="I252" s="7" t="s">
        <v>3239</v>
      </c>
      <c r="J252" s="7"/>
      <c r="K252" s="7" t="s">
        <v>5556</v>
      </c>
      <c r="L252" s="7" t="s">
        <v>5461</v>
      </c>
      <c r="M252" s="7"/>
      <c r="N252" s="7" t="s">
        <v>5557</v>
      </c>
      <c r="O252" s="7" t="s">
        <v>5558</v>
      </c>
    </row>
    <row r="253" customFormat="false" ht="15" hidden="false" customHeight="false" outlineLevel="0" collapsed="false">
      <c r="A253" s="7" t="s">
        <v>5559</v>
      </c>
      <c r="B253" s="7" t="s">
        <v>27</v>
      </c>
      <c r="C253" s="7" t="s">
        <v>5560</v>
      </c>
      <c r="D253" s="7" t="s">
        <v>1599</v>
      </c>
      <c r="E253" s="7" t="s">
        <v>78</v>
      </c>
      <c r="F253" s="7" t="s">
        <v>5561</v>
      </c>
      <c r="G253" s="7" t="s">
        <v>149</v>
      </c>
      <c r="H253" s="10" t="n">
        <v>400</v>
      </c>
      <c r="I253" s="7" t="s">
        <v>350</v>
      </c>
      <c r="J253" s="7"/>
      <c r="K253" s="7" t="s">
        <v>5562</v>
      </c>
      <c r="L253" s="7" t="s">
        <v>5461</v>
      </c>
      <c r="M253" s="7"/>
      <c r="N253" s="7" t="s">
        <v>5563</v>
      </c>
      <c r="O253" s="7" t="s">
        <v>5564</v>
      </c>
    </row>
    <row r="254" customFormat="false" ht="15" hidden="false" customHeight="false" outlineLevel="0" collapsed="false">
      <c r="A254" s="7" t="s">
        <v>5565</v>
      </c>
      <c r="B254" s="7" t="s">
        <v>27</v>
      </c>
      <c r="C254" s="7" t="s">
        <v>5465</v>
      </c>
      <c r="D254" s="7" t="s">
        <v>3149</v>
      </c>
      <c r="E254" s="7" t="s">
        <v>172</v>
      </c>
      <c r="F254" s="7" t="s">
        <v>5566</v>
      </c>
      <c r="G254" s="7" t="s">
        <v>149</v>
      </c>
      <c r="H254" s="10" t="n">
        <v>5000</v>
      </c>
      <c r="I254" s="7" t="s">
        <v>350</v>
      </c>
      <c r="J254" s="7"/>
      <c r="K254" s="7" t="s">
        <v>5567</v>
      </c>
      <c r="L254" s="7" t="s">
        <v>5461</v>
      </c>
      <c r="M254" s="7"/>
      <c r="N254" s="7" t="s">
        <v>5568</v>
      </c>
      <c r="O254" s="7" t="s">
        <v>5569</v>
      </c>
    </row>
    <row r="255" customFormat="false" ht="15" hidden="false" customHeight="false" outlineLevel="0" collapsed="false">
      <c r="A255" s="7" t="s">
        <v>5570</v>
      </c>
      <c r="B255" s="7" t="s">
        <v>27</v>
      </c>
      <c r="C255" s="7" t="s">
        <v>5571</v>
      </c>
      <c r="D255" s="7" t="s">
        <v>5572</v>
      </c>
      <c r="E255" s="7" t="s">
        <v>97</v>
      </c>
      <c r="F255" s="7" t="s">
        <v>5573</v>
      </c>
      <c r="G255" s="7" t="s">
        <v>149</v>
      </c>
      <c r="H255" s="10" t="n">
        <v>200</v>
      </c>
      <c r="I255" s="7" t="s">
        <v>69</v>
      </c>
      <c r="J255" s="7" t="s">
        <v>5574</v>
      </c>
      <c r="K255" s="7" t="s">
        <v>5575</v>
      </c>
      <c r="L255" s="7" t="s">
        <v>5549</v>
      </c>
      <c r="M255" s="7"/>
      <c r="N255" s="7" t="s">
        <v>5576</v>
      </c>
      <c r="O255" s="7" t="s">
        <v>5577</v>
      </c>
    </row>
    <row r="256" customFormat="false" ht="15" hidden="false" customHeight="false" outlineLevel="0" collapsed="false">
      <c r="A256" s="7" t="s">
        <v>5578</v>
      </c>
      <c r="B256" s="7" t="s">
        <v>27</v>
      </c>
      <c r="C256" s="7" t="s">
        <v>5579</v>
      </c>
      <c r="D256" s="7" t="s">
        <v>5580</v>
      </c>
      <c r="E256" s="7" t="s">
        <v>88</v>
      </c>
      <c r="F256" s="7" t="s">
        <v>5581</v>
      </c>
      <c r="G256" s="7" t="s">
        <v>149</v>
      </c>
      <c r="H256" s="10" t="n">
        <v>1500</v>
      </c>
      <c r="I256" s="7" t="s">
        <v>350</v>
      </c>
      <c r="J256" s="7"/>
      <c r="K256" s="7" t="s">
        <v>5582</v>
      </c>
      <c r="L256" s="7" t="s">
        <v>5461</v>
      </c>
      <c r="M256" s="7"/>
      <c r="N256" s="7" t="s">
        <v>5583</v>
      </c>
      <c r="O256" s="7" t="s">
        <v>5584</v>
      </c>
    </row>
    <row r="257" customFormat="false" ht="15" hidden="false" customHeight="false" outlineLevel="0" collapsed="false">
      <c r="A257" s="7" t="s">
        <v>5585</v>
      </c>
      <c r="B257" s="7" t="s">
        <v>27</v>
      </c>
      <c r="C257" s="7" t="s">
        <v>5586</v>
      </c>
      <c r="D257" s="7" t="s">
        <v>337</v>
      </c>
      <c r="E257" s="7" t="s">
        <v>338</v>
      </c>
      <c r="F257" s="7" t="s">
        <v>5587</v>
      </c>
      <c r="G257" s="7" t="s">
        <v>149</v>
      </c>
      <c r="H257" s="10" t="n">
        <v>8000</v>
      </c>
      <c r="I257" s="7" t="s">
        <v>3239</v>
      </c>
      <c r="J257" s="7"/>
      <c r="K257" s="7" t="s">
        <v>5588</v>
      </c>
      <c r="L257" s="7" t="s">
        <v>1491</v>
      </c>
      <c r="M257" s="7"/>
      <c r="N257" s="7" t="s">
        <v>5589</v>
      </c>
      <c r="O257" s="7" t="s">
        <v>5590</v>
      </c>
    </row>
    <row r="258" customFormat="false" ht="15" hidden="false" customHeight="false" outlineLevel="0" collapsed="false">
      <c r="A258" s="7" t="s">
        <v>5591</v>
      </c>
      <c r="B258" s="7" t="s">
        <v>27</v>
      </c>
      <c r="C258" s="7" t="s">
        <v>5592</v>
      </c>
      <c r="D258" s="7" t="s">
        <v>4401</v>
      </c>
      <c r="E258" s="7" t="s">
        <v>779</v>
      </c>
      <c r="F258" s="7" t="s">
        <v>5593</v>
      </c>
      <c r="G258" s="7" t="s">
        <v>149</v>
      </c>
      <c r="H258" s="10" t="n">
        <v>1800</v>
      </c>
      <c r="I258" s="7" t="s">
        <v>350</v>
      </c>
      <c r="J258" s="7"/>
      <c r="K258" s="7" t="s">
        <v>5594</v>
      </c>
      <c r="L258" s="7" t="s">
        <v>1491</v>
      </c>
      <c r="M258" s="7"/>
      <c r="N258" s="7" t="s">
        <v>5595</v>
      </c>
      <c r="O258" s="7" t="s">
        <v>5596</v>
      </c>
    </row>
    <row r="259" customFormat="false" ht="15" hidden="false" customHeight="false" outlineLevel="0" collapsed="false">
      <c r="A259" s="7" t="s">
        <v>5597</v>
      </c>
      <c r="B259" s="7" t="s">
        <v>27</v>
      </c>
      <c r="C259" s="7" t="s">
        <v>5598</v>
      </c>
      <c r="D259" s="7" t="s">
        <v>154</v>
      </c>
      <c r="E259" s="7" t="s">
        <v>155</v>
      </c>
      <c r="F259" s="7" t="s">
        <v>5599</v>
      </c>
      <c r="G259" s="7" t="s">
        <v>149</v>
      </c>
      <c r="H259" s="10" t="n">
        <v>300</v>
      </c>
      <c r="I259" s="7" t="s">
        <v>69</v>
      </c>
      <c r="J259" s="7" t="s">
        <v>5442</v>
      </c>
      <c r="K259" s="7"/>
      <c r="L259" s="7" t="s">
        <v>5600</v>
      </c>
      <c r="M259" s="7"/>
      <c r="N259" s="7" t="s">
        <v>5601</v>
      </c>
      <c r="O259" s="7" t="s">
        <v>5444</v>
      </c>
    </row>
    <row r="260" customFormat="false" ht="15" hidden="false" customHeight="false" outlineLevel="0" collapsed="false">
      <c r="A260" s="7" t="s">
        <v>5602</v>
      </c>
      <c r="B260" s="7" t="s">
        <v>27</v>
      </c>
      <c r="C260" s="7" t="s">
        <v>5603</v>
      </c>
      <c r="D260" s="7" t="s">
        <v>5604</v>
      </c>
      <c r="E260" s="7" t="s">
        <v>243</v>
      </c>
      <c r="F260" s="7" t="s">
        <v>5605</v>
      </c>
      <c r="G260" s="7" t="s">
        <v>149</v>
      </c>
      <c r="H260" s="10" t="n">
        <v>1000</v>
      </c>
      <c r="I260" s="7" t="s">
        <v>3239</v>
      </c>
      <c r="J260" s="7"/>
      <c r="K260" s="7" t="s">
        <v>5606</v>
      </c>
      <c r="L260" s="7" t="s">
        <v>5461</v>
      </c>
      <c r="M260" s="7"/>
      <c r="N260" s="7" t="s">
        <v>5607</v>
      </c>
      <c r="O260" s="7" t="s">
        <v>5608</v>
      </c>
    </row>
    <row r="261" customFormat="false" ht="15" hidden="false" customHeight="false" outlineLevel="0" collapsed="false">
      <c r="A261" s="7" t="s">
        <v>5609</v>
      </c>
      <c r="B261" s="7" t="s">
        <v>27</v>
      </c>
      <c r="C261" s="7" t="s">
        <v>5610</v>
      </c>
      <c r="D261" s="7" t="s">
        <v>5611</v>
      </c>
      <c r="E261" s="7" t="s">
        <v>348</v>
      </c>
      <c r="F261" s="7" t="s">
        <v>5612</v>
      </c>
      <c r="G261" s="7" t="s">
        <v>149</v>
      </c>
      <c r="H261" s="10" t="n">
        <v>1000</v>
      </c>
      <c r="I261" s="7" t="s">
        <v>69</v>
      </c>
      <c r="J261" s="7" t="s">
        <v>5173</v>
      </c>
      <c r="K261" s="7"/>
      <c r="L261" s="7" t="s">
        <v>5461</v>
      </c>
      <c r="M261" s="7"/>
      <c r="N261" s="7" t="s">
        <v>5613</v>
      </c>
      <c r="O261" s="7" t="s">
        <v>5614</v>
      </c>
    </row>
    <row r="262" customFormat="false" ht="15" hidden="false" customHeight="false" outlineLevel="0" collapsed="false">
      <c r="A262" s="7" t="s">
        <v>5615</v>
      </c>
      <c r="B262" s="7" t="s">
        <v>27</v>
      </c>
      <c r="C262" s="7" t="s">
        <v>5616</v>
      </c>
      <c r="D262" s="7" t="s">
        <v>5617</v>
      </c>
      <c r="E262" s="7" t="s">
        <v>172</v>
      </c>
      <c r="F262" s="7" t="s">
        <v>5618</v>
      </c>
      <c r="G262" s="7" t="s">
        <v>149</v>
      </c>
      <c r="H262" s="10" t="n">
        <v>1500</v>
      </c>
      <c r="I262" s="7" t="s">
        <v>69</v>
      </c>
      <c r="J262" s="7" t="s">
        <v>5619</v>
      </c>
      <c r="K262" s="7"/>
      <c r="L262" s="7" t="s">
        <v>5461</v>
      </c>
      <c r="M262" s="7"/>
      <c r="N262" s="7" t="s">
        <v>5620</v>
      </c>
      <c r="O262" s="7" t="s">
        <v>5621</v>
      </c>
    </row>
    <row r="263" customFormat="false" ht="15" hidden="false" customHeight="false" outlineLevel="0" collapsed="false">
      <c r="A263" s="7" t="s">
        <v>5622</v>
      </c>
      <c r="B263" s="7" t="s">
        <v>27</v>
      </c>
      <c r="C263" s="7" t="s">
        <v>5395</v>
      </c>
      <c r="D263" s="7" t="s">
        <v>2076</v>
      </c>
      <c r="E263" s="7" t="s">
        <v>78</v>
      </c>
      <c r="F263" s="7" t="s">
        <v>5623</v>
      </c>
      <c r="G263" s="7" t="s">
        <v>149</v>
      </c>
      <c r="H263" s="10" t="n">
        <v>6000</v>
      </c>
      <c r="I263" s="7" t="s">
        <v>69</v>
      </c>
      <c r="J263" s="7" t="s">
        <v>5574</v>
      </c>
      <c r="K263" s="7" t="s">
        <v>5624</v>
      </c>
      <c r="L263" s="7" t="s">
        <v>5461</v>
      </c>
      <c r="M263" s="7"/>
      <c r="N263" s="7" t="s">
        <v>5625</v>
      </c>
      <c r="O263" s="7" t="s">
        <v>5626</v>
      </c>
    </row>
    <row r="264" customFormat="false" ht="15" hidden="false" customHeight="false" outlineLevel="0" collapsed="false">
      <c r="A264" s="7" t="s">
        <v>5627</v>
      </c>
      <c r="B264" s="7" t="s">
        <v>27</v>
      </c>
      <c r="C264" s="7" t="s">
        <v>5628</v>
      </c>
      <c r="D264" s="7" t="s">
        <v>5629</v>
      </c>
      <c r="E264" s="7" t="s">
        <v>243</v>
      </c>
      <c r="F264" s="7" t="s">
        <v>5630</v>
      </c>
      <c r="G264" s="7" t="s">
        <v>149</v>
      </c>
      <c r="H264" s="10" t="n">
        <v>1200</v>
      </c>
      <c r="I264" s="7" t="s">
        <v>517</v>
      </c>
      <c r="J264" s="7"/>
      <c r="K264" s="7" t="s">
        <v>5631</v>
      </c>
      <c r="L264" s="7" t="s">
        <v>5461</v>
      </c>
      <c r="M264" s="7"/>
      <c r="N264" s="7" t="s">
        <v>5632</v>
      </c>
      <c r="O264" s="7" t="s">
        <v>5633</v>
      </c>
    </row>
    <row r="265" customFormat="false" ht="15" hidden="false" customHeight="false" outlineLevel="0" collapsed="false">
      <c r="A265" s="7" t="s">
        <v>5634</v>
      </c>
      <c r="B265" s="7" t="s">
        <v>27</v>
      </c>
      <c r="C265" s="7" t="s">
        <v>5635</v>
      </c>
      <c r="D265" s="7" t="s">
        <v>3545</v>
      </c>
      <c r="E265" s="7" t="s">
        <v>78</v>
      </c>
      <c r="F265" s="7" t="s">
        <v>5636</v>
      </c>
      <c r="G265" s="7" t="s">
        <v>149</v>
      </c>
      <c r="H265" s="10" t="n">
        <v>1200</v>
      </c>
      <c r="I265" s="7" t="s">
        <v>69</v>
      </c>
      <c r="J265" s="7" t="s">
        <v>627</v>
      </c>
      <c r="K265" s="7"/>
      <c r="L265" s="7" t="s">
        <v>5461</v>
      </c>
      <c r="M265" s="7"/>
      <c r="N265" s="7" t="s">
        <v>5637</v>
      </c>
      <c r="O265" s="7" t="s">
        <v>5638</v>
      </c>
    </row>
    <row r="266" customFormat="false" ht="15" hidden="false" customHeight="false" outlineLevel="0" collapsed="false">
      <c r="A266" s="7" t="s">
        <v>5639</v>
      </c>
      <c r="B266" s="7" t="s">
        <v>27</v>
      </c>
      <c r="C266" s="7" t="s">
        <v>5640</v>
      </c>
      <c r="D266" s="7" t="s">
        <v>5197</v>
      </c>
      <c r="E266" s="7" t="s">
        <v>854</v>
      </c>
      <c r="F266" s="7" t="s">
        <v>5641</v>
      </c>
      <c r="G266" s="7" t="s">
        <v>149</v>
      </c>
      <c r="H266" s="10" t="n">
        <v>1500</v>
      </c>
      <c r="I266" s="7" t="s">
        <v>3239</v>
      </c>
      <c r="J266" s="7"/>
      <c r="K266" s="7" t="s">
        <v>5642</v>
      </c>
      <c r="L266" s="7" t="s">
        <v>5461</v>
      </c>
      <c r="M266" s="7"/>
      <c r="N266" s="7" t="s">
        <v>5643</v>
      </c>
      <c r="O266" s="7" t="s">
        <v>5644</v>
      </c>
    </row>
    <row r="267" customFormat="false" ht="15" hidden="false" customHeight="false" outlineLevel="0" collapsed="false">
      <c r="A267" s="7" t="s">
        <v>5645</v>
      </c>
      <c r="B267" s="7" t="s">
        <v>27</v>
      </c>
      <c r="C267" s="7" t="s">
        <v>5646</v>
      </c>
      <c r="D267" s="7" t="s">
        <v>5647</v>
      </c>
      <c r="E267" s="7" t="s">
        <v>760</v>
      </c>
      <c r="F267" s="7" t="s">
        <v>5648</v>
      </c>
      <c r="G267" s="7" t="s">
        <v>149</v>
      </c>
      <c r="H267" s="10" t="n">
        <v>400</v>
      </c>
      <c r="I267" s="7" t="s">
        <v>69</v>
      </c>
      <c r="J267" s="7" t="s">
        <v>5390</v>
      </c>
      <c r="K267" s="7" t="s">
        <v>5649</v>
      </c>
      <c r="L267" s="7" t="s">
        <v>5461</v>
      </c>
      <c r="M267" s="7"/>
      <c r="N267" s="7" t="s">
        <v>5650</v>
      </c>
      <c r="O267" s="7" t="s">
        <v>5444</v>
      </c>
    </row>
    <row r="268" customFormat="false" ht="15" hidden="false" customHeight="false" outlineLevel="0" collapsed="false">
      <c r="A268" s="7" t="s">
        <v>5651</v>
      </c>
      <c r="B268" s="7" t="s">
        <v>27</v>
      </c>
      <c r="C268" s="7" t="s">
        <v>5652</v>
      </c>
      <c r="D268" s="7" t="s">
        <v>5653</v>
      </c>
      <c r="E268" s="7" t="s">
        <v>163</v>
      </c>
      <c r="F268" s="7" t="s">
        <v>5654</v>
      </c>
      <c r="G268" s="7" t="s">
        <v>149</v>
      </c>
      <c r="H268" s="10" t="n">
        <v>1100</v>
      </c>
      <c r="I268" s="7" t="s">
        <v>69</v>
      </c>
      <c r="J268" s="7" t="s">
        <v>5655</v>
      </c>
      <c r="K268" s="7"/>
      <c r="L268" s="7" t="s">
        <v>5250</v>
      </c>
      <c r="M268" s="7"/>
      <c r="N268" s="7" t="s">
        <v>5656</v>
      </c>
      <c r="O268" s="7" t="s">
        <v>5657</v>
      </c>
    </row>
    <row r="269" customFormat="false" ht="15" hidden="false" customHeight="false" outlineLevel="0" collapsed="false">
      <c r="A269" s="7" t="s">
        <v>5658</v>
      </c>
      <c r="B269" s="7" t="s">
        <v>27</v>
      </c>
      <c r="C269" s="7" t="s">
        <v>2757</v>
      </c>
      <c r="D269" s="7" t="s">
        <v>5659</v>
      </c>
      <c r="E269" s="7" t="s">
        <v>3533</v>
      </c>
      <c r="F269" s="7" t="s">
        <v>5660</v>
      </c>
      <c r="G269" s="7" t="s">
        <v>149</v>
      </c>
      <c r="H269" s="10" t="n">
        <v>200</v>
      </c>
      <c r="I269" s="7" t="s">
        <v>69</v>
      </c>
      <c r="J269" s="7" t="s">
        <v>5661</v>
      </c>
      <c r="K269" s="7" t="s">
        <v>5662</v>
      </c>
      <c r="L269" s="7" t="s">
        <v>5359</v>
      </c>
      <c r="M269" s="7"/>
      <c r="N269" s="7" t="s">
        <v>5663</v>
      </c>
      <c r="O269" s="7" t="s">
        <v>5664</v>
      </c>
    </row>
    <row r="270" customFormat="false" ht="15" hidden="false" customHeight="false" outlineLevel="0" collapsed="false">
      <c r="A270" s="7" t="s">
        <v>5665</v>
      </c>
      <c r="B270" s="7" t="s">
        <v>27</v>
      </c>
      <c r="C270" s="7" t="s">
        <v>5666</v>
      </c>
      <c r="D270" s="7" t="s">
        <v>5667</v>
      </c>
      <c r="E270" s="7" t="s">
        <v>428</v>
      </c>
      <c r="F270" s="7" t="s">
        <v>5668</v>
      </c>
      <c r="G270" s="7" t="s">
        <v>149</v>
      </c>
      <c r="H270" s="10" t="n">
        <v>300</v>
      </c>
      <c r="I270" s="7" t="s">
        <v>350</v>
      </c>
      <c r="J270" s="7"/>
      <c r="K270" s="7" t="s">
        <v>5669</v>
      </c>
      <c r="L270" s="7" t="s">
        <v>5461</v>
      </c>
      <c r="M270" s="7"/>
      <c r="N270" s="7" t="s">
        <v>5670</v>
      </c>
      <c r="O270" s="7" t="s">
        <v>5671</v>
      </c>
    </row>
    <row r="271" customFormat="false" ht="15" hidden="false" customHeight="false" outlineLevel="0" collapsed="false">
      <c r="A271" s="7" t="s">
        <v>5672</v>
      </c>
      <c r="B271" s="7" t="s">
        <v>27</v>
      </c>
      <c r="C271" s="7" t="s">
        <v>5673</v>
      </c>
      <c r="D271" s="7" t="s">
        <v>5674</v>
      </c>
      <c r="E271" s="7" t="s">
        <v>78</v>
      </c>
      <c r="F271" s="7" t="s">
        <v>5675</v>
      </c>
      <c r="G271" s="7" t="s">
        <v>149</v>
      </c>
      <c r="H271" s="10" t="n">
        <v>500</v>
      </c>
      <c r="I271" s="7" t="s">
        <v>69</v>
      </c>
      <c r="J271" s="7" t="s">
        <v>5390</v>
      </c>
      <c r="K271" s="7" t="s">
        <v>5676</v>
      </c>
      <c r="L271" s="7" t="s">
        <v>5677</v>
      </c>
      <c r="M271" s="7"/>
      <c r="N271" s="7" t="s">
        <v>5678</v>
      </c>
      <c r="O271" s="7" t="s">
        <v>5679</v>
      </c>
    </row>
    <row r="272" customFormat="false" ht="15" hidden="false" customHeight="false" outlineLevel="0" collapsed="false">
      <c r="A272" s="7" t="s">
        <v>5680</v>
      </c>
      <c r="B272" s="7" t="s">
        <v>27</v>
      </c>
      <c r="C272" s="7" t="s">
        <v>5681</v>
      </c>
      <c r="D272" s="7" t="s">
        <v>264</v>
      </c>
      <c r="E272" s="7" t="s">
        <v>250</v>
      </c>
      <c r="F272" s="7" t="s">
        <v>5682</v>
      </c>
      <c r="G272" s="7" t="s">
        <v>149</v>
      </c>
      <c r="H272" s="10" t="n">
        <v>5000</v>
      </c>
      <c r="I272" s="7" t="s">
        <v>69</v>
      </c>
      <c r="J272" s="7" t="s">
        <v>198</v>
      </c>
      <c r="K272" s="7"/>
      <c r="L272" s="7" t="s">
        <v>5461</v>
      </c>
      <c r="M272" s="7"/>
      <c r="N272" s="7" t="s">
        <v>5683</v>
      </c>
      <c r="O272" s="7" t="s">
        <v>5684</v>
      </c>
    </row>
    <row r="273" customFormat="false" ht="15" hidden="false" customHeight="false" outlineLevel="0" collapsed="false">
      <c r="A273" s="7" t="s">
        <v>5685</v>
      </c>
      <c r="B273" s="7" t="s">
        <v>27</v>
      </c>
      <c r="C273" s="7" t="s">
        <v>5686</v>
      </c>
      <c r="D273" s="7" t="s">
        <v>5687</v>
      </c>
      <c r="E273" s="7" t="s">
        <v>338</v>
      </c>
      <c r="F273" s="7" t="s">
        <v>5688</v>
      </c>
      <c r="G273" s="7" t="s">
        <v>149</v>
      </c>
      <c r="H273" s="10" t="n">
        <v>800</v>
      </c>
      <c r="I273" s="7" t="s">
        <v>69</v>
      </c>
      <c r="J273" s="7" t="s">
        <v>5689</v>
      </c>
      <c r="K273" s="7"/>
      <c r="L273" s="7" t="s">
        <v>5461</v>
      </c>
      <c r="M273" s="7"/>
      <c r="N273" s="7" t="s">
        <v>5690</v>
      </c>
      <c r="O273" s="7" t="s">
        <v>5691</v>
      </c>
    </row>
    <row r="274" customFormat="false" ht="15" hidden="false" customHeight="false" outlineLevel="0" collapsed="false">
      <c r="A274" s="7" t="s">
        <v>5692</v>
      </c>
      <c r="B274" s="7" t="s">
        <v>27</v>
      </c>
      <c r="C274" s="7" t="s">
        <v>5693</v>
      </c>
      <c r="D274" s="7" t="s">
        <v>4797</v>
      </c>
      <c r="E274" s="7" t="s">
        <v>1212</v>
      </c>
      <c r="F274" s="7" t="s">
        <v>5694</v>
      </c>
      <c r="G274" s="7" t="s">
        <v>149</v>
      </c>
      <c r="H274" s="10" t="n">
        <v>200</v>
      </c>
      <c r="I274" s="7" t="s">
        <v>69</v>
      </c>
      <c r="J274" s="7" t="s">
        <v>5661</v>
      </c>
      <c r="K274" s="7" t="s">
        <v>5695</v>
      </c>
      <c r="L274" s="7" t="s">
        <v>5549</v>
      </c>
      <c r="M274" s="7"/>
      <c r="N274" s="7" t="s">
        <v>5696</v>
      </c>
      <c r="O274" s="7" t="s">
        <v>5697</v>
      </c>
    </row>
    <row r="275" customFormat="false" ht="15" hidden="false" customHeight="false" outlineLevel="0" collapsed="false">
      <c r="A275" s="7" t="s">
        <v>5698</v>
      </c>
      <c r="B275" s="7" t="s">
        <v>27</v>
      </c>
      <c r="C275" s="7" t="s">
        <v>5699</v>
      </c>
      <c r="D275" s="7" t="s">
        <v>5700</v>
      </c>
      <c r="E275" s="7" t="s">
        <v>610</v>
      </c>
      <c r="F275" s="7" t="s">
        <v>5701</v>
      </c>
      <c r="G275" s="7" t="s">
        <v>174</v>
      </c>
      <c r="H275" s="10" t="n">
        <v>400</v>
      </c>
      <c r="I275" s="7" t="s">
        <v>350</v>
      </c>
      <c r="J275" s="7"/>
      <c r="K275" s="7" t="s">
        <v>5702</v>
      </c>
      <c r="L275" s="7" t="s">
        <v>5461</v>
      </c>
      <c r="M275" s="7"/>
      <c r="N275" s="7" t="s">
        <v>5703</v>
      </c>
      <c r="O275" s="7" t="s">
        <v>5704</v>
      </c>
    </row>
    <row r="276" customFormat="false" ht="15" hidden="false" customHeight="false" outlineLevel="0" collapsed="false">
      <c r="A276" s="7" t="s">
        <v>5705</v>
      </c>
      <c r="B276" s="7" t="s">
        <v>27</v>
      </c>
      <c r="C276" s="7" t="s">
        <v>5706</v>
      </c>
      <c r="D276" s="7" t="s">
        <v>5707</v>
      </c>
      <c r="E276" s="7" t="s">
        <v>155</v>
      </c>
      <c r="F276" s="7" t="s">
        <v>5708</v>
      </c>
      <c r="G276" s="7" t="s">
        <v>174</v>
      </c>
      <c r="H276" s="10" t="n">
        <v>500</v>
      </c>
      <c r="I276" s="7" t="s">
        <v>69</v>
      </c>
      <c r="J276" s="7" t="s">
        <v>5689</v>
      </c>
      <c r="K276" s="7"/>
      <c r="L276" s="7" t="s">
        <v>5709</v>
      </c>
      <c r="M276" s="7"/>
      <c r="N276" s="7" t="s">
        <v>5710</v>
      </c>
      <c r="O276" s="7" t="s">
        <v>5711</v>
      </c>
    </row>
    <row r="277" customFormat="false" ht="15" hidden="false" customHeight="false" outlineLevel="0" collapsed="false">
      <c r="A277" s="7" t="s">
        <v>5712</v>
      </c>
      <c r="B277" s="7" t="s">
        <v>27</v>
      </c>
      <c r="C277" s="7" t="s">
        <v>5713</v>
      </c>
      <c r="D277" s="7" t="s">
        <v>5714</v>
      </c>
      <c r="E277" s="7" t="s">
        <v>1789</v>
      </c>
      <c r="F277" s="7" t="s">
        <v>5715</v>
      </c>
      <c r="G277" s="7" t="s">
        <v>174</v>
      </c>
      <c r="H277" s="10" t="n">
        <v>700</v>
      </c>
      <c r="I277" s="7" t="s">
        <v>517</v>
      </c>
      <c r="J277" s="7"/>
      <c r="K277" s="7" t="s">
        <v>5716</v>
      </c>
      <c r="L277" s="7" t="s">
        <v>5461</v>
      </c>
      <c r="M277" s="7"/>
      <c r="N277" s="7" t="s">
        <v>5717</v>
      </c>
      <c r="O277" s="7" t="s">
        <v>5718</v>
      </c>
    </row>
    <row r="278" customFormat="false" ht="15" hidden="false" customHeight="false" outlineLevel="0" collapsed="false">
      <c r="A278" s="7" t="s">
        <v>5719</v>
      </c>
      <c r="B278" s="7" t="s">
        <v>27</v>
      </c>
      <c r="C278" s="7" t="s">
        <v>5720</v>
      </c>
      <c r="D278" s="7" t="s">
        <v>1321</v>
      </c>
      <c r="E278" s="7" t="s">
        <v>78</v>
      </c>
      <c r="F278" s="7" t="s">
        <v>5721</v>
      </c>
      <c r="G278" s="7" t="s">
        <v>174</v>
      </c>
      <c r="H278" s="10" t="n">
        <v>150</v>
      </c>
      <c r="I278" s="7" t="s">
        <v>69</v>
      </c>
      <c r="J278" s="7" t="s">
        <v>5390</v>
      </c>
      <c r="K278" s="7" t="s">
        <v>5722</v>
      </c>
      <c r="L278" s="7" t="s">
        <v>5600</v>
      </c>
      <c r="M278" s="7"/>
      <c r="N278" s="7" t="s">
        <v>5723</v>
      </c>
      <c r="O278" s="7" t="s">
        <v>5444</v>
      </c>
    </row>
    <row r="279" customFormat="false" ht="15" hidden="false" customHeight="false" outlineLevel="0" collapsed="false">
      <c r="A279" s="7" t="s">
        <v>5724</v>
      </c>
      <c r="B279" s="7" t="s">
        <v>27</v>
      </c>
      <c r="C279" s="7" t="s">
        <v>5725</v>
      </c>
      <c r="D279" s="7" t="s">
        <v>182</v>
      </c>
      <c r="E279" s="7" t="s">
        <v>163</v>
      </c>
      <c r="F279" s="7" t="s">
        <v>5726</v>
      </c>
      <c r="G279" s="7" t="s">
        <v>174</v>
      </c>
      <c r="H279" s="10" t="n">
        <v>1200</v>
      </c>
      <c r="I279" s="7" t="s">
        <v>350</v>
      </c>
      <c r="J279" s="7"/>
      <c r="K279" s="7" t="s">
        <v>5727</v>
      </c>
      <c r="L279" s="7" t="s">
        <v>5461</v>
      </c>
      <c r="M279" s="7"/>
      <c r="N279" s="7" t="s">
        <v>5728</v>
      </c>
      <c r="O279" s="7" t="s">
        <v>5729</v>
      </c>
    </row>
    <row r="280" customFormat="false" ht="15" hidden="false" customHeight="false" outlineLevel="0" collapsed="false">
      <c r="A280" s="7" t="s">
        <v>5730</v>
      </c>
      <c r="B280" s="7" t="s">
        <v>27</v>
      </c>
      <c r="C280" s="7" t="s">
        <v>5731</v>
      </c>
      <c r="D280" s="7" t="s">
        <v>5167</v>
      </c>
      <c r="E280" s="7" t="s">
        <v>172</v>
      </c>
      <c r="F280" s="7" t="s">
        <v>5732</v>
      </c>
      <c r="G280" s="7" t="s">
        <v>174</v>
      </c>
      <c r="H280" s="10" t="n">
        <v>500</v>
      </c>
      <c r="I280" s="7" t="s">
        <v>69</v>
      </c>
      <c r="J280" s="7" t="s">
        <v>5733</v>
      </c>
      <c r="K280" s="7"/>
      <c r="L280" s="7" t="s">
        <v>5461</v>
      </c>
      <c r="M280" s="7"/>
      <c r="N280" s="7" t="s">
        <v>5734</v>
      </c>
      <c r="O280" s="7" t="s">
        <v>5735</v>
      </c>
    </row>
    <row r="281" customFormat="false" ht="15" hidden="false" customHeight="false" outlineLevel="0" collapsed="false">
      <c r="A281" s="7" t="s">
        <v>5736</v>
      </c>
      <c r="B281" s="7" t="s">
        <v>27</v>
      </c>
      <c r="C281" s="7" t="s">
        <v>5737</v>
      </c>
      <c r="D281" s="7" t="s">
        <v>4918</v>
      </c>
      <c r="E281" s="7" t="s">
        <v>78</v>
      </c>
      <c r="F281" s="7" t="s">
        <v>5738</v>
      </c>
      <c r="G281" s="7" t="s">
        <v>174</v>
      </c>
      <c r="H281" s="10" t="n">
        <v>300</v>
      </c>
      <c r="I281" s="7" t="s">
        <v>69</v>
      </c>
      <c r="J281" s="7" t="s">
        <v>5390</v>
      </c>
      <c r="K281" s="7"/>
      <c r="L281" s="7" t="s">
        <v>5739</v>
      </c>
      <c r="M281" s="7"/>
      <c r="N281" s="7" t="s">
        <v>5740</v>
      </c>
      <c r="O281" s="7" t="s">
        <v>5741</v>
      </c>
    </row>
    <row r="282" customFormat="false" ht="15" hidden="false" customHeight="false" outlineLevel="0" collapsed="false">
      <c r="A282" s="7" t="s">
        <v>5742</v>
      </c>
      <c r="B282" s="7" t="s">
        <v>27</v>
      </c>
      <c r="C282" s="7" t="s">
        <v>5743</v>
      </c>
      <c r="D282" s="7" t="s">
        <v>87</v>
      </c>
      <c r="E282" s="7" t="s">
        <v>88</v>
      </c>
      <c r="F282" s="7" t="s">
        <v>5744</v>
      </c>
      <c r="G282" s="7" t="s">
        <v>174</v>
      </c>
      <c r="H282" s="10" t="n">
        <v>300</v>
      </c>
      <c r="I282" s="7" t="s">
        <v>350</v>
      </c>
      <c r="J282" s="7"/>
      <c r="K282" s="7" t="s">
        <v>5745</v>
      </c>
      <c r="L282" s="7" t="s">
        <v>1476</v>
      </c>
      <c r="M282" s="7"/>
      <c r="N282" s="7" t="s">
        <v>5746</v>
      </c>
      <c r="O282" s="7" t="s">
        <v>5747</v>
      </c>
    </row>
    <row r="283" customFormat="false" ht="15" hidden="false" customHeight="false" outlineLevel="0" collapsed="false">
      <c r="A283" s="7" t="s">
        <v>5748</v>
      </c>
      <c r="B283" s="7" t="s">
        <v>27</v>
      </c>
      <c r="C283" s="7" t="s">
        <v>5749</v>
      </c>
      <c r="D283" s="7" t="s">
        <v>4797</v>
      </c>
      <c r="E283" s="7" t="s">
        <v>1212</v>
      </c>
      <c r="F283" s="7" t="s">
        <v>5750</v>
      </c>
      <c r="G283" s="7" t="s">
        <v>174</v>
      </c>
      <c r="H283" s="10" t="n">
        <v>300</v>
      </c>
      <c r="I283" s="7" t="s">
        <v>69</v>
      </c>
      <c r="J283" s="7" t="s">
        <v>5751</v>
      </c>
      <c r="K283" s="7"/>
      <c r="L283" s="7" t="s">
        <v>5752</v>
      </c>
      <c r="M283" s="7"/>
      <c r="N283" s="7" t="s">
        <v>5753</v>
      </c>
      <c r="O283" s="7" t="s">
        <v>5754</v>
      </c>
    </row>
    <row r="284" customFormat="false" ht="15" hidden="false" customHeight="false" outlineLevel="0" collapsed="false">
      <c r="A284" s="7" t="s">
        <v>5755</v>
      </c>
      <c r="B284" s="7" t="s">
        <v>27</v>
      </c>
      <c r="C284" s="7" t="s">
        <v>5756</v>
      </c>
      <c r="D284" s="7" t="s">
        <v>249</v>
      </c>
      <c r="E284" s="7" t="s">
        <v>338</v>
      </c>
      <c r="F284" s="7" t="s">
        <v>5757</v>
      </c>
      <c r="G284" s="7" t="s">
        <v>174</v>
      </c>
      <c r="H284" s="10" t="n">
        <v>3500</v>
      </c>
      <c r="I284" s="7" t="s">
        <v>3239</v>
      </c>
      <c r="J284" s="7"/>
      <c r="K284" s="7" t="s">
        <v>5758</v>
      </c>
      <c r="L284" s="7" t="s">
        <v>5461</v>
      </c>
      <c r="M284" s="7"/>
      <c r="N284" s="7" t="s">
        <v>5759</v>
      </c>
      <c r="O284" s="7" t="s">
        <v>5760</v>
      </c>
    </row>
    <row r="285" customFormat="false" ht="15" hidden="false" customHeight="false" outlineLevel="0" collapsed="false">
      <c r="A285" s="7" t="s">
        <v>5761</v>
      </c>
      <c r="B285" s="7" t="s">
        <v>27</v>
      </c>
      <c r="C285" s="7" t="s">
        <v>5762</v>
      </c>
      <c r="D285" s="7" t="s">
        <v>2474</v>
      </c>
      <c r="E285" s="7" t="s">
        <v>1106</v>
      </c>
      <c r="F285" s="7" t="s">
        <v>5763</v>
      </c>
      <c r="G285" s="7" t="s">
        <v>174</v>
      </c>
      <c r="H285" s="10" t="n">
        <v>600</v>
      </c>
      <c r="I285" s="7" t="s">
        <v>69</v>
      </c>
      <c r="J285" s="7" t="s">
        <v>1489</v>
      </c>
      <c r="K285" s="7"/>
      <c r="L285" s="7" t="s">
        <v>5461</v>
      </c>
      <c r="M285" s="7"/>
      <c r="N285" s="7" t="s">
        <v>5764</v>
      </c>
      <c r="O285" s="7" t="s">
        <v>5765</v>
      </c>
    </row>
    <row r="286" customFormat="false" ht="15" hidden="false" customHeight="false" outlineLevel="0" collapsed="false">
      <c r="A286" s="7" t="s">
        <v>5766</v>
      </c>
      <c r="B286" s="7" t="s">
        <v>27</v>
      </c>
      <c r="C286" s="7" t="s">
        <v>5767</v>
      </c>
      <c r="D286" s="7" t="s">
        <v>5768</v>
      </c>
      <c r="E286" s="7" t="s">
        <v>78</v>
      </c>
      <c r="F286" s="7" t="s">
        <v>5769</v>
      </c>
      <c r="G286" s="7" t="s">
        <v>174</v>
      </c>
      <c r="H286" s="10" t="n">
        <v>500</v>
      </c>
      <c r="I286" s="7" t="s">
        <v>69</v>
      </c>
      <c r="J286" s="7" t="s">
        <v>5173</v>
      </c>
      <c r="K286" s="7"/>
      <c r="L286" s="7" t="s">
        <v>5600</v>
      </c>
      <c r="M286" s="7"/>
      <c r="N286" s="7" t="s">
        <v>5770</v>
      </c>
      <c r="O286" s="7" t="s">
        <v>5771</v>
      </c>
    </row>
    <row r="287" customFormat="false" ht="15" hidden="false" customHeight="false" outlineLevel="0" collapsed="false">
      <c r="A287" s="7" t="s">
        <v>5772</v>
      </c>
      <c r="B287" s="7" t="s">
        <v>27</v>
      </c>
      <c r="C287" s="7" t="s">
        <v>5773</v>
      </c>
      <c r="D287" s="7" t="s">
        <v>1245</v>
      </c>
      <c r="E287" s="7" t="s">
        <v>78</v>
      </c>
      <c r="F287" s="7" t="s">
        <v>5774</v>
      </c>
      <c r="G287" s="7" t="s">
        <v>174</v>
      </c>
      <c r="H287" s="10" t="n">
        <v>1500</v>
      </c>
      <c r="I287" s="7" t="s">
        <v>69</v>
      </c>
      <c r="J287" s="7" t="s">
        <v>5775</v>
      </c>
      <c r="K287" s="7"/>
      <c r="L287" s="7" t="s">
        <v>5461</v>
      </c>
      <c r="M287" s="7"/>
      <c r="N287" s="7" t="s">
        <v>5776</v>
      </c>
      <c r="O287" s="7" t="s">
        <v>2769</v>
      </c>
    </row>
    <row r="288" customFormat="false" ht="15" hidden="false" customHeight="false" outlineLevel="0" collapsed="false">
      <c r="A288" s="7" t="s">
        <v>5777</v>
      </c>
      <c r="B288" s="7" t="s">
        <v>27</v>
      </c>
      <c r="C288" s="7" t="s">
        <v>5778</v>
      </c>
      <c r="D288" s="7" t="s">
        <v>5779</v>
      </c>
      <c r="E288" s="7" t="s">
        <v>215</v>
      </c>
      <c r="F288" s="7" t="s">
        <v>5780</v>
      </c>
      <c r="G288" s="7" t="s">
        <v>174</v>
      </c>
      <c r="H288" s="10" t="n">
        <v>120</v>
      </c>
      <c r="I288" s="7" t="s">
        <v>69</v>
      </c>
      <c r="J288" s="7" t="s">
        <v>5781</v>
      </c>
      <c r="K288" s="7" t="s">
        <v>5782</v>
      </c>
      <c r="L288" s="7" t="s">
        <v>5461</v>
      </c>
      <c r="M288" s="7"/>
      <c r="N288" s="7" t="s">
        <v>5783</v>
      </c>
      <c r="O288" s="7" t="s">
        <v>5784</v>
      </c>
    </row>
    <row r="289" customFormat="false" ht="15" hidden="false" customHeight="false" outlineLevel="0" collapsed="false">
      <c r="A289" s="7" t="s">
        <v>5785</v>
      </c>
      <c r="B289" s="7" t="s">
        <v>27</v>
      </c>
      <c r="C289" s="7" t="s">
        <v>5786</v>
      </c>
      <c r="D289" s="7" t="s">
        <v>970</v>
      </c>
      <c r="E289" s="7" t="s">
        <v>250</v>
      </c>
      <c r="F289" s="7" t="s">
        <v>5787</v>
      </c>
      <c r="G289" s="7" t="s">
        <v>174</v>
      </c>
      <c r="H289" s="10" t="n">
        <v>150</v>
      </c>
      <c r="I289" s="7" t="s">
        <v>69</v>
      </c>
      <c r="J289" s="7" t="s">
        <v>5788</v>
      </c>
      <c r="K289" s="7" t="s">
        <v>5789</v>
      </c>
      <c r="L289" s="7" t="s">
        <v>5790</v>
      </c>
      <c r="M289" s="7"/>
      <c r="N289" s="7" t="s">
        <v>5791</v>
      </c>
      <c r="O289" s="7" t="s">
        <v>2769</v>
      </c>
    </row>
    <row r="290" customFormat="false" ht="15" hidden="false" customHeight="false" outlineLevel="0" collapsed="false">
      <c r="A290" s="7" t="s">
        <v>5792</v>
      </c>
      <c r="B290" s="7" t="s">
        <v>27</v>
      </c>
      <c r="C290" s="7" t="s">
        <v>5793</v>
      </c>
      <c r="D290" s="7" t="s">
        <v>704</v>
      </c>
      <c r="E290" s="7" t="s">
        <v>296</v>
      </c>
      <c r="F290" s="7" t="s">
        <v>5794</v>
      </c>
      <c r="G290" s="7" t="s">
        <v>174</v>
      </c>
      <c r="H290" s="10" t="n">
        <v>4000</v>
      </c>
      <c r="I290" s="7" t="s">
        <v>350</v>
      </c>
      <c r="J290" s="7"/>
      <c r="K290" s="7" t="s">
        <v>5795</v>
      </c>
      <c r="L290" s="7" t="s">
        <v>5461</v>
      </c>
      <c r="M290" s="7"/>
      <c r="N290" s="7" t="s">
        <v>5796</v>
      </c>
      <c r="O290" s="7" t="s">
        <v>5797</v>
      </c>
    </row>
    <row r="291" customFormat="false" ht="15" hidden="false" customHeight="false" outlineLevel="0" collapsed="false">
      <c r="A291" s="7" t="s">
        <v>5798</v>
      </c>
      <c r="B291" s="7" t="s">
        <v>27</v>
      </c>
      <c r="C291" s="7" t="s">
        <v>5799</v>
      </c>
      <c r="D291" s="7" t="s">
        <v>5800</v>
      </c>
      <c r="E291" s="7" t="s">
        <v>348</v>
      </c>
      <c r="F291" s="7" t="s">
        <v>5801</v>
      </c>
      <c r="G291" s="7" t="s">
        <v>174</v>
      </c>
      <c r="H291" s="10" t="n">
        <v>250</v>
      </c>
      <c r="I291" s="7" t="s">
        <v>69</v>
      </c>
      <c r="J291" s="7" t="s">
        <v>1397</v>
      </c>
      <c r="K291" s="7" t="s">
        <v>5802</v>
      </c>
      <c r="L291" s="7" t="s">
        <v>5600</v>
      </c>
      <c r="M291" s="7"/>
      <c r="N291" s="7" t="s">
        <v>5803</v>
      </c>
      <c r="O291" s="7" t="s">
        <v>5444</v>
      </c>
    </row>
    <row r="292" customFormat="false" ht="15" hidden="false" customHeight="false" outlineLevel="0" collapsed="false">
      <c r="A292" s="7" t="s">
        <v>5804</v>
      </c>
      <c r="B292" s="7" t="s">
        <v>27</v>
      </c>
      <c r="C292" s="7" t="s">
        <v>5756</v>
      </c>
      <c r="D292" s="7" t="s">
        <v>5805</v>
      </c>
      <c r="E292" s="7" t="s">
        <v>338</v>
      </c>
      <c r="F292" s="7" t="s">
        <v>5806</v>
      </c>
      <c r="G292" s="7" t="s">
        <v>174</v>
      </c>
      <c r="H292" s="10" t="n">
        <v>3000</v>
      </c>
      <c r="I292" s="7" t="s">
        <v>350</v>
      </c>
      <c r="J292" s="7"/>
      <c r="K292" s="7"/>
      <c r="L292" s="7" t="s">
        <v>5461</v>
      </c>
      <c r="M292" s="7"/>
      <c r="N292" s="7" t="s">
        <v>5807</v>
      </c>
      <c r="O292" s="7" t="s">
        <v>5808</v>
      </c>
    </row>
    <row r="293" customFormat="false" ht="15" hidden="false" customHeight="false" outlineLevel="0" collapsed="false">
      <c r="A293" s="7" t="s">
        <v>5809</v>
      </c>
      <c r="B293" s="7" t="s">
        <v>27</v>
      </c>
      <c r="C293" s="7" t="s">
        <v>5810</v>
      </c>
      <c r="D293" s="7" t="s">
        <v>112</v>
      </c>
      <c r="E293" s="7" t="s">
        <v>113</v>
      </c>
      <c r="F293" s="7" t="s">
        <v>5811</v>
      </c>
      <c r="G293" s="7" t="s">
        <v>174</v>
      </c>
      <c r="H293" s="10" t="n">
        <v>2000</v>
      </c>
      <c r="I293" s="7" t="s">
        <v>350</v>
      </c>
      <c r="J293" s="7"/>
      <c r="K293" s="7" t="s">
        <v>5812</v>
      </c>
      <c r="L293" s="7" t="s">
        <v>5461</v>
      </c>
      <c r="M293" s="7"/>
      <c r="N293" s="7" t="s">
        <v>5813</v>
      </c>
      <c r="O293" s="7" t="s">
        <v>5814</v>
      </c>
    </row>
    <row r="294" customFormat="false" ht="15" hidden="false" customHeight="false" outlineLevel="0" collapsed="false">
      <c r="A294" s="7" t="s">
        <v>5815</v>
      </c>
      <c r="B294" s="7" t="s">
        <v>27</v>
      </c>
      <c r="C294" s="7" t="s">
        <v>5681</v>
      </c>
      <c r="D294" s="7" t="s">
        <v>249</v>
      </c>
      <c r="E294" s="7" t="s">
        <v>250</v>
      </c>
      <c r="F294" s="7" t="s">
        <v>5816</v>
      </c>
      <c r="G294" s="7" t="s">
        <v>174</v>
      </c>
      <c r="H294" s="10" t="n">
        <v>1500</v>
      </c>
      <c r="I294" s="7" t="s">
        <v>69</v>
      </c>
      <c r="J294" s="7" t="s">
        <v>1160</v>
      </c>
      <c r="K294" s="7" t="s">
        <v>5817</v>
      </c>
      <c r="L294" s="7" t="s">
        <v>5461</v>
      </c>
      <c r="M294" s="7"/>
      <c r="N294" s="7" t="s">
        <v>5818</v>
      </c>
      <c r="O294" s="7" t="s">
        <v>5819</v>
      </c>
    </row>
    <row r="295" customFormat="false" ht="15" hidden="false" customHeight="false" outlineLevel="0" collapsed="false">
      <c r="A295" s="7" t="s">
        <v>5820</v>
      </c>
      <c r="B295" s="7" t="s">
        <v>27</v>
      </c>
      <c r="C295" s="7" t="s">
        <v>5756</v>
      </c>
      <c r="D295" s="7" t="s">
        <v>5821</v>
      </c>
      <c r="E295" s="7" t="s">
        <v>113</v>
      </c>
      <c r="F295" s="7" t="s">
        <v>5822</v>
      </c>
      <c r="G295" s="7" t="s">
        <v>174</v>
      </c>
      <c r="H295" s="10" t="n">
        <v>3000</v>
      </c>
      <c r="I295" s="7" t="s">
        <v>3239</v>
      </c>
      <c r="J295" s="7"/>
      <c r="K295" s="7" t="s">
        <v>5823</v>
      </c>
      <c r="L295" s="7" t="s">
        <v>5461</v>
      </c>
      <c r="M295" s="7"/>
      <c r="N295" s="7" t="s">
        <v>5824</v>
      </c>
      <c r="O295" s="7" t="s">
        <v>5825</v>
      </c>
    </row>
    <row r="296" customFormat="false" ht="15" hidden="false" customHeight="false" outlineLevel="0" collapsed="false">
      <c r="A296" s="7" t="s">
        <v>5826</v>
      </c>
      <c r="B296" s="7" t="s">
        <v>27</v>
      </c>
      <c r="C296" s="7" t="s">
        <v>5827</v>
      </c>
      <c r="D296" s="7" t="s">
        <v>5828</v>
      </c>
      <c r="E296" s="7" t="s">
        <v>1116</v>
      </c>
      <c r="F296" s="7" t="s">
        <v>5829</v>
      </c>
      <c r="G296" s="7" t="s">
        <v>258</v>
      </c>
      <c r="H296" s="10" t="n">
        <v>200</v>
      </c>
      <c r="I296" s="7" t="s">
        <v>69</v>
      </c>
      <c r="J296" s="7" t="s">
        <v>1614</v>
      </c>
      <c r="K296" s="7"/>
      <c r="L296" s="7" t="s">
        <v>5830</v>
      </c>
      <c r="M296" s="7"/>
      <c r="N296" s="7" t="s">
        <v>5831</v>
      </c>
      <c r="O296" s="7" t="s">
        <v>5444</v>
      </c>
    </row>
    <row r="297" customFormat="false" ht="15" hidden="false" customHeight="false" outlineLevel="0" collapsed="false">
      <c r="A297" s="7" t="s">
        <v>5832</v>
      </c>
      <c r="B297" s="7" t="s">
        <v>28</v>
      </c>
      <c r="C297" s="7" t="s">
        <v>5833</v>
      </c>
      <c r="D297" s="7" t="s">
        <v>5834</v>
      </c>
      <c r="E297" s="7" t="s">
        <v>348</v>
      </c>
      <c r="F297" s="7" t="s">
        <v>5835</v>
      </c>
      <c r="G297" s="7" t="s">
        <v>149</v>
      </c>
      <c r="H297" s="10" t="n">
        <v>1000</v>
      </c>
      <c r="I297" s="7" t="s">
        <v>69</v>
      </c>
      <c r="J297" s="7" t="s">
        <v>5836</v>
      </c>
      <c r="K297" s="7" t="s">
        <v>5837</v>
      </c>
      <c r="L297" s="7" t="s">
        <v>5838</v>
      </c>
      <c r="M297" s="7"/>
      <c r="N297" s="7" t="s">
        <v>5839</v>
      </c>
      <c r="O297" s="7" t="s">
        <v>5840</v>
      </c>
    </row>
    <row r="298" customFormat="false" ht="15" hidden="false" customHeight="false" outlineLevel="0" collapsed="false">
      <c r="A298" s="7" t="s">
        <v>5841</v>
      </c>
      <c r="B298" s="7" t="s">
        <v>28</v>
      </c>
      <c r="C298" s="7" t="s">
        <v>852</v>
      </c>
      <c r="D298" s="7" t="s">
        <v>2126</v>
      </c>
      <c r="E298" s="7" t="s">
        <v>854</v>
      </c>
      <c r="F298" s="7" t="s">
        <v>5842</v>
      </c>
      <c r="G298" s="7" t="s">
        <v>174</v>
      </c>
      <c r="H298" s="10" t="n">
        <v>600</v>
      </c>
      <c r="I298" s="7" t="s">
        <v>3239</v>
      </c>
      <c r="J298" s="7"/>
      <c r="K298" s="7" t="s">
        <v>5843</v>
      </c>
      <c r="L298" s="7" t="s">
        <v>5844</v>
      </c>
      <c r="M298" s="7"/>
      <c r="N298" s="7" t="s">
        <v>5845</v>
      </c>
      <c r="O298" s="7" t="s">
        <v>5846</v>
      </c>
    </row>
    <row r="299" customFormat="false" ht="15" hidden="false" customHeight="false" outlineLevel="0" collapsed="false">
      <c r="A299" s="7" t="s">
        <v>5847</v>
      </c>
      <c r="B299" s="7" t="s">
        <v>28</v>
      </c>
      <c r="C299" s="7" t="s">
        <v>5848</v>
      </c>
      <c r="D299" s="7" t="s">
        <v>635</v>
      </c>
      <c r="E299" s="7" t="s">
        <v>338</v>
      </c>
      <c r="F299" s="7" t="s">
        <v>5849</v>
      </c>
      <c r="G299" s="7" t="s">
        <v>258</v>
      </c>
      <c r="H299" s="10" t="n">
        <v>300</v>
      </c>
      <c r="I299" s="7" t="s">
        <v>350</v>
      </c>
      <c r="J299" s="7"/>
      <c r="K299" s="7" t="s">
        <v>5850</v>
      </c>
      <c r="L299" s="7" t="s">
        <v>847</v>
      </c>
      <c r="M299" s="7"/>
      <c r="N299" s="7" t="s">
        <v>5851</v>
      </c>
      <c r="O299" s="7" t="s">
        <v>5852</v>
      </c>
    </row>
    <row r="300" customFormat="false" ht="15" hidden="false" customHeight="false" outlineLevel="0" collapsed="false">
      <c r="A300" s="7" t="s">
        <v>5853</v>
      </c>
      <c r="B300" s="7" t="s">
        <v>29</v>
      </c>
      <c r="C300" s="7" t="s">
        <v>2945</v>
      </c>
      <c r="D300" s="7" t="s">
        <v>2458</v>
      </c>
      <c r="E300" s="7" t="s">
        <v>338</v>
      </c>
      <c r="F300" s="7" t="s">
        <v>5854</v>
      </c>
      <c r="G300" s="7" t="s">
        <v>68</v>
      </c>
      <c r="H300" s="10" t="n">
        <v>1200</v>
      </c>
      <c r="I300" s="7" t="s">
        <v>350</v>
      </c>
      <c r="J300" s="7"/>
      <c r="K300" s="7" t="s">
        <v>5855</v>
      </c>
      <c r="L300" s="7" t="s">
        <v>2993</v>
      </c>
      <c r="M300" s="7"/>
      <c r="N300" s="7" t="s">
        <v>5856</v>
      </c>
      <c r="O300" s="7" t="s">
        <v>5857</v>
      </c>
    </row>
    <row r="301" customFormat="false" ht="15" hidden="false" customHeight="false" outlineLevel="0" collapsed="false">
      <c r="A301" s="7" t="s">
        <v>5858</v>
      </c>
      <c r="B301" s="7" t="s">
        <v>29</v>
      </c>
      <c r="C301" s="7" t="s">
        <v>2945</v>
      </c>
      <c r="D301" s="7" t="s">
        <v>112</v>
      </c>
      <c r="E301" s="7" t="s">
        <v>113</v>
      </c>
      <c r="F301" s="7" t="s">
        <v>5859</v>
      </c>
      <c r="G301" s="7" t="s">
        <v>68</v>
      </c>
      <c r="H301" s="10" t="n">
        <v>400</v>
      </c>
      <c r="I301" s="7" t="s">
        <v>350</v>
      </c>
      <c r="J301" s="7"/>
      <c r="K301" s="7" t="s">
        <v>5860</v>
      </c>
      <c r="L301" s="7" t="s">
        <v>3095</v>
      </c>
      <c r="M301" s="7"/>
      <c r="N301" s="7" t="s">
        <v>5861</v>
      </c>
      <c r="O301" s="7" t="s">
        <v>2958</v>
      </c>
    </row>
    <row r="302" customFormat="false" ht="15" hidden="false" customHeight="false" outlineLevel="0" collapsed="false">
      <c r="A302" s="7" t="s">
        <v>5862</v>
      </c>
      <c r="B302" s="7" t="s">
        <v>29</v>
      </c>
      <c r="C302" s="7" t="s">
        <v>2937</v>
      </c>
      <c r="D302" s="7" t="s">
        <v>2458</v>
      </c>
      <c r="E302" s="7" t="s">
        <v>338</v>
      </c>
      <c r="F302" s="7" t="s">
        <v>5863</v>
      </c>
      <c r="G302" s="7" t="s">
        <v>68</v>
      </c>
      <c r="H302" s="10" t="n">
        <v>1500</v>
      </c>
      <c r="I302" s="7" t="s">
        <v>350</v>
      </c>
      <c r="J302" s="7"/>
      <c r="K302" s="7" t="s">
        <v>5864</v>
      </c>
      <c r="L302" s="7" t="s">
        <v>2993</v>
      </c>
      <c r="M302" s="7"/>
      <c r="N302" s="7" t="s">
        <v>2963</v>
      </c>
      <c r="O302" s="7" t="s">
        <v>5865</v>
      </c>
    </row>
    <row r="303" customFormat="false" ht="15" hidden="false" customHeight="false" outlineLevel="0" collapsed="false">
      <c r="A303" s="7" t="s">
        <v>5866</v>
      </c>
      <c r="B303" s="7" t="s">
        <v>29</v>
      </c>
      <c r="C303" s="7" t="s">
        <v>2945</v>
      </c>
      <c r="D303" s="7" t="s">
        <v>1579</v>
      </c>
      <c r="E303" s="7" t="s">
        <v>854</v>
      </c>
      <c r="F303" s="7" t="s">
        <v>5867</v>
      </c>
      <c r="G303" s="7" t="s">
        <v>68</v>
      </c>
      <c r="H303" s="10" t="n">
        <v>900</v>
      </c>
      <c r="I303" s="7" t="s">
        <v>350</v>
      </c>
      <c r="J303" s="7"/>
      <c r="K303" s="7" t="s">
        <v>5868</v>
      </c>
      <c r="L303" s="7" t="s">
        <v>2948</v>
      </c>
      <c r="M303" s="7"/>
      <c r="N303" s="7" t="s">
        <v>5869</v>
      </c>
      <c r="O303" s="7" t="s">
        <v>5870</v>
      </c>
    </row>
    <row r="304" customFormat="false" ht="15" hidden="false" customHeight="false" outlineLevel="0" collapsed="false">
      <c r="A304" s="7" t="s">
        <v>5871</v>
      </c>
      <c r="B304" s="7" t="s">
        <v>29</v>
      </c>
      <c r="C304" s="7" t="s">
        <v>2937</v>
      </c>
      <c r="D304" s="7" t="s">
        <v>2458</v>
      </c>
      <c r="E304" s="7" t="s">
        <v>338</v>
      </c>
      <c r="F304" s="7" t="s">
        <v>5872</v>
      </c>
      <c r="G304" s="7" t="s">
        <v>68</v>
      </c>
      <c r="H304" s="10" t="n">
        <v>1600</v>
      </c>
      <c r="I304" s="7" t="s">
        <v>350</v>
      </c>
      <c r="J304" s="7"/>
      <c r="K304" s="7" t="s">
        <v>5873</v>
      </c>
      <c r="L304" s="7" t="s">
        <v>2940</v>
      </c>
      <c r="M304" s="7"/>
      <c r="N304" s="7" t="s">
        <v>5874</v>
      </c>
      <c r="O304" s="7" t="s">
        <v>5875</v>
      </c>
    </row>
    <row r="305" customFormat="false" ht="15" hidden="false" customHeight="false" outlineLevel="0" collapsed="false">
      <c r="A305" s="7" t="s">
        <v>5876</v>
      </c>
      <c r="B305" s="7" t="s">
        <v>29</v>
      </c>
      <c r="C305" s="7" t="s">
        <v>2945</v>
      </c>
      <c r="D305" s="7" t="s">
        <v>249</v>
      </c>
      <c r="E305" s="7" t="s">
        <v>250</v>
      </c>
      <c r="F305" s="7" t="s">
        <v>5877</v>
      </c>
      <c r="G305" s="7" t="s">
        <v>68</v>
      </c>
      <c r="H305" s="10" t="n">
        <v>800</v>
      </c>
      <c r="I305" s="7" t="s">
        <v>350</v>
      </c>
      <c r="J305" s="7"/>
      <c r="K305" s="7" t="s">
        <v>5878</v>
      </c>
      <c r="L305" s="7" t="s">
        <v>2948</v>
      </c>
      <c r="M305" s="7"/>
      <c r="N305" s="7" t="s">
        <v>5879</v>
      </c>
      <c r="O305" s="7" t="s">
        <v>2958</v>
      </c>
    </row>
    <row r="306" customFormat="false" ht="15" hidden="false" customHeight="false" outlineLevel="0" collapsed="false">
      <c r="A306" s="7" t="s">
        <v>5880</v>
      </c>
      <c r="B306" s="7" t="s">
        <v>29</v>
      </c>
      <c r="C306" s="7" t="s">
        <v>2937</v>
      </c>
      <c r="D306" s="7" t="s">
        <v>154</v>
      </c>
      <c r="E306" s="7" t="s">
        <v>155</v>
      </c>
      <c r="F306" s="7" t="s">
        <v>5881</v>
      </c>
      <c r="G306" s="7" t="s">
        <v>68</v>
      </c>
      <c r="H306" s="10" t="n">
        <v>1300</v>
      </c>
      <c r="I306" s="7" t="s">
        <v>350</v>
      </c>
      <c r="J306" s="7"/>
      <c r="K306" s="7" t="s">
        <v>5882</v>
      </c>
      <c r="L306" s="7" t="s">
        <v>2940</v>
      </c>
      <c r="M306" s="7"/>
      <c r="N306" s="7" t="s">
        <v>5874</v>
      </c>
      <c r="O306" s="7" t="s">
        <v>5883</v>
      </c>
    </row>
    <row r="307" customFormat="false" ht="15" hidden="false" customHeight="false" outlineLevel="0" collapsed="false">
      <c r="A307" s="7" t="s">
        <v>5884</v>
      </c>
      <c r="B307" s="7" t="s">
        <v>29</v>
      </c>
      <c r="C307" s="7" t="s">
        <v>2937</v>
      </c>
      <c r="D307" s="7" t="s">
        <v>65</v>
      </c>
      <c r="E307" s="7" t="s">
        <v>66</v>
      </c>
      <c r="F307" s="7" t="s">
        <v>5885</v>
      </c>
      <c r="G307" s="7" t="s">
        <v>68</v>
      </c>
      <c r="H307" s="10" t="n">
        <v>1200</v>
      </c>
      <c r="I307" s="7" t="s">
        <v>350</v>
      </c>
      <c r="J307" s="7"/>
      <c r="K307" s="7" t="s">
        <v>5886</v>
      </c>
      <c r="L307" s="7" t="s">
        <v>2993</v>
      </c>
      <c r="M307" s="7"/>
      <c r="N307" s="7" t="s">
        <v>2963</v>
      </c>
      <c r="O307" s="7" t="s">
        <v>5887</v>
      </c>
    </row>
    <row r="308" customFormat="false" ht="15" hidden="false" customHeight="false" outlineLevel="0" collapsed="false">
      <c r="A308" s="7" t="s">
        <v>5888</v>
      </c>
      <c r="B308" s="7" t="s">
        <v>29</v>
      </c>
      <c r="C308" s="7" t="s">
        <v>2945</v>
      </c>
      <c r="D308" s="7" t="s">
        <v>1599</v>
      </c>
      <c r="E308" s="7" t="s">
        <v>78</v>
      </c>
      <c r="F308" s="7" t="s">
        <v>5889</v>
      </c>
      <c r="G308" s="7" t="s">
        <v>68</v>
      </c>
      <c r="H308" s="10" t="n">
        <v>700</v>
      </c>
      <c r="I308" s="7" t="s">
        <v>350</v>
      </c>
      <c r="J308" s="7"/>
      <c r="K308" s="7" t="s">
        <v>5890</v>
      </c>
      <c r="L308" s="7" t="s">
        <v>2993</v>
      </c>
      <c r="M308" s="7"/>
      <c r="N308" s="7" t="s">
        <v>5891</v>
      </c>
      <c r="O308" s="7" t="s">
        <v>2958</v>
      </c>
    </row>
    <row r="309" customFormat="false" ht="15" hidden="false" customHeight="false" outlineLevel="0" collapsed="false">
      <c r="A309" s="7" t="s">
        <v>5892</v>
      </c>
      <c r="B309" s="7" t="s">
        <v>29</v>
      </c>
      <c r="C309" s="7" t="s">
        <v>2945</v>
      </c>
      <c r="D309" s="7" t="s">
        <v>970</v>
      </c>
      <c r="E309" s="7" t="s">
        <v>250</v>
      </c>
      <c r="F309" s="7" t="s">
        <v>5893</v>
      </c>
      <c r="G309" s="7" t="s">
        <v>149</v>
      </c>
      <c r="H309" s="10" t="n">
        <v>600</v>
      </c>
      <c r="I309" s="7" t="s">
        <v>350</v>
      </c>
      <c r="J309" s="7"/>
      <c r="K309" s="7" t="s">
        <v>5894</v>
      </c>
      <c r="L309" s="7" t="s">
        <v>2948</v>
      </c>
      <c r="M309" s="7"/>
      <c r="N309" s="7" t="s">
        <v>5895</v>
      </c>
      <c r="O309" s="7" t="s">
        <v>5896</v>
      </c>
    </row>
    <row r="310" customFormat="false" ht="15" hidden="false" customHeight="false" outlineLevel="0" collapsed="false">
      <c r="A310" s="7" t="s">
        <v>5897</v>
      </c>
      <c r="B310" s="7" t="s">
        <v>29</v>
      </c>
      <c r="C310" s="7" t="s">
        <v>2945</v>
      </c>
      <c r="D310" s="7" t="s">
        <v>2440</v>
      </c>
      <c r="E310" s="7" t="s">
        <v>97</v>
      </c>
      <c r="F310" s="7" t="s">
        <v>5898</v>
      </c>
      <c r="G310" s="7" t="s">
        <v>149</v>
      </c>
      <c r="H310" s="10" t="n">
        <v>900</v>
      </c>
      <c r="I310" s="7" t="s">
        <v>350</v>
      </c>
      <c r="J310" s="7"/>
      <c r="K310" s="7" t="s">
        <v>5899</v>
      </c>
      <c r="L310" s="7" t="s">
        <v>2948</v>
      </c>
      <c r="M310" s="7"/>
      <c r="N310" s="7" t="s">
        <v>5900</v>
      </c>
      <c r="O310" s="7" t="s">
        <v>3090</v>
      </c>
    </row>
    <row r="311" customFormat="false" ht="15" hidden="false" customHeight="false" outlineLevel="0" collapsed="false">
      <c r="A311" s="7" t="s">
        <v>5901</v>
      </c>
      <c r="B311" s="7" t="s">
        <v>29</v>
      </c>
      <c r="C311" s="7" t="s">
        <v>2945</v>
      </c>
      <c r="D311" s="7" t="s">
        <v>986</v>
      </c>
      <c r="E311" s="7" t="s">
        <v>215</v>
      </c>
      <c r="F311" s="7" t="s">
        <v>5902</v>
      </c>
      <c r="G311" s="7" t="s">
        <v>149</v>
      </c>
      <c r="H311" s="10" t="n">
        <v>600</v>
      </c>
      <c r="I311" s="7" t="s">
        <v>350</v>
      </c>
      <c r="J311" s="7"/>
      <c r="K311" s="7" t="s">
        <v>5903</v>
      </c>
      <c r="L311" s="7" t="s">
        <v>2948</v>
      </c>
      <c r="M311" s="7"/>
      <c r="N311" s="7" t="s">
        <v>5904</v>
      </c>
      <c r="O311" s="7" t="s">
        <v>5905</v>
      </c>
    </row>
    <row r="312" customFormat="false" ht="15" hidden="false" customHeight="false" outlineLevel="0" collapsed="false">
      <c r="A312" s="7" t="s">
        <v>5906</v>
      </c>
      <c r="B312" s="7" t="s">
        <v>29</v>
      </c>
      <c r="C312" s="7" t="s">
        <v>2945</v>
      </c>
      <c r="D312" s="7" t="s">
        <v>1599</v>
      </c>
      <c r="E312" s="7" t="s">
        <v>78</v>
      </c>
      <c r="F312" s="7" t="s">
        <v>5907</v>
      </c>
      <c r="G312" s="7" t="s">
        <v>149</v>
      </c>
      <c r="H312" s="10" t="n">
        <v>600</v>
      </c>
      <c r="I312" s="7" t="s">
        <v>350</v>
      </c>
      <c r="J312" s="7"/>
      <c r="K312" s="7" t="s">
        <v>5908</v>
      </c>
      <c r="L312" s="7" t="s">
        <v>2948</v>
      </c>
      <c r="M312" s="7"/>
      <c r="N312" s="7" t="s">
        <v>5909</v>
      </c>
      <c r="O312" s="7" t="s">
        <v>5910</v>
      </c>
    </row>
    <row r="313" customFormat="false" ht="15" hidden="false" customHeight="false" outlineLevel="0" collapsed="false">
      <c r="A313" s="7" t="s">
        <v>5911</v>
      </c>
      <c r="B313" s="7" t="s">
        <v>29</v>
      </c>
      <c r="C313" s="7" t="s">
        <v>2945</v>
      </c>
      <c r="D313" s="7" t="s">
        <v>337</v>
      </c>
      <c r="E313" s="7" t="s">
        <v>338</v>
      </c>
      <c r="F313" s="7" t="s">
        <v>5912</v>
      </c>
      <c r="G313" s="7" t="s">
        <v>149</v>
      </c>
      <c r="H313" s="10" t="n">
        <v>700</v>
      </c>
      <c r="I313" s="7" t="s">
        <v>350</v>
      </c>
      <c r="J313" s="7"/>
      <c r="K313" s="7" t="s">
        <v>5913</v>
      </c>
      <c r="L313" s="7" t="s">
        <v>2948</v>
      </c>
      <c r="M313" s="7"/>
      <c r="N313" s="7" t="s">
        <v>3204</v>
      </c>
      <c r="O313" s="7" t="s">
        <v>5914</v>
      </c>
    </row>
    <row r="314" customFormat="false" ht="15" hidden="false" customHeight="false" outlineLevel="0" collapsed="false">
      <c r="A314" s="7" t="s">
        <v>5915</v>
      </c>
      <c r="B314" s="7" t="s">
        <v>29</v>
      </c>
      <c r="C314" s="7" t="s">
        <v>2945</v>
      </c>
      <c r="D314" s="7" t="s">
        <v>146</v>
      </c>
      <c r="E314" s="7" t="s">
        <v>147</v>
      </c>
      <c r="F314" s="7" t="s">
        <v>5916</v>
      </c>
      <c r="G314" s="7" t="s">
        <v>149</v>
      </c>
      <c r="H314" s="10" t="n">
        <v>600</v>
      </c>
      <c r="I314" s="7" t="s">
        <v>350</v>
      </c>
      <c r="J314" s="7"/>
      <c r="K314" s="7" t="s">
        <v>5917</v>
      </c>
      <c r="L314" s="7" t="s">
        <v>2948</v>
      </c>
      <c r="M314" s="7"/>
      <c r="N314" s="7" t="s">
        <v>5918</v>
      </c>
      <c r="O314" s="7" t="s">
        <v>2943</v>
      </c>
    </row>
    <row r="315" customFormat="false" ht="15" hidden="false" customHeight="false" outlineLevel="0" collapsed="false">
      <c r="A315" s="7" t="s">
        <v>5919</v>
      </c>
      <c r="B315" s="7" t="s">
        <v>29</v>
      </c>
      <c r="C315" s="7" t="s">
        <v>2945</v>
      </c>
      <c r="D315" s="7" t="s">
        <v>347</v>
      </c>
      <c r="E315" s="7" t="s">
        <v>348</v>
      </c>
      <c r="F315" s="7" t="s">
        <v>5920</v>
      </c>
      <c r="G315" s="7" t="s">
        <v>149</v>
      </c>
      <c r="H315" s="10" t="n">
        <v>300</v>
      </c>
      <c r="I315" s="7" t="s">
        <v>350</v>
      </c>
      <c r="J315" s="7"/>
      <c r="K315" s="7" t="s">
        <v>5921</v>
      </c>
      <c r="L315" s="7" t="s">
        <v>3095</v>
      </c>
      <c r="M315" s="7"/>
      <c r="N315" s="7" t="s">
        <v>5922</v>
      </c>
      <c r="O315" s="7" t="s">
        <v>2958</v>
      </c>
    </row>
    <row r="316" customFormat="false" ht="15" hidden="false" customHeight="false" outlineLevel="0" collapsed="false">
      <c r="A316" s="7" t="s">
        <v>5923</v>
      </c>
      <c r="B316" s="7" t="s">
        <v>29</v>
      </c>
      <c r="C316" s="7" t="s">
        <v>2945</v>
      </c>
      <c r="D316" s="7" t="s">
        <v>3112</v>
      </c>
      <c r="E316" s="7" t="s">
        <v>163</v>
      </c>
      <c r="F316" s="7" t="s">
        <v>5924</v>
      </c>
      <c r="G316" s="7" t="s">
        <v>149</v>
      </c>
      <c r="H316" s="10" t="n">
        <v>1000</v>
      </c>
      <c r="I316" s="7" t="s">
        <v>350</v>
      </c>
      <c r="J316" s="7"/>
      <c r="K316" s="7" t="s">
        <v>5925</v>
      </c>
      <c r="L316" s="7" t="s">
        <v>2993</v>
      </c>
      <c r="M316" s="7"/>
      <c r="N316" s="7" t="s">
        <v>5926</v>
      </c>
      <c r="O316" s="7" t="s">
        <v>3117</v>
      </c>
    </row>
    <row r="317" customFormat="false" ht="15" hidden="false" customHeight="false" outlineLevel="0" collapsed="false">
      <c r="A317" s="7" t="s">
        <v>5927</v>
      </c>
      <c r="B317" s="7" t="s">
        <v>29</v>
      </c>
      <c r="C317" s="7" t="s">
        <v>2945</v>
      </c>
      <c r="D317" s="7" t="s">
        <v>3112</v>
      </c>
      <c r="E317" s="7" t="s">
        <v>163</v>
      </c>
      <c r="F317" s="7" t="s">
        <v>5928</v>
      </c>
      <c r="G317" s="7" t="s">
        <v>149</v>
      </c>
      <c r="H317" s="10" t="n">
        <v>800</v>
      </c>
      <c r="I317" s="7" t="s">
        <v>350</v>
      </c>
      <c r="J317" s="7"/>
      <c r="K317" s="7" t="s">
        <v>5929</v>
      </c>
      <c r="L317" s="7" t="s">
        <v>2948</v>
      </c>
      <c r="M317" s="7"/>
      <c r="N317" s="7" t="s">
        <v>5930</v>
      </c>
      <c r="O317" s="7" t="s">
        <v>5931</v>
      </c>
    </row>
    <row r="318" customFormat="false" ht="15" hidden="false" customHeight="false" outlineLevel="0" collapsed="false">
      <c r="A318" s="7" t="s">
        <v>5932</v>
      </c>
      <c r="B318" s="7" t="s">
        <v>29</v>
      </c>
      <c r="C318" s="7" t="s">
        <v>2945</v>
      </c>
      <c r="D318" s="7" t="s">
        <v>3073</v>
      </c>
      <c r="E318" s="7" t="s">
        <v>172</v>
      </c>
      <c r="F318" s="7" t="s">
        <v>5933</v>
      </c>
      <c r="G318" s="7" t="s">
        <v>149</v>
      </c>
      <c r="H318" s="10" t="n">
        <v>1000</v>
      </c>
      <c r="I318" s="7" t="s">
        <v>350</v>
      </c>
      <c r="J318" s="7"/>
      <c r="K318" s="7" t="s">
        <v>5934</v>
      </c>
      <c r="L318" s="7" t="s">
        <v>2948</v>
      </c>
      <c r="M318" s="7"/>
      <c r="N318" s="7" t="s">
        <v>5935</v>
      </c>
      <c r="O318" s="7" t="s">
        <v>5936</v>
      </c>
    </row>
    <row r="319" customFormat="false" ht="15" hidden="false" customHeight="false" outlineLevel="0" collapsed="false">
      <c r="A319" s="7" t="s">
        <v>5937</v>
      </c>
      <c r="B319" s="7" t="s">
        <v>29</v>
      </c>
      <c r="C319" s="7" t="s">
        <v>2945</v>
      </c>
      <c r="D319" s="7" t="s">
        <v>3112</v>
      </c>
      <c r="E319" s="7" t="s">
        <v>163</v>
      </c>
      <c r="F319" s="7" t="s">
        <v>5938</v>
      </c>
      <c r="G319" s="7" t="s">
        <v>149</v>
      </c>
      <c r="H319" s="10" t="n">
        <v>700</v>
      </c>
      <c r="I319" s="7" t="s">
        <v>350</v>
      </c>
      <c r="J319" s="7"/>
      <c r="K319" s="7" t="s">
        <v>5939</v>
      </c>
      <c r="L319" s="7" t="s">
        <v>2948</v>
      </c>
      <c r="M319" s="7"/>
      <c r="N319" s="7" t="s">
        <v>3204</v>
      </c>
      <c r="O319" s="7" t="s">
        <v>5940</v>
      </c>
    </row>
    <row r="320" customFormat="false" ht="15" hidden="false" customHeight="false" outlineLevel="0" collapsed="false">
      <c r="A320" s="7" t="s">
        <v>5941</v>
      </c>
      <c r="B320" s="7" t="s">
        <v>29</v>
      </c>
      <c r="C320" s="7" t="s">
        <v>2985</v>
      </c>
      <c r="D320" s="7" t="s">
        <v>358</v>
      </c>
      <c r="E320" s="7" t="s">
        <v>359</v>
      </c>
      <c r="F320" s="7" t="s">
        <v>5942</v>
      </c>
      <c r="G320" s="7" t="s">
        <v>149</v>
      </c>
      <c r="H320" s="10" t="n">
        <v>800</v>
      </c>
      <c r="I320" s="7" t="s">
        <v>350</v>
      </c>
      <c r="J320" s="7"/>
      <c r="K320" s="7" t="s">
        <v>5943</v>
      </c>
      <c r="L320" s="7" t="s">
        <v>2948</v>
      </c>
      <c r="M320" s="7"/>
      <c r="N320" s="7" t="s">
        <v>5944</v>
      </c>
      <c r="O320" s="7" t="s">
        <v>5945</v>
      </c>
    </row>
    <row r="321" customFormat="false" ht="15" hidden="false" customHeight="false" outlineLevel="0" collapsed="false">
      <c r="A321" s="7" t="s">
        <v>5946</v>
      </c>
      <c r="B321" s="7" t="s">
        <v>29</v>
      </c>
      <c r="C321" s="7" t="s">
        <v>2945</v>
      </c>
      <c r="D321" s="7" t="s">
        <v>347</v>
      </c>
      <c r="E321" s="7" t="s">
        <v>348</v>
      </c>
      <c r="F321" s="7" t="s">
        <v>5947</v>
      </c>
      <c r="G321" s="7" t="s">
        <v>149</v>
      </c>
      <c r="H321" s="10" t="n">
        <v>500</v>
      </c>
      <c r="I321" s="7" t="s">
        <v>350</v>
      </c>
      <c r="J321" s="7"/>
      <c r="K321" s="7" t="s">
        <v>5948</v>
      </c>
      <c r="L321" s="7" t="s">
        <v>2948</v>
      </c>
      <c r="M321" s="7"/>
      <c r="N321" s="7" t="s">
        <v>5949</v>
      </c>
      <c r="O321" s="7" t="s">
        <v>5950</v>
      </c>
    </row>
    <row r="322" customFormat="false" ht="15" hidden="false" customHeight="false" outlineLevel="0" collapsed="false">
      <c r="A322" s="7" t="s">
        <v>5951</v>
      </c>
      <c r="B322" s="7" t="s">
        <v>29</v>
      </c>
      <c r="C322" s="7" t="s">
        <v>2945</v>
      </c>
      <c r="D322" s="7" t="s">
        <v>1579</v>
      </c>
      <c r="E322" s="7" t="s">
        <v>854</v>
      </c>
      <c r="F322" s="7" t="s">
        <v>5952</v>
      </c>
      <c r="G322" s="7" t="s">
        <v>149</v>
      </c>
      <c r="H322" s="10" t="n">
        <v>600</v>
      </c>
      <c r="I322" s="7" t="s">
        <v>350</v>
      </c>
      <c r="J322" s="7"/>
      <c r="K322" s="7" t="s">
        <v>5953</v>
      </c>
      <c r="L322" s="7" t="s">
        <v>2948</v>
      </c>
      <c r="M322" s="7"/>
      <c r="N322" s="7" t="s">
        <v>5954</v>
      </c>
      <c r="O322" s="7" t="s">
        <v>5955</v>
      </c>
    </row>
    <row r="323" customFormat="false" ht="15" hidden="false" customHeight="false" outlineLevel="0" collapsed="false">
      <c r="A323" s="7" t="s">
        <v>5956</v>
      </c>
      <c r="B323" s="7" t="s">
        <v>29</v>
      </c>
      <c r="C323" s="7" t="s">
        <v>2945</v>
      </c>
      <c r="D323" s="7" t="s">
        <v>3073</v>
      </c>
      <c r="E323" s="7" t="s">
        <v>172</v>
      </c>
      <c r="F323" s="7" t="s">
        <v>5957</v>
      </c>
      <c r="G323" s="7" t="s">
        <v>149</v>
      </c>
      <c r="H323" s="10" t="n">
        <v>1000</v>
      </c>
      <c r="I323" s="7" t="s">
        <v>350</v>
      </c>
      <c r="J323" s="7"/>
      <c r="K323" s="7" t="s">
        <v>5958</v>
      </c>
      <c r="L323" s="7" t="s">
        <v>2993</v>
      </c>
      <c r="M323" s="7"/>
      <c r="N323" s="7" t="s">
        <v>5959</v>
      </c>
      <c r="O323" s="7" t="s">
        <v>5960</v>
      </c>
    </row>
    <row r="324" customFormat="false" ht="15" hidden="false" customHeight="false" outlineLevel="0" collapsed="false">
      <c r="A324" s="7" t="s">
        <v>5961</v>
      </c>
      <c r="B324" s="7" t="s">
        <v>29</v>
      </c>
      <c r="C324" s="7" t="s">
        <v>2945</v>
      </c>
      <c r="D324" s="7" t="s">
        <v>986</v>
      </c>
      <c r="E324" s="7" t="s">
        <v>215</v>
      </c>
      <c r="F324" s="7" t="s">
        <v>5962</v>
      </c>
      <c r="G324" s="7" t="s">
        <v>149</v>
      </c>
      <c r="H324" s="10" t="n">
        <v>800</v>
      </c>
      <c r="I324" s="7" t="s">
        <v>350</v>
      </c>
      <c r="J324" s="7"/>
      <c r="K324" s="7" t="s">
        <v>5963</v>
      </c>
      <c r="L324" s="7" t="s">
        <v>2993</v>
      </c>
      <c r="M324" s="7"/>
      <c r="N324" s="7" t="s">
        <v>5964</v>
      </c>
      <c r="O324" s="7" t="s">
        <v>5965</v>
      </c>
    </row>
    <row r="325" customFormat="false" ht="15" hidden="false" customHeight="false" outlineLevel="0" collapsed="false">
      <c r="A325" s="7" t="s">
        <v>5966</v>
      </c>
      <c r="B325" s="7" t="s">
        <v>29</v>
      </c>
      <c r="C325" s="7" t="s">
        <v>2945</v>
      </c>
      <c r="D325" s="7" t="s">
        <v>1029</v>
      </c>
      <c r="E325" s="7" t="s">
        <v>1030</v>
      </c>
      <c r="F325" s="7" t="s">
        <v>5967</v>
      </c>
      <c r="G325" s="7" t="s">
        <v>149</v>
      </c>
      <c r="H325" s="10" t="n">
        <v>700</v>
      </c>
      <c r="I325" s="7" t="s">
        <v>350</v>
      </c>
      <c r="J325" s="7"/>
      <c r="K325" s="7" t="s">
        <v>5968</v>
      </c>
      <c r="L325" s="7" t="s">
        <v>2948</v>
      </c>
      <c r="M325" s="7"/>
      <c r="N325" s="7" t="s">
        <v>5969</v>
      </c>
      <c r="O325" s="7" t="s">
        <v>2970</v>
      </c>
    </row>
    <row r="326" customFormat="false" ht="15" hidden="false" customHeight="false" outlineLevel="0" collapsed="false">
      <c r="A326" s="7" t="s">
        <v>5970</v>
      </c>
      <c r="B326" s="7" t="s">
        <v>29</v>
      </c>
      <c r="C326" s="7" t="s">
        <v>5971</v>
      </c>
      <c r="D326" s="7" t="s">
        <v>1599</v>
      </c>
      <c r="E326" s="7" t="s">
        <v>78</v>
      </c>
      <c r="F326" s="7" t="s">
        <v>5972</v>
      </c>
      <c r="G326" s="7" t="s">
        <v>149</v>
      </c>
      <c r="H326" s="10" t="n">
        <v>200</v>
      </c>
      <c r="I326" s="7" t="s">
        <v>350</v>
      </c>
      <c r="J326" s="7"/>
      <c r="K326" s="7" t="s">
        <v>5973</v>
      </c>
      <c r="L326" s="7" t="s">
        <v>3095</v>
      </c>
      <c r="M326" s="7"/>
      <c r="N326" s="7" t="s">
        <v>5974</v>
      </c>
      <c r="O326" s="7" t="s">
        <v>3090</v>
      </c>
    </row>
    <row r="327" customFormat="false" ht="15" hidden="false" customHeight="false" outlineLevel="0" collapsed="false">
      <c r="A327" s="7" t="s">
        <v>5975</v>
      </c>
      <c r="B327" s="7" t="s">
        <v>29</v>
      </c>
      <c r="C327" s="7" t="s">
        <v>2945</v>
      </c>
      <c r="D327" s="7" t="s">
        <v>1211</v>
      </c>
      <c r="E327" s="7" t="s">
        <v>1212</v>
      </c>
      <c r="F327" s="7" t="s">
        <v>5976</v>
      </c>
      <c r="G327" s="7" t="s">
        <v>149</v>
      </c>
      <c r="H327" s="10" t="n">
        <v>600</v>
      </c>
      <c r="I327" s="7" t="s">
        <v>350</v>
      </c>
      <c r="J327" s="7"/>
      <c r="K327" s="7" t="s">
        <v>5977</v>
      </c>
      <c r="L327" s="7" t="s">
        <v>2948</v>
      </c>
      <c r="M327" s="7"/>
      <c r="N327" s="7" t="s">
        <v>5978</v>
      </c>
      <c r="O327" s="7" t="s">
        <v>5979</v>
      </c>
    </row>
    <row r="328" customFormat="false" ht="15" hidden="false" customHeight="false" outlineLevel="0" collapsed="false">
      <c r="A328" s="7" t="s">
        <v>5980</v>
      </c>
      <c r="B328" s="7" t="s">
        <v>29</v>
      </c>
      <c r="C328" s="7" t="s">
        <v>5981</v>
      </c>
      <c r="D328" s="7" t="s">
        <v>420</v>
      </c>
      <c r="E328" s="7" t="s">
        <v>78</v>
      </c>
      <c r="F328" s="7" t="s">
        <v>5982</v>
      </c>
      <c r="G328" s="7" t="s">
        <v>149</v>
      </c>
      <c r="H328" s="10" t="n">
        <v>500</v>
      </c>
      <c r="I328" s="7" t="s">
        <v>350</v>
      </c>
      <c r="J328" s="7"/>
      <c r="K328" s="7" t="s">
        <v>5983</v>
      </c>
      <c r="L328" s="7" t="s">
        <v>2948</v>
      </c>
      <c r="M328" s="7"/>
      <c r="N328" s="7" t="s">
        <v>5984</v>
      </c>
      <c r="O328" s="7" t="s">
        <v>5985</v>
      </c>
    </row>
    <row r="329" customFormat="false" ht="15" hidden="false" customHeight="false" outlineLevel="0" collapsed="false">
      <c r="A329" s="7" t="s">
        <v>5986</v>
      </c>
      <c r="B329" s="7" t="s">
        <v>29</v>
      </c>
      <c r="C329" s="7" t="s">
        <v>5971</v>
      </c>
      <c r="D329" s="7" t="s">
        <v>112</v>
      </c>
      <c r="E329" s="7" t="s">
        <v>113</v>
      </c>
      <c r="F329" s="7" t="s">
        <v>5987</v>
      </c>
      <c r="G329" s="7" t="s">
        <v>149</v>
      </c>
      <c r="H329" s="10" t="n">
        <v>250</v>
      </c>
      <c r="I329" s="7" t="s">
        <v>350</v>
      </c>
      <c r="J329" s="7"/>
      <c r="K329" s="7" t="s">
        <v>5988</v>
      </c>
      <c r="L329" s="7" t="s">
        <v>3095</v>
      </c>
      <c r="M329" s="7"/>
      <c r="N329" s="7" t="s">
        <v>5989</v>
      </c>
      <c r="O329" s="7" t="s">
        <v>2958</v>
      </c>
    </row>
    <row r="330" customFormat="false" ht="15" hidden="false" customHeight="false" outlineLevel="0" collapsed="false">
      <c r="A330" s="7" t="s">
        <v>5990</v>
      </c>
      <c r="B330" s="7" t="s">
        <v>29</v>
      </c>
      <c r="C330" s="7" t="s">
        <v>2945</v>
      </c>
      <c r="D330" s="7" t="s">
        <v>327</v>
      </c>
      <c r="E330" s="7" t="s">
        <v>328</v>
      </c>
      <c r="F330" s="7" t="s">
        <v>5991</v>
      </c>
      <c r="G330" s="7" t="s">
        <v>149</v>
      </c>
      <c r="H330" s="10" t="n">
        <v>1000</v>
      </c>
      <c r="I330" s="7" t="s">
        <v>350</v>
      </c>
      <c r="J330" s="7"/>
      <c r="K330" s="7" t="s">
        <v>5992</v>
      </c>
      <c r="L330" s="7" t="s">
        <v>2948</v>
      </c>
      <c r="M330" s="7"/>
      <c r="N330" s="7" t="s">
        <v>5993</v>
      </c>
      <c r="O330" s="7" t="s">
        <v>5994</v>
      </c>
    </row>
    <row r="331" customFormat="false" ht="15" hidden="false" customHeight="false" outlineLevel="0" collapsed="false">
      <c r="A331" s="7" t="s">
        <v>5995</v>
      </c>
      <c r="B331" s="7" t="s">
        <v>29</v>
      </c>
      <c r="C331" s="7" t="s">
        <v>2945</v>
      </c>
      <c r="D331" s="7" t="s">
        <v>827</v>
      </c>
      <c r="E331" s="7" t="s">
        <v>480</v>
      </c>
      <c r="F331" s="7" t="s">
        <v>5996</v>
      </c>
      <c r="G331" s="7" t="s">
        <v>149</v>
      </c>
      <c r="H331" s="10" t="n">
        <v>500</v>
      </c>
      <c r="I331" s="7" t="s">
        <v>350</v>
      </c>
      <c r="J331" s="7"/>
      <c r="K331" s="7" t="s">
        <v>5997</v>
      </c>
      <c r="L331" s="7" t="s">
        <v>2948</v>
      </c>
      <c r="M331" s="7"/>
      <c r="N331" s="7" t="s">
        <v>5998</v>
      </c>
      <c r="O331" s="7" t="s">
        <v>3019</v>
      </c>
    </row>
    <row r="332" customFormat="false" ht="15" hidden="false" customHeight="false" outlineLevel="0" collapsed="false">
      <c r="A332" s="7" t="s">
        <v>5999</v>
      </c>
      <c r="B332" s="7" t="s">
        <v>29</v>
      </c>
      <c r="C332" s="7" t="s">
        <v>2945</v>
      </c>
      <c r="D332" s="7" t="s">
        <v>6000</v>
      </c>
      <c r="E332" s="7" t="s">
        <v>222</v>
      </c>
      <c r="F332" s="7" t="s">
        <v>6001</v>
      </c>
      <c r="G332" s="7" t="s">
        <v>149</v>
      </c>
      <c r="H332" s="10" t="n">
        <v>700</v>
      </c>
      <c r="I332" s="7" t="s">
        <v>350</v>
      </c>
      <c r="J332" s="7"/>
      <c r="K332" s="7" t="s">
        <v>6002</v>
      </c>
      <c r="L332" s="7" t="s">
        <v>2948</v>
      </c>
      <c r="M332" s="7"/>
      <c r="N332" s="7" t="s">
        <v>6003</v>
      </c>
      <c r="O332" s="7" t="s">
        <v>6004</v>
      </c>
    </row>
    <row r="333" customFormat="false" ht="15" hidden="false" customHeight="false" outlineLevel="0" collapsed="false">
      <c r="A333" s="7" t="s">
        <v>6005</v>
      </c>
      <c r="B333" s="7" t="s">
        <v>29</v>
      </c>
      <c r="C333" s="7" t="s">
        <v>2945</v>
      </c>
      <c r="D333" s="7" t="s">
        <v>1599</v>
      </c>
      <c r="E333" s="7" t="s">
        <v>78</v>
      </c>
      <c r="F333" s="7" t="s">
        <v>6006</v>
      </c>
      <c r="G333" s="7" t="s">
        <v>149</v>
      </c>
      <c r="H333" s="10" t="n">
        <v>400</v>
      </c>
      <c r="I333" s="7" t="s">
        <v>350</v>
      </c>
      <c r="J333" s="7"/>
      <c r="K333" s="7" t="s">
        <v>6007</v>
      </c>
      <c r="L333" s="7" t="s">
        <v>2948</v>
      </c>
      <c r="M333" s="7"/>
      <c r="N333" s="7" t="s">
        <v>6008</v>
      </c>
      <c r="O333" s="7" t="s">
        <v>2958</v>
      </c>
    </row>
    <row r="334" customFormat="false" ht="15" hidden="false" customHeight="false" outlineLevel="0" collapsed="false">
      <c r="A334" s="7" t="s">
        <v>6009</v>
      </c>
      <c r="B334" s="7" t="s">
        <v>29</v>
      </c>
      <c r="C334" s="7" t="s">
        <v>2945</v>
      </c>
      <c r="D334" s="7" t="s">
        <v>112</v>
      </c>
      <c r="E334" s="7" t="s">
        <v>113</v>
      </c>
      <c r="F334" s="7" t="s">
        <v>6010</v>
      </c>
      <c r="G334" s="7" t="s">
        <v>149</v>
      </c>
      <c r="H334" s="10" t="n">
        <v>400</v>
      </c>
      <c r="I334" s="7" t="s">
        <v>350</v>
      </c>
      <c r="J334" s="7"/>
      <c r="K334" s="7" t="s">
        <v>6011</v>
      </c>
      <c r="L334" s="7" t="s">
        <v>3095</v>
      </c>
      <c r="M334" s="7"/>
      <c r="N334" s="7" t="s">
        <v>6012</v>
      </c>
      <c r="O334" s="7" t="s">
        <v>6013</v>
      </c>
    </row>
    <row r="335" customFormat="false" ht="15" hidden="false" customHeight="false" outlineLevel="0" collapsed="false">
      <c r="A335" s="7" t="s">
        <v>6014</v>
      </c>
      <c r="B335" s="7" t="s">
        <v>29</v>
      </c>
      <c r="C335" s="7" t="s">
        <v>2945</v>
      </c>
      <c r="D335" s="7" t="s">
        <v>1579</v>
      </c>
      <c r="E335" s="7" t="s">
        <v>854</v>
      </c>
      <c r="F335" s="7" t="s">
        <v>6015</v>
      </c>
      <c r="G335" s="7" t="s">
        <v>149</v>
      </c>
      <c r="H335" s="10" t="n">
        <v>450</v>
      </c>
      <c r="I335" s="7" t="s">
        <v>350</v>
      </c>
      <c r="J335" s="7"/>
      <c r="K335" s="7" t="s">
        <v>6016</v>
      </c>
      <c r="L335" s="7" t="s">
        <v>2948</v>
      </c>
      <c r="M335" s="7"/>
      <c r="N335" s="7" t="s">
        <v>6017</v>
      </c>
      <c r="O335" s="7" t="s">
        <v>3090</v>
      </c>
    </row>
    <row r="336" customFormat="false" ht="15" hidden="false" customHeight="false" outlineLevel="0" collapsed="false">
      <c r="A336" s="7" t="s">
        <v>6018</v>
      </c>
      <c r="B336" s="7" t="s">
        <v>29</v>
      </c>
      <c r="C336" s="7" t="s">
        <v>2945</v>
      </c>
      <c r="D336" s="7" t="s">
        <v>2458</v>
      </c>
      <c r="E336" s="7" t="s">
        <v>338</v>
      </c>
      <c r="F336" s="7" t="s">
        <v>6019</v>
      </c>
      <c r="G336" s="7" t="s">
        <v>149</v>
      </c>
      <c r="H336" s="10" t="n">
        <v>700</v>
      </c>
      <c r="I336" s="7" t="s">
        <v>350</v>
      </c>
      <c r="J336" s="7"/>
      <c r="K336" s="7" t="s">
        <v>6020</v>
      </c>
      <c r="L336" s="7" t="s">
        <v>2948</v>
      </c>
      <c r="M336" s="7"/>
      <c r="N336" s="7" t="s">
        <v>6021</v>
      </c>
      <c r="O336" s="7" t="s">
        <v>6022</v>
      </c>
    </row>
    <row r="337" customFormat="false" ht="15" hidden="false" customHeight="false" outlineLevel="0" collapsed="false">
      <c r="A337" s="7" t="s">
        <v>6023</v>
      </c>
      <c r="B337" s="7" t="s">
        <v>29</v>
      </c>
      <c r="C337" s="7" t="s">
        <v>2945</v>
      </c>
      <c r="D337" s="7" t="s">
        <v>1202</v>
      </c>
      <c r="E337" s="7" t="s">
        <v>296</v>
      </c>
      <c r="F337" s="7" t="s">
        <v>6024</v>
      </c>
      <c r="G337" s="7" t="s">
        <v>149</v>
      </c>
      <c r="H337" s="10" t="n">
        <v>800</v>
      </c>
      <c r="I337" s="7" t="s">
        <v>350</v>
      </c>
      <c r="J337" s="7"/>
      <c r="K337" s="7" t="s">
        <v>6025</v>
      </c>
      <c r="L337" s="7" t="s">
        <v>2948</v>
      </c>
      <c r="M337" s="7"/>
      <c r="N337" s="7" t="s">
        <v>6026</v>
      </c>
      <c r="O337" s="7" t="s">
        <v>2958</v>
      </c>
    </row>
    <row r="338" customFormat="false" ht="15" hidden="false" customHeight="false" outlineLevel="0" collapsed="false">
      <c r="A338" s="7" t="s">
        <v>6027</v>
      </c>
      <c r="B338" s="7" t="s">
        <v>29</v>
      </c>
      <c r="C338" s="7" t="s">
        <v>2945</v>
      </c>
      <c r="D338" s="7" t="s">
        <v>358</v>
      </c>
      <c r="E338" s="7" t="s">
        <v>359</v>
      </c>
      <c r="F338" s="7" t="s">
        <v>6028</v>
      </c>
      <c r="G338" s="7" t="s">
        <v>149</v>
      </c>
      <c r="H338" s="10" t="n">
        <v>700</v>
      </c>
      <c r="I338" s="7" t="s">
        <v>350</v>
      </c>
      <c r="J338" s="7"/>
      <c r="K338" s="7" t="s">
        <v>6029</v>
      </c>
      <c r="L338" s="7" t="s">
        <v>2993</v>
      </c>
      <c r="M338" s="7"/>
      <c r="N338" s="7" t="s">
        <v>6030</v>
      </c>
      <c r="O338" s="7" t="s">
        <v>6031</v>
      </c>
    </row>
    <row r="339" customFormat="false" ht="15" hidden="false" customHeight="false" outlineLevel="0" collapsed="false">
      <c r="A339" s="7" t="s">
        <v>6032</v>
      </c>
      <c r="B339" s="7" t="s">
        <v>29</v>
      </c>
      <c r="C339" s="7" t="s">
        <v>2945</v>
      </c>
      <c r="D339" s="7" t="s">
        <v>827</v>
      </c>
      <c r="E339" s="7" t="s">
        <v>480</v>
      </c>
      <c r="F339" s="7" t="s">
        <v>6033</v>
      </c>
      <c r="G339" s="7" t="s">
        <v>149</v>
      </c>
      <c r="H339" s="10" t="n">
        <v>700</v>
      </c>
      <c r="I339" s="7" t="s">
        <v>350</v>
      </c>
      <c r="J339" s="7"/>
      <c r="K339" s="7" t="s">
        <v>6034</v>
      </c>
      <c r="L339" s="7" t="s">
        <v>2948</v>
      </c>
      <c r="M339" s="7"/>
      <c r="N339" s="7" t="s">
        <v>6035</v>
      </c>
      <c r="O339" s="7" t="s">
        <v>3019</v>
      </c>
    </row>
    <row r="340" customFormat="false" ht="15" hidden="false" customHeight="false" outlineLevel="0" collapsed="false">
      <c r="A340" s="7" t="s">
        <v>6036</v>
      </c>
      <c r="B340" s="7" t="s">
        <v>29</v>
      </c>
      <c r="C340" s="7" t="s">
        <v>2945</v>
      </c>
      <c r="D340" s="7" t="s">
        <v>953</v>
      </c>
      <c r="E340" s="7" t="s">
        <v>1789</v>
      </c>
      <c r="F340" s="7" t="s">
        <v>6037</v>
      </c>
      <c r="G340" s="7" t="s">
        <v>149</v>
      </c>
      <c r="H340" s="10" t="n">
        <v>700</v>
      </c>
      <c r="I340" s="7" t="s">
        <v>350</v>
      </c>
      <c r="J340" s="7"/>
      <c r="K340" s="7" t="s">
        <v>6038</v>
      </c>
      <c r="L340" s="7" t="s">
        <v>2948</v>
      </c>
      <c r="M340" s="7"/>
      <c r="N340" s="7" t="s">
        <v>2975</v>
      </c>
      <c r="O340" s="7" t="s">
        <v>6039</v>
      </c>
    </row>
    <row r="341" customFormat="false" ht="15" hidden="false" customHeight="false" outlineLevel="0" collapsed="false">
      <c r="A341" s="7" t="s">
        <v>6040</v>
      </c>
      <c r="B341" s="7" t="s">
        <v>29</v>
      </c>
      <c r="C341" s="7" t="s">
        <v>5971</v>
      </c>
      <c r="D341" s="7" t="s">
        <v>970</v>
      </c>
      <c r="E341" s="7" t="s">
        <v>250</v>
      </c>
      <c r="F341" s="7" t="s">
        <v>6041</v>
      </c>
      <c r="G341" s="7" t="s">
        <v>149</v>
      </c>
      <c r="H341" s="10" t="n">
        <v>250</v>
      </c>
      <c r="I341" s="7" t="s">
        <v>350</v>
      </c>
      <c r="J341" s="7"/>
      <c r="K341" s="7" t="s">
        <v>6042</v>
      </c>
      <c r="L341" s="7" t="s">
        <v>3095</v>
      </c>
      <c r="M341" s="7"/>
      <c r="N341" s="7" t="s">
        <v>6043</v>
      </c>
      <c r="O341" s="7" t="s">
        <v>6031</v>
      </c>
    </row>
    <row r="342" customFormat="false" ht="15" hidden="false" customHeight="false" outlineLevel="0" collapsed="false">
      <c r="A342" s="7" t="s">
        <v>6044</v>
      </c>
      <c r="B342" s="7" t="s">
        <v>29</v>
      </c>
      <c r="C342" s="7" t="s">
        <v>2945</v>
      </c>
      <c r="D342" s="7" t="s">
        <v>479</v>
      </c>
      <c r="E342" s="7" t="s">
        <v>480</v>
      </c>
      <c r="F342" s="7" t="s">
        <v>6045</v>
      </c>
      <c r="G342" s="7" t="s">
        <v>149</v>
      </c>
      <c r="H342" s="10" t="n">
        <v>700</v>
      </c>
      <c r="I342" s="7" t="s">
        <v>350</v>
      </c>
      <c r="J342" s="7"/>
      <c r="K342" s="7" t="s">
        <v>6046</v>
      </c>
      <c r="L342" s="7" t="s">
        <v>3095</v>
      </c>
      <c r="M342" s="7"/>
      <c r="N342" s="7" t="s">
        <v>6047</v>
      </c>
      <c r="O342" s="7" t="s">
        <v>3019</v>
      </c>
    </row>
    <row r="343" customFormat="false" ht="15" hidden="false" customHeight="false" outlineLevel="0" collapsed="false">
      <c r="A343" s="7" t="s">
        <v>6048</v>
      </c>
      <c r="B343" s="7" t="s">
        <v>29</v>
      </c>
      <c r="C343" s="7" t="s">
        <v>2945</v>
      </c>
      <c r="D343" s="7" t="s">
        <v>154</v>
      </c>
      <c r="E343" s="7" t="s">
        <v>155</v>
      </c>
      <c r="F343" s="7" t="s">
        <v>6049</v>
      </c>
      <c r="G343" s="7" t="s">
        <v>149</v>
      </c>
      <c r="H343" s="10" t="n">
        <v>600</v>
      </c>
      <c r="I343" s="7" t="s">
        <v>350</v>
      </c>
      <c r="J343" s="7"/>
      <c r="K343" s="7" t="s">
        <v>6050</v>
      </c>
      <c r="L343" s="7" t="s">
        <v>2948</v>
      </c>
      <c r="M343" s="7"/>
      <c r="N343" s="7" t="s">
        <v>6051</v>
      </c>
      <c r="O343" s="7" t="s">
        <v>6052</v>
      </c>
    </row>
    <row r="344" customFormat="false" ht="15" hidden="false" customHeight="false" outlineLevel="0" collapsed="false">
      <c r="A344" s="7" t="s">
        <v>6053</v>
      </c>
      <c r="B344" s="7" t="s">
        <v>29</v>
      </c>
      <c r="C344" s="7" t="s">
        <v>2945</v>
      </c>
      <c r="D344" s="7" t="s">
        <v>358</v>
      </c>
      <c r="E344" s="7" t="s">
        <v>359</v>
      </c>
      <c r="F344" s="7" t="s">
        <v>6054</v>
      </c>
      <c r="G344" s="7" t="s">
        <v>149</v>
      </c>
      <c r="H344" s="10" t="n">
        <v>500</v>
      </c>
      <c r="I344" s="7" t="s">
        <v>350</v>
      </c>
      <c r="J344" s="7"/>
      <c r="K344" s="7" t="s">
        <v>6055</v>
      </c>
      <c r="L344" s="7" t="s">
        <v>3095</v>
      </c>
      <c r="M344" s="7"/>
      <c r="N344" s="7" t="s">
        <v>6056</v>
      </c>
      <c r="O344" s="7" t="s">
        <v>6057</v>
      </c>
    </row>
    <row r="345" customFormat="false" ht="15" hidden="false" customHeight="false" outlineLevel="0" collapsed="false">
      <c r="A345" s="7" t="s">
        <v>6058</v>
      </c>
      <c r="B345" s="7" t="s">
        <v>29</v>
      </c>
      <c r="C345" s="7" t="s">
        <v>2945</v>
      </c>
      <c r="D345" s="7" t="s">
        <v>1211</v>
      </c>
      <c r="E345" s="7" t="s">
        <v>1212</v>
      </c>
      <c r="F345" s="7" t="s">
        <v>6059</v>
      </c>
      <c r="G345" s="7" t="s">
        <v>174</v>
      </c>
      <c r="H345" s="10" t="n">
        <v>500</v>
      </c>
      <c r="I345" s="7" t="s">
        <v>350</v>
      </c>
      <c r="J345" s="7"/>
      <c r="K345" s="7" t="s">
        <v>6060</v>
      </c>
      <c r="L345" s="7" t="s">
        <v>3095</v>
      </c>
      <c r="M345" s="7"/>
      <c r="N345" s="7" t="s">
        <v>6061</v>
      </c>
      <c r="O345" s="7" t="s">
        <v>3090</v>
      </c>
    </row>
    <row r="346" customFormat="false" ht="15" hidden="false" customHeight="false" outlineLevel="0" collapsed="false">
      <c r="A346" s="7" t="s">
        <v>6062</v>
      </c>
      <c r="B346" s="7" t="s">
        <v>29</v>
      </c>
      <c r="C346" s="7" t="s">
        <v>2945</v>
      </c>
      <c r="D346" s="7" t="s">
        <v>479</v>
      </c>
      <c r="E346" s="7" t="s">
        <v>480</v>
      </c>
      <c r="F346" s="7" t="s">
        <v>6063</v>
      </c>
      <c r="G346" s="7" t="s">
        <v>174</v>
      </c>
      <c r="H346" s="10" t="n">
        <v>500</v>
      </c>
      <c r="I346" s="7" t="s">
        <v>350</v>
      </c>
      <c r="J346" s="7"/>
      <c r="K346" s="7" t="s">
        <v>6064</v>
      </c>
      <c r="L346" s="7" t="s">
        <v>3095</v>
      </c>
      <c r="M346" s="7"/>
      <c r="N346" s="7" t="s">
        <v>6065</v>
      </c>
      <c r="O346" s="7" t="s">
        <v>3019</v>
      </c>
    </row>
    <row r="347" customFormat="false" ht="15" hidden="false" customHeight="false" outlineLevel="0" collapsed="false">
      <c r="A347" s="7" t="s">
        <v>6066</v>
      </c>
      <c r="B347" s="7" t="s">
        <v>29</v>
      </c>
      <c r="C347" s="7" t="s">
        <v>2945</v>
      </c>
      <c r="D347" s="7" t="s">
        <v>4792</v>
      </c>
      <c r="E347" s="7" t="s">
        <v>4713</v>
      </c>
      <c r="F347" s="7" t="s">
        <v>6067</v>
      </c>
      <c r="G347" s="7" t="s">
        <v>174</v>
      </c>
      <c r="H347" s="10" t="n">
        <v>500</v>
      </c>
      <c r="I347" s="7" t="s">
        <v>350</v>
      </c>
      <c r="J347" s="7"/>
      <c r="K347" s="7" t="s">
        <v>6068</v>
      </c>
      <c r="L347" s="7" t="s">
        <v>2948</v>
      </c>
      <c r="M347" s="7"/>
      <c r="N347" s="7" t="s">
        <v>6069</v>
      </c>
      <c r="O347" s="7" t="s">
        <v>6070</v>
      </c>
    </row>
    <row r="348" customFormat="false" ht="15" hidden="false" customHeight="false" outlineLevel="0" collapsed="false">
      <c r="A348" s="7" t="s">
        <v>6071</v>
      </c>
      <c r="B348" s="7" t="s">
        <v>29</v>
      </c>
      <c r="C348" s="7" t="s">
        <v>2945</v>
      </c>
      <c r="D348" s="7" t="s">
        <v>221</v>
      </c>
      <c r="E348" s="7" t="s">
        <v>222</v>
      </c>
      <c r="F348" s="7" t="s">
        <v>6072</v>
      </c>
      <c r="G348" s="7" t="s">
        <v>174</v>
      </c>
      <c r="H348" s="10" t="n">
        <v>600</v>
      </c>
      <c r="I348" s="7" t="s">
        <v>350</v>
      </c>
      <c r="J348" s="7"/>
      <c r="K348" s="7" t="s">
        <v>6073</v>
      </c>
      <c r="L348" s="7" t="s">
        <v>2948</v>
      </c>
      <c r="M348" s="7"/>
      <c r="N348" s="7" t="s">
        <v>6074</v>
      </c>
      <c r="O348" s="7" t="s">
        <v>6075</v>
      </c>
    </row>
    <row r="349" customFormat="false" ht="15" hidden="false" customHeight="false" outlineLevel="0" collapsed="false">
      <c r="A349" s="7" t="s">
        <v>6076</v>
      </c>
      <c r="B349" s="7" t="s">
        <v>29</v>
      </c>
      <c r="C349" s="7" t="s">
        <v>3092</v>
      </c>
      <c r="D349" s="7" t="s">
        <v>65</v>
      </c>
      <c r="E349" s="7" t="s">
        <v>66</v>
      </c>
      <c r="F349" s="7" t="s">
        <v>6077</v>
      </c>
      <c r="G349" s="7" t="s">
        <v>174</v>
      </c>
      <c r="H349" s="10" t="n">
        <v>600</v>
      </c>
      <c r="I349" s="7" t="s">
        <v>350</v>
      </c>
      <c r="J349" s="7"/>
      <c r="K349" s="7" t="s">
        <v>6078</v>
      </c>
      <c r="L349" s="7" t="s">
        <v>3095</v>
      </c>
      <c r="M349" s="7"/>
      <c r="N349" s="7" t="s">
        <v>6079</v>
      </c>
      <c r="O349" s="7" t="s">
        <v>3090</v>
      </c>
    </row>
    <row r="350" customFormat="false" ht="15" hidden="false" customHeight="false" outlineLevel="0" collapsed="false">
      <c r="A350" s="7" t="s">
        <v>6080</v>
      </c>
      <c r="B350" s="7" t="s">
        <v>29</v>
      </c>
      <c r="C350" s="7" t="s">
        <v>2945</v>
      </c>
      <c r="D350" s="7" t="s">
        <v>2440</v>
      </c>
      <c r="E350" s="7" t="s">
        <v>97</v>
      </c>
      <c r="F350" s="7" t="s">
        <v>6081</v>
      </c>
      <c r="G350" s="7" t="s">
        <v>174</v>
      </c>
      <c r="H350" s="10" t="n">
        <v>600</v>
      </c>
      <c r="I350" s="7" t="s">
        <v>350</v>
      </c>
      <c r="J350" s="7"/>
      <c r="K350" s="7" t="s">
        <v>6082</v>
      </c>
      <c r="L350" s="7" t="s">
        <v>2948</v>
      </c>
      <c r="M350" s="7"/>
      <c r="N350" s="7" t="s">
        <v>6083</v>
      </c>
      <c r="O350" s="7" t="s">
        <v>6084</v>
      </c>
    </row>
    <row r="351" customFormat="false" ht="15" hidden="false" customHeight="false" outlineLevel="0" collapsed="false">
      <c r="A351" s="7" t="s">
        <v>6085</v>
      </c>
      <c r="B351" s="7" t="s">
        <v>29</v>
      </c>
      <c r="C351" s="7" t="s">
        <v>3168</v>
      </c>
      <c r="D351" s="7" t="s">
        <v>723</v>
      </c>
      <c r="E351" s="7" t="s">
        <v>105</v>
      </c>
      <c r="F351" s="7" t="s">
        <v>6086</v>
      </c>
      <c r="G351" s="7" t="s">
        <v>174</v>
      </c>
      <c r="H351" s="10" t="n">
        <v>500</v>
      </c>
      <c r="I351" s="7" t="s">
        <v>350</v>
      </c>
      <c r="J351" s="7"/>
      <c r="K351" s="7" t="s">
        <v>6087</v>
      </c>
      <c r="L351" s="7" t="s">
        <v>3095</v>
      </c>
      <c r="M351" s="7"/>
      <c r="N351" s="7" t="s">
        <v>6088</v>
      </c>
      <c r="O351" s="7" t="s">
        <v>6089</v>
      </c>
    </row>
    <row r="352" customFormat="false" ht="15" hidden="false" customHeight="false" outlineLevel="0" collapsed="false">
      <c r="A352" s="7" t="s">
        <v>6090</v>
      </c>
      <c r="B352" s="7" t="s">
        <v>29</v>
      </c>
      <c r="C352" s="7" t="s">
        <v>3168</v>
      </c>
      <c r="D352" s="7" t="s">
        <v>65</v>
      </c>
      <c r="E352" s="7" t="s">
        <v>66</v>
      </c>
      <c r="F352" s="7" t="s">
        <v>6091</v>
      </c>
      <c r="G352" s="7" t="s">
        <v>174</v>
      </c>
      <c r="H352" s="10" t="n">
        <v>350</v>
      </c>
      <c r="I352" s="7" t="s">
        <v>350</v>
      </c>
      <c r="J352" s="7"/>
      <c r="K352" s="7" t="s">
        <v>6092</v>
      </c>
      <c r="L352" s="7" t="s">
        <v>3095</v>
      </c>
      <c r="M352" s="7"/>
      <c r="N352" s="7" t="s">
        <v>6093</v>
      </c>
      <c r="O352" s="7" t="s">
        <v>6094</v>
      </c>
    </row>
    <row r="353" customFormat="false" ht="15" hidden="false" customHeight="false" outlineLevel="0" collapsed="false">
      <c r="A353" s="7" t="s">
        <v>6095</v>
      </c>
      <c r="B353" s="7" t="s">
        <v>29</v>
      </c>
      <c r="C353" s="7" t="s">
        <v>3168</v>
      </c>
      <c r="D353" s="7" t="s">
        <v>249</v>
      </c>
      <c r="E353" s="7" t="s">
        <v>250</v>
      </c>
      <c r="F353" s="7" t="s">
        <v>6096</v>
      </c>
      <c r="G353" s="7" t="s">
        <v>174</v>
      </c>
      <c r="H353" s="10" t="n">
        <v>250</v>
      </c>
      <c r="I353" s="7" t="s">
        <v>350</v>
      </c>
      <c r="J353" s="7"/>
      <c r="K353" s="7" t="s">
        <v>6097</v>
      </c>
      <c r="L353" s="7" t="s">
        <v>3095</v>
      </c>
      <c r="M353" s="7"/>
      <c r="N353" s="7" t="s">
        <v>6098</v>
      </c>
      <c r="O353" s="7" t="s">
        <v>6099</v>
      </c>
    </row>
    <row r="354" customFormat="false" ht="15" hidden="false" customHeight="false" outlineLevel="0" collapsed="false">
      <c r="A354" s="7" t="s">
        <v>6100</v>
      </c>
      <c r="B354" s="7" t="s">
        <v>29</v>
      </c>
      <c r="C354" s="7" t="s">
        <v>2945</v>
      </c>
      <c r="D354" s="7" t="s">
        <v>65</v>
      </c>
      <c r="E354" s="7" t="s">
        <v>66</v>
      </c>
      <c r="F354" s="7" t="s">
        <v>6101</v>
      </c>
      <c r="G354" s="7" t="s">
        <v>174</v>
      </c>
      <c r="H354" s="10" t="n">
        <v>500</v>
      </c>
      <c r="I354" s="7" t="s">
        <v>350</v>
      </c>
      <c r="J354" s="7"/>
      <c r="K354" s="7" t="s">
        <v>6102</v>
      </c>
      <c r="L354" s="7" t="s">
        <v>3095</v>
      </c>
      <c r="M354" s="7"/>
      <c r="N354" s="7" t="s">
        <v>6103</v>
      </c>
      <c r="O354" s="7" t="s">
        <v>3090</v>
      </c>
    </row>
    <row r="355" customFormat="false" ht="15" hidden="false" customHeight="false" outlineLevel="0" collapsed="false">
      <c r="A355" s="7" t="s">
        <v>6104</v>
      </c>
      <c r="B355" s="7" t="s">
        <v>29</v>
      </c>
      <c r="C355" s="7" t="s">
        <v>3168</v>
      </c>
      <c r="D355" s="7" t="s">
        <v>171</v>
      </c>
      <c r="E355" s="7" t="s">
        <v>172</v>
      </c>
      <c r="F355" s="7" t="s">
        <v>6105</v>
      </c>
      <c r="G355" s="7" t="s">
        <v>174</v>
      </c>
      <c r="H355" s="10" t="n">
        <v>400</v>
      </c>
      <c r="I355" s="7" t="s">
        <v>350</v>
      </c>
      <c r="J355" s="7"/>
      <c r="K355" s="7" t="s">
        <v>6106</v>
      </c>
      <c r="L355" s="7" t="s">
        <v>3095</v>
      </c>
      <c r="M355" s="7"/>
      <c r="N355" s="7" t="s">
        <v>6107</v>
      </c>
      <c r="O355" s="7" t="s">
        <v>3019</v>
      </c>
    </row>
    <row r="356" customFormat="false" ht="15" hidden="false" customHeight="false" outlineLevel="0" collapsed="false">
      <c r="A356" s="7" t="s">
        <v>6108</v>
      </c>
      <c r="B356" s="7" t="s">
        <v>29</v>
      </c>
      <c r="C356" s="7" t="s">
        <v>2945</v>
      </c>
      <c r="D356" s="7" t="s">
        <v>249</v>
      </c>
      <c r="E356" s="7" t="s">
        <v>250</v>
      </c>
      <c r="F356" s="7" t="s">
        <v>6109</v>
      </c>
      <c r="G356" s="7" t="s">
        <v>174</v>
      </c>
      <c r="H356" s="10" t="n">
        <v>500</v>
      </c>
      <c r="I356" s="7" t="s">
        <v>350</v>
      </c>
      <c r="J356" s="7"/>
      <c r="K356" s="7" t="s">
        <v>6110</v>
      </c>
      <c r="L356" s="7" t="s">
        <v>3095</v>
      </c>
      <c r="M356" s="7"/>
      <c r="N356" s="7" t="s">
        <v>6111</v>
      </c>
      <c r="O356" s="7" t="s">
        <v>6112</v>
      </c>
    </row>
    <row r="357" customFormat="false" ht="15" hidden="false" customHeight="false" outlineLevel="0" collapsed="false">
      <c r="A357" s="7" t="s">
        <v>6113</v>
      </c>
      <c r="B357" s="7" t="s">
        <v>30</v>
      </c>
      <c r="C357" s="7" t="s">
        <v>6114</v>
      </c>
      <c r="D357" s="7" t="s">
        <v>6115</v>
      </c>
      <c r="E357" s="7" t="s">
        <v>172</v>
      </c>
      <c r="F357" s="7" t="s">
        <v>6116</v>
      </c>
      <c r="G357" s="7" t="s">
        <v>68</v>
      </c>
      <c r="H357" s="10" t="n">
        <v>1500</v>
      </c>
      <c r="I357" s="7" t="s">
        <v>3239</v>
      </c>
      <c r="J357" s="7"/>
      <c r="K357" s="7" t="s">
        <v>6117</v>
      </c>
      <c r="L357" s="7" t="s">
        <v>6118</v>
      </c>
      <c r="M357" s="7"/>
      <c r="N357" s="7" t="s">
        <v>6119</v>
      </c>
      <c r="O357" s="7" t="s">
        <v>6120</v>
      </c>
    </row>
    <row r="358" customFormat="false" ht="15" hidden="false" customHeight="false" outlineLevel="0" collapsed="false">
      <c r="A358" s="7" t="s">
        <v>6121</v>
      </c>
      <c r="B358" s="7" t="s">
        <v>30</v>
      </c>
      <c r="C358" s="7" t="s">
        <v>6122</v>
      </c>
      <c r="D358" s="7" t="s">
        <v>5295</v>
      </c>
      <c r="E358" s="7" t="s">
        <v>137</v>
      </c>
      <c r="F358" s="7" t="s">
        <v>6123</v>
      </c>
      <c r="G358" s="7" t="s">
        <v>68</v>
      </c>
      <c r="H358" s="10" t="n">
        <v>1700</v>
      </c>
      <c r="I358" s="7" t="s">
        <v>3239</v>
      </c>
      <c r="J358" s="7"/>
      <c r="K358" s="7" t="s">
        <v>6124</v>
      </c>
      <c r="L358" s="7" t="s">
        <v>3224</v>
      </c>
      <c r="M358" s="7"/>
      <c r="N358" s="7" t="s">
        <v>6125</v>
      </c>
      <c r="O358" s="7" t="s">
        <v>6126</v>
      </c>
    </row>
    <row r="359" customFormat="false" ht="15" hidden="false" customHeight="false" outlineLevel="0" collapsed="false">
      <c r="A359" s="7" t="s">
        <v>6127</v>
      </c>
      <c r="B359" s="7" t="s">
        <v>30</v>
      </c>
      <c r="C359" s="7" t="s">
        <v>6128</v>
      </c>
      <c r="D359" s="7" t="s">
        <v>6129</v>
      </c>
      <c r="E359" s="7" t="s">
        <v>250</v>
      </c>
      <c r="F359" s="7" t="s">
        <v>6130</v>
      </c>
      <c r="G359" s="7" t="s">
        <v>68</v>
      </c>
      <c r="H359" s="10" t="n">
        <v>4000</v>
      </c>
      <c r="I359" s="7" t="s">
        <v>350</v>
      </c>
      <c r="J359" s="7"/>
      <c r="K359" s="7" t="s">
        <v>6131</v>
      </c>
      <c r="L359" s="7" t="s">
        <v>3241</v>
      </c>
      <c r="M359" s="7"/>
      <c r="N359" s="7" t="s">
        <v>269</v>
      </c>
      <c r="O359" s="7" t="s">
        <v>6132</v>
      </c>
    </row>
    <row r="360" customFormat="false" ht="15" hidden="false" customHeight="false" outlineLevel="0" collapsed="false">
      <c r="A360" s="7" t="s">
        <v>6133</v>
      </c>
      <c r="B360" s="7" t="s">
        <v>30</v>
      </c>
      <c r="C360" s="7" t="s">
        <v>6134</v>
      </c>
      <c r="D360" s="7" t="s">
        <v>6135</v>
      </c>
      <c r="E360" s="7" t="s">
        <v>137</v>
      </c>
      <c r="F360" s="7" t="s">
        <v>6136</v>
      </c>
      <c r="G360" s="7" t="s">
        <v>68</v>
      </c>
      <c r="H360" s="10" t="n">
        <v>2000</v>
      </c>
      <c r="I360" s="7" t="s">
        <v>3239</v>
      </c>
      <c r="J360" s="7"/>
      <c r="K360" s="7"/>
      <c r="L360" s="7" t="s">
        <v>6137</v>
      </c>
      <c r="M360" s="7"/>
      <c r="N360" s="7" t="s">
        <v>6138</v>
      </c>
      <c r="O360" s="7" t="s">
        <v>6139</v>
      </c>
    </row>
    <row r="361" customFormat="false" ht="15" hidden="false" customHeight="false" outlineLevel="0" collapsed="false">
      <c r="A361" s="7" t="s">
        <v>6140</v>
      </c>
      <c r="B361" s="7" t="s">
        <v>30</v>
      </c>
      <c r="C361" s="7" t="s">
        <v>6141</v>
      </c>
      <c r="D361" s="7" t="s">
        <v>6142</v>
      </c>
      <c r="E361" s="7" t="s">
        <v>105</v>
      </c>
      <c r="F361" s="7" t="s">
        <v>6143</v>
      </c>
      <c r="G361" s="7" t="s">
        <v>68</v>
      </c>
      <c r="H361" s="10" t="n">
        <v>3000</v>
      </c>
      <c r="I361" s="7" t="s">
        <v>350</v>
      </c>
      <c r="J361" s="7"/>
      <c r="K361" s="7"/>
      <c r="L361" s="7" t="s">
        <v>6137</v>
      </c>
      <c r="M361" s="7"/>
      <c r="N361" s="7" t="s">
        <v>269</v>
      </c>
      <c r="O361" s="7" t="s">
        <v>6144</v>
      </c>
    </row>
    <row r="362" customFormat="false" ht="15" hidden="false" customHeight="false" outlineLevel="0" collapsed="false">
      <c r="A362" s="7" t="s">
        <v>6145</v>
      </c>
      <c r="B362" s="7" t="s">
        <v>30</v>
      </c>
      <c r="C362" s="7" t="s">
        <v>6146</v>
      </c>
      <c r="D362" s="7" t="s">
        <v>723</v>
      </c>
      <c r="E362" s="7" t="s">
        <v>105</v>
      </c>
      <c r="F362" s="7" t="s">
        <v>6147</v>
      </c>
      <c r="G362" s="7" t="s">
        <v>68</v>
      </c>
      <c r="H362" s="10" t="n">
        <v>1400</v>
      </c>
      <c r="I362" s="7" t="s">
        <v>3239</v>
      </c>
      <c r="J362" s="7"/>
      <c r="K362" s="7"/>
      <c r="L362" s="7" t="s">
        <v>6148</v>
      </c>
      <c r="M362" s="7"/>
      <c r="N362" s="7" t="s">
        <v>6149</v>
      </c>
      <c r="O362" s="7" t="s">
        <v>6150</v>
      </c>
    </row>
    <row r="363" customFormat="false" ht="15" hidden="false" customHeight="false" outlineLevel="0" collapsed="false">
      <c r="A363" s="7" t="s">
        <v>6151</v>
      </c>
      <c r="B363" s="7" t="s">
        <v>30</v>
      </c>
      <c r="C363" s="7" t="s">
        <v>6152</v>
      </c>
      <c r="D363" s="7" t="s">
        <v>6153</v>
      </c>
      <c r="E363" s="7" t="s">
        <v>155</v>
      </c>
      <c r="F363" s="7" t="s">
        <v>6154</v>
      </c>
      <c r="G363" s="7" t="s">
        <v>68</v>
      </c>
      <c r="H363" s="10" t="n">
        <v>1700</v>
      </c>
      <c r="I363" s="7" t="s">
        <v>3239</v>
      </c>
      <c r="J363" s="7"/>
      <c r="K363" s="7" t="s">
        <v>6155</v>
      </c>
      <c r="L363" s="7" t="s">
        <v>1222</v>
      </c>
      <c r="M363" s="7"/>
      <c r="N363" s="7" t="s">
        <v>269</v>
      </c>
      <c r="O363" s="7" t="s">
        <v>6156</v>
      </c>
    </row>
    <row r="364" customFormat="false" ht="15" hidden="false" customHeight="false" outlineLevel="0" collapsed="false">
      <c r="A364" s="7" t="s">
        <v>6157</v>
      </c>
      <c r="B364" s="7" t="s">
        <v>30</v>
      </c>
      <c r="C364" s="7" t="s">
        <v>6158</v>
      </c>
      <c r="D364" s="7" t="s">
        <v>5167</v>
      </c>
      <c r="E364" s="7" t="s">
        <v>172</v>
      </c>
      <c r="F364" s="7" t="s">
        <v>6159</v>
      </c>
      <c r="G364" s="7" t="s">
        <v>68</v>
      </c>
      <c r="H364" s="10" t="n">
        <v>2500</v>
      </c>
      <c r="I364" s="7" t="s">
        <v>3239</v>
      </c>
      <c r="J364" s="7"/>
      <c r="K364" s="7" t="s">
        <v>6160</v>
      </c>
      <c r="L364" s="7" t="s">
        <v>3241</v>
      </c>
      <c r="M364" s="7"/>
      <c r="N364" s="7" t="s">
        <v>6161</v>
      </c>
      <c r="O364" s="7" t="s">
        <v>6162</v>
      </c>
    </row>
    <row r="365" customFormat="false" ht="15" hidden="false" customHeight="false" outlineLevel="0" collapsed="false">
      <c r="A365" s="7" t="s">
        <v>6163</v>
      </c>
      <c r="B365" s="7" t="s">
        <v>30</v>
      </c>
      <c r="C365" s="7" t="s">
        <v>6164</v>
      </c>
      <c r="D365" s="7" t="s">
        <v>1382</v>
      </c>
      <c r="E365" s="7" t="s">
        <v>105</v>
      </c>
      <c r="F365" s="7" t="s">
        <v>6165</v>
      </c>
      <c r="G365" s="7" t="s">
        <v>68</v>
      </c>
      <c r="H365" s="10" t="n">
        <v>3000</v>
      </c>
      <c r="I365" s="7" t="s">
        <v>3239</v>
      </c>
      <c r="J365" s="7"/>
      <c r="K365" s="7" t="s">
        <v>6166</v>
      </c>
      <c r="L365" s="7" t="s">
        <v>3241</v>
      </c>
      <c r="M365" s="7"/>
      <c r="N365" s="7" t="s">
        <v>269</v>
      </c>
      <c r="O365" s="7" t="s">
        <v>6167</v>
      </c>
    </row>
    <row r="366" customFormat="false" ht="15" hidden="false" customHeight="false" outlineLevel="0" collapsed="false">
      <c r="A366" s="7" t="s">
        <v>6168</v>
      </c>
      <c r="B366" s="7" t="s">
        <v>30</v>
      </c>
      <c r="C366" s="7" t="s">
        <v>6169</v>
      </c>
      <c r="D366" s="7" t="s">
        <v>4280</v>
      </c>
      <c r="E366" s="7" t="s">
        <v>172</v>
      </c>
      <c r="F366" s="7" t="s">
        <v>6170</v>
      </c>
      <c r="G366" s="7" t="s">
        <v>68</v>
      </c>
      <c r="H366" s="10" t="n">
        <v>1500</v>
      </c>
      <c r="I366" s="7" t="s">
        <v>377</v>
      </c>
      <c r="J366" s="7"/>
      <c r="K366" s="7" t="s">
        <v>6171</v>
      </c>
      <c r="L366" s="7" t="s">
        <v>3224</v>
      </c>
      <c r="M366" s="7"/>
      <c r="N366" s="7" t="s">
        <v>6172</v>
      </c>
      <c r="O366" s="7" t="s">
        <v>6173</v>
      </c>
    </row>
    <row r="367" customFormat="false" ht="15" hidden="false" customHeight="false" outlineLevel="0" collapsed="false">
      <c r="A367" s="7" t="s">
        <v>6174</v>
      </c>
      <c r="B367" s="7" t="s">
        <v>30</v>
      </c>
      <c r="C367" s="7" t="s">
        <v>6175</v>
      </c>
      <c r="D367" s="7" t="s">
        <v>6176</v>
      </c>
      <c r="E367" s="7" t="s">
        <v>155</v>
      </c>
      <c r="F367" s="7" t="s">
        <v>6177</v>
      </c>
      <c r="G367" s="7" t="s">
        <v>68</v>
      </c>
      <c r="H367" s="10" t="n">
        <v>3500</v>
      </c>
      <c r="I367" s="7" t="s">
        <v>3239</v>
      </c>
      <c r="J367" s="7"/>
      <c r="K367" s="7" t="s">
        <v>6178</v>
      </c>
      <c r="L367" s="7" t="s">
        <v>6179</v>
      </c>
      <c r="M367" s="7"/>
      <c r="N367" s="7" t="s">
        <v>269</v>
      </c>
      <c r="O367" s="7" t="s">
        <v>6180</v>
      </c>
    </row>
    <row r="368" customFormat="false" ht="15" hidden="false" customHeight="false" outlineLevel="0" collapsed="false">
      <c r="A368" s="7" t="s">
        <v>6181</v>
      </c>
      <c r="B368" s="7" t="s">
        <v>30</v>
      </c>
      <c r="C368" s="7" t="s">
        <v>6182</v>
      </c>
      <c r="D368" s="7" t="s">
        <v>1395</v>
      </c>
      <c r="E368" s="7" t="s">
        <v>105</v>
      </c>
      <c r="F368" s="7" t="s">
        <v>6183</v>
      </c>
      <c r="G368" s="7" t="s">
        <v>68</v>
      </c>
      <c r="H368" s="10" t="n">
        <v>2500</v>
      </c>
      <c r="I368" s="7" t="s">
        <v>3239</v>
      </c>
      <c r="J368" s="7"/>
      <c r="K368" s="7"/>
      <c r="L368" s="7" t="s">
        <v>3241</v>
      </c>
      <c r="M368" s="7"/>
      <c r="N368" s="7" t="s">
        <v>6184</v>
      </c>
      <c r="O368" s="7" t="s">
        <v>6185</v>
      </c>
    </row>
    <row r="369" customFormat="false" ht="15" hidden="false" customHeight="false" outlineLevel="0" collapsed="false">
      <c r="A369" s="7" t="s">
        <v>6186</v>
      </c>
      <c r="B369" s="7" t="s">
        <v>30</v>
      </c>
      <c r="C369" s="7" t="s">
        <v>6187</v>
      </c>
      <c r="D369" s="7" t="s">
        <v>1690</v>
      </c>
      <c r="E369" s="7" t="s">
        <v>137</v>
      </c>
      <c r="F369" s="7" t="s">
        <v>6188</v>
      </c>
      <c r="G369" s="7" t="s">
        <v>68</v>
      </c>
      <c r="H369" s="10" t="n">
        <v>1200</v>
      </c>
      <c r="I369" s="7" t="s">
        <v>3239</v>
      </c>
      <c r="J369" s="7"/>
      <c r="K369" s="7" t="s">
        <v>6189</v>
      </c>
      <c r="L369" s="7" t="s">
        <v>3241</v>
      </c>
      <c r="M369" s="7"/>
      <c r="N369" s="7" t="s">
        <v>6190</v>
      </c>
      <c r="O369" s="7" t="s">
        <v>6139</v>
      </c>
    </row>
    <row r="370" customFormat="false" ht="15" hidden="false" customHeight="false" outlineLevel="0" collapsed="false">
      <c r="A370" s="7" t="s">
        <v>6191</v>
      </c>
      <c r="B370" s="7" t="s">
        <v>30</v>
      </c>
      <c r="C370" s="7" t="s">
        <v>6192</v>
      </c>
      <c r="D370" s="7" t="s">
        <v>4836</v>
      </c>
      <c r="E370" s="7" t="s">
        <v>137</v>
      </c>
      <c r="F370" s="7" t="s">
        <v>6193</v>
      </c>
      <c r="G370" s="7" t="s">
        <v>68</v>
      </c>
      <c r="H370" s="10" t="n">
        <v>3000</v>
      </c>
      <c r="I370" s="7" t="s">
        <v>517</v>
      </c>
      <c r="J370" s="7"/>
      <c r="K370" s="7" t="s">
        <v>6194</v>
      </c>
      <c r="L370" s="7" t="s">
        <v>6195</v>
      </c>
      <c r="M370" s="7"/>
      <c r="N370" s="7" t="s">
        <v>6196</v>
      </c>
      <c r="O370" s="7" t="s">
        <v>6139</v>
      </c>
    </row>
    <row r="371" customFormat="false" ht="15" hidden="false" customHeight="false" outlineLevel="0" collapsed="false">
      <c r="A371" s="7" t="s">
        <v>6197</v>
      </c>
      <c r="B371" s="7" t="s">
        <v>30</v>
      </c>
      <c r="C371" s="7" t="s">
        <v>6198</v>
      </c>
      <c r="D371" s="7" t="s">
        <v>6199</v>
      </c>
      <c r="E371" s="7" t="s">
        <v>172</v>
      </c>
      <c r="F371" s="7" t="s">
        <v>6200</v>
      </c>
      <c r="G371" s="7" t="s">
        <v>68</v>
      </c>
      <c r="H371" s="10" t="n">
        <v>1000</v>
      </c>
      <c r="I371" s="7" t="s">
        <v>3239</v>
      </c>
      <c r="J371" s="7"/>
      <c r="K371" s="7" t="s">
        <v>6201</v>
      </c>
      <c r="L371" s="7" t="s">
        <v>6137</v>
      </c>
      <c r="M371" s="7"/>
      <c r="N371" s="7" t="s">
        <v>269</v>
      </c>
      <c r="O371" s="7" t="s">
        <v>6202</v>
      </c>
    </row>
    <row r="372" customFormat="false" ht="15" hidden="false" customHeight="false" outlineLevel="0" collapsed="false">
      <c r="A372" s="7" t="s">
        <v>6203</v>
      </c>
      <c r="B372" s="7" t="s">
        <v>30</v>
      </c>
      <c r="C372" s="7" t="s">
        <v>6204</v>
      </c>
      <c r="D372" s="7" t="s">
        <v>6205</v>
      </c>
      <c r="E372" s="7" t="s">
        <v>155</v>
      </c>
      <c r="F372" s="7" t="s">
        <v>6206</v>
      </c>
      <c r="G372" s="7" t="s">
        <v>68</v>
      </c>
      <c r="H372" s="10" t="n">
        <v>1500</v>
      </c>
      <c r="I372" s="7" t="s">
        <v>3239</v>
      </c>
      <c r="J372" s="7"/>
      <c r="K372" s="7"/>
      <c r="L372" s="7" t="s">
        <v>3241</v>
      </c>
      <c r="M372" s="7"/>
      <c r="N372" s="7" t="s">
        <v>269</v>
      </c>
      <c r="O372" s="7" t="s">
        <v>6207</v>
      </c>
    </row>
    <row r="373" customFormat="false" ht="15" hidden="false" customHeight="false" outlineLevel="0" collapsed="false">
      <c r="A373" s="7" t="s">
        <v>6208</v>
      </c>
      <c r="B373" s="7" t="s">
        <v>30</v>
      </c>
      <c r="C373" s="7" t="s">
        <v>6209</v>
      </c>
      <c r="D373" s="7" t="s">
        <v>3639</v>
      </c>
      <c r="E373" s="7" t="s">
        <v>155</v>
      </c>
      <c r="F373" s="7" t="s">
        <v>6210</v>
      </c>
      <c r="G373" s="7" t="s">
        <v>68</v>
      </c>
      <c r="H373" s="10" t="n">
        <v>2500</v>
      </c>
      <c r="I373" s="7" t="s">
        <v>3239</v>
      </c>
      <c r="J373" s="7"/>
      <c r="K373" s="7" t="s">
        <v>6211</v>
      </c>
      <c r="L373" s="7" t="s">
        <v>6212</v>
      </c>
      <c r="M373" s="7"/>
      <c r="N373" s="7" t="s">
        <v>269</v>
      </c>
      <c r="O373" s="7" t="s">
        <v>6213</v>
      </c>
    </row>
    <row r="374" customFormat="false" ht="15" hidden="false" customHeight="false" outlineLevel="0" collapsed="false">
      <c r="A374" s="7" t="s">
        <v>6214</v>
      </c>
      <c r="B374" s="7" t="s">
        <v>30</v>
      </c>
      <c r="C374" s="7" t="s">
        <v>6215</v>
      </c>
      <c r="D374" s="7" t="s">
        <v>337</v>
      </c>
      <c r="E374" s="7" t="s">
        <v>338</v>
      </c>
      <c r="F374" s="7" t="s">
        <v>6216</v>
      </c>
      <c r="G374" s="7" t="s">
        <v>68</v>
      </c>
      <c r="H374" s="10" t="n">
        <v>1100</v>
      </c>
      <c r="I374" s="7" t="s">
        <v>377</v>
      </c>
      <c r="J374" s="7"/>
      <c r="K374" s="7" t="s">
        <v>6217</v>
      </c>
      <c r="L374" s="7" t="s">
        <v>6218</v>
      </c>
      <c r="M374" s="7"/>
      <c r="N374" s="7" t="s">
        <v>6219</v>
      </c>
      <c r="O374" s="7" t="s">
        <v>6220</v>
      </c>
    </row>
    <row r="375" customFormat="false" ht="15" hidden="false" customHeight="false" outlineLevel="0" collapsed="false">
      <c r="A375" s="7" t="s">
        <v>6221</v>
      </c>
      <c r="B375" s="7" t="s">
        <v>30</v>
      </c>
      <c r="C375" s="7" t="s">
        <v>6222</v>
      </c>
      <c r="D375" s="7" t="s">
        <v>4640</v>
      </c>
      <c r="E375" s="7" t="s">
        <v>163</v>
      </c>
      <c r="F375" s="7" t="s">
        <v>6223</v>
      </c>
      <c r="G375" s="7" t="s">
        <v>68</v>
      </c>
      <c r="H375" s="10" t="n">
        <v>2500</v>
      </c>
      <c r="I375" s="7" t="s">
        <v>3239</v>
      </c>
      <c r="J375" s="7"/>
      <c r="K375" s="7"/>
      <c r="L375" s="7" t="s">
        <v>6224</v>
      </c>
      <c r="M375" s="7"/>
      <c r="N375" s="7" t="s">
        <v>6225</v>
      </c>
      <c r="O375" s="7" t="s">
        <v>6226</v>
      </c>
    </row>
    <row r="376" customFormat="false" ht="15" hidden="false" customHeight="false" outlineLevel="0" collapsed="false">
      <c r="A376" s="7" t="s">
        <v>6227</v>
      </c>
      <c r="B376" s="7" t="s">
        <v>30</v>
      </c>
      <c r="C376" s="7" t="s">
        <v>6228</v>
      </c>
      <c r="D376" s="7" t="s">
        <v>6229</v>
      </c>
      <c r="E376" s="7" t="s">
        <v>137</v>
      </c>
      <c r="F376" s="7" t="s">
        <v>6230</v>
      </c>
      <c r="G376" s="7" t="s">
        <v>68</v>
      </c>
      <c r="H376" s="10" t="n">
        <v>1500</v>
      </c>
      <c r="I376" s="7" t="s">
        <v>350</v>
      </c>
      <c r="J376" s="7"/>
      <c r="K376" s="7" t="s">
        <v>6231</v>
      </c>
      <c r="L376" s="7" t="s">
        <v>3241</v>
      </c>
      <c r="M376" s="7"/>
      <c r="N376" s="7" t="s">
        <v>6232</v>
      </c>
      <c r="O376" s="7" t="s">
        <v>6139</v>
      </c>
    </row>
    <row r="377" customFormat="false" ht="15" hidden="false" customHeight="false" outlineLevel="0" collapsed="false">
      <c r="A377" s="7" t="s">
        <v>6233</v>
      </c>
      <c r="B377" s="7" t="s">
        <v>30</v>
      </c>
      <c r="C377" s="7" t="s">
        <v>6234</v>
      </c>
      <c r="D377" s="7" t="s">
        <v>4758</v>
      </c>
      <c r="E377" s="7" t="s">
        <v>137</v>
      </c>
      <c r="F377" s="7" t="s">
        <v>6235</v>
      </c>
      <c r="G377" s="7" t="s">
        <v>68</v>
      </c>
      <c r="H377" s="10" t="n">
        <v>1000</v>
      </c>
      <c r="I377" s="7" t="s">
        <v>3239</v>
      </c>
      <c r="J377" s="7"/>
      <c r="K377" s="7" t="s">
        <v>6236</v>
      </c>
      <c r="L377" s="7" t="s">
        <v>3241</v>
      </c>
      <c r="M377" s="7"/>
      <c r="N377" s="7" t="s">
        <v>6237</v>
      </c>
      <c r="O377" s="7" t="s">
        <v>6139</v>
      </c>
    </row>
    <row r="378" customFormat="false" ht="15" hidden="false" customHeight="false" outlineLevel="0" collapsed="false">
      <c r="A378" s="7" t="s">
        <v>6238</v>
      </c>
      <c r="B378" s="7" t="s">
        <v>30</v>
      </c>
      <c r="C378" s="7" t="s">
        <v>6239</v>
      </c>
      <c r="D378" s="7" t="s">
        <v>171</v>
      </c>
      <c r="E378" s="7" t="s">
        <v>172</v>
      </c>
      <c r="F378" s="7" t="s">
        <v>6240</v>
      </c>
      <c r="G378" s="7" t="s">
        <v>68</v>
      </c>
      <c r="H378" s="10" t="n">
        <v>1500</v>
      </c>
      <c r="I378" s="7" t="s">
        <v>3239</v>
      </c>
      <c r="J378" s="7"/>
      <c r="K378" s="7" t="s">
        <v>6241</v>
      </c>
      <c r="L378" s="7" t="s">
        <v>4282</v>
      </c>
      <c r="M378" s="7"/>
      <c r="N378" s="7" t="s">
        <v>6242</v>
      </c>
      <c r="O378" s="7" t="s">
        <v>6243</v>
      </c>
    </row>
    <row r="379" customFormat="false" ht="15" hidden="false" customHeight="false" outlineLevel="0" collapsed="false">
      <c r="A379" s="7" t="s">
        <v>6244</v>
      </c>
      <c r="B379" s="7" t="s">
        <v>30</v>
      </c>
      <c r="C379" s="7" t="s">
        <v>6245</v>
      </c>
      <c r="D379" s="7" t="s">
        <v>5167</v>
      </c>
      <c r="E379" s="7" t="s">
        <v>172</v>
      </c>
      <c r="F379" s="7" t="s">
        <v>6246</v>
      </c>
      <c r="G379" s="7" t="s">
        <v>68</v>
      </c>
      <c r="H379" s="10" t="n">
        <v>2500</v>
      </c>
      <c r="I379" s="7" t="s">
        <v>377</v>
      </c>
      <c r="J379" s="7"/>
      <c r="K379" s="7" t="s">
        <v>6247</v>
      </c>
      <c r="L379" s="7" t="s">
        <v>3241</v>
      </c>
      <c r="M379" s="7"/>
      <c r="N379" s="7" t="s">
        <v>6248</v>
      </c>
      <c r="O379" s="7" t="s">
        <v>6249</v>
      </c>
    </row>
    <row r="380" customFormat="false" ht="15" hidden="false" customHeight="false" outlineLevel="0" collapsed="false">
      <c r="A380" s="7" t="s">
        <v>6250</v>
      </c>
      <c r="B380" s="7" t="s">
        <v>30</v>
      </c>
      <c r="C380" s="7" t="s">
        <v>6251</v>
      </c>
      <c r="D380" s="7" t="s">
        <v>4758</v>
      </c>
      <c r="E380" s="7" t="s">
        <v>163</v>
      </c>
      <c r="F380" s="7" t="s">
        <v>6252</v>
      </c>
      <c r="G380" s="7" t="s">
        <v>68</v>
      </c>
      <c r="H380" s="10" t="n">
        <v>3500</v>
      </c>
      <c r="I380" s="7" t="s">
        <v>3239</v>
      </c>
      <c r="J380" s="7"/>
      <c r="K380" s="7" t="s">
        <v>6253</v>
      </c>
      <c r="L380" s="7" t="s">
        <v>6254</v>
      </c>
      <c r="M380" s="7"/>
      <c r="N380" s="7" t="s">
        <v>6255</v>
      </c>
      <c r="O380" s="7" t="s">
        <v>6256</v>
      </c>
    </row>
    <row r="381" customFormat="false" ht="15" hidden="false" customHeight="false" outlineLevel="0" collapsed="false">
      <c r="A381" s="7" t="s">
        <v>6257</v>
      </c>
      <c r="B381" s="7" t="s">
        <v>30</v>
      </c>
      <c r="C381" s="7" t="s">
        <v>6258</v>
      </c>
      <c r="D381" s="7" t="s">
        <v>171</v>
      </c>
      <c r="E381" s="7" t="s">
        <v>172</v>
      </c>
      <c r="F381" s="7" t="s">
        <v>6259</v>
      </c>
      <c r="G381" s="7" t="s">
        <v>68</v>
      </c>
      <c r="H381" s="10" t="n">
        <v>1500</v>
      </c>
      <c r="I381" s="7" t="s">
        <v>3239</v>
      </c>
      <c r="J381" s="7"/>
      <c r="K381" s="7" t="s">
        <v>6260</v>
      </c>
      <c r="L381" s="7" t="s">
        <v>3241</v>
      </c>
      <c r="M381" s="7"/>
      <c r="N381" s="7" t="s">
        <v>6261</v>
      </c>
      <c r="O381" s="7" t="s">
        <v>6262</v>
      </c>
    </row>
    <row r="382" customFormat="false" ht="15" hidden="false" customHeight="false" outlineLevel="0" collapsed="false">
      <c r="A382" s="7" t="s">
        <v>6263</v>
      </c>
      <c r="B382" s="7" t="s">
        <v>30</v>
      </c>
      <c r="C382" s="7" t="s">
        <v>6264</v>
      </c>
      <c r="D382" s="7" t="s">
        <v>6265</v>
      </c>
      <c r="E382" s="7" t="s">
        <v>338</v>
      </c>
      <c r="F382" s="7" t="s">
        <v>6266</v>
      </c>
      <c r="G382" s="7" t="s">
        <v>68</v>
      </c>
      <c r="H382" s="10" t="n">
        <v>1800</v>
      </c>
      <c r="I382" s="7" t="s">
        <v>3239</v>
      </c>
      <c r="J382" s="7"/>
      <c r="K382" s="7"/>
      <c r="L382" s="7" t="s">
        <v>3224</v>
      </c>
      <c r="M382" s="7"/>
      <c r="N382" s="7" t="s">
        <v>6267</v>
      </c>
      <c r="O382" s="7" t="s">
        <v>6268</v>
      </c>
    </row>
    <row r="383" customFormat="false" ht="15" hidden="false" customHeight="false" outlineLevel="0" collapsed="false">
      <c r="A383" s="7" t="s">
        <v>6269</v>
      </c>
      <c r="B383" s="7" t="s">
        <v>30</v>
      </c>
      <c r="C383" s="7" t="s">
        <v>6270</v>
      </c>
      <c r="D383" s="7" t="s">
        <v>6271</v>
      </c>
      <c r="E383" s="7" t="s">
        <v>250</v>
      </c>
      <c r="F383" s="7" t="s">
        <v>6272</v>
      </c>
      <c r="G383" s="7" t="s">
        <v>68</v>
      </c>
      <c r="H383" s="10" t="n">
        <v>2000</v>
      </c>
      <c r="I383" s="7" t="s">
        <v>350</v>
      </c>
      <c r="J383" s="7"/>
      <c r="K383" s="7"/>
      <c r="L383" s="7" t="s">
        <v>6148</v>
      </c>
      <c r="M383" s="7"/>
      <c r="N383" s="7" t="s">
        <v>269</v>
      </c>
      <c r="O383" s="7" t="s">
        <v>6273</v>
      </c>
    </row>
    <row r="384" customFormat="false" ht="15" hidden="false" customHeight="false" outlineLevel="0" collapsed="false">
      <c r="A384" s="7" t="s">
        <v>6274</v>
      </c>
      <c r="B384" s="7" t="s">
        <v>30</v>
      </c>
      <c r="C384" s="7" t="s">
        <v>6275</v>
      </c>
      <c r="D384" s="7" t="s">
        <v>6276</v>
      </c>
      <c r="E384" s="7" t="s">
        <v>105</v>
      </c>
      <c r="F384" s="7" t="s">
        <v>6277</v>
      </c>
      <c r="G384" s="7" t="s">
        <v>68</v>
      </c>
      <c r="H384" s="10" t="n">
        <v>2500</v>
      </c>
      <c r="I384" s="7" t="s">
        <v>3239</v>
      </c>
      <c r="J384" s="7"/>
      <c r="K384" s="7" t="s">
        <v>6278</v>
      </c>
      <c r="L384" s="7" t="s">
        <v>6148</v>
      </c>
      <c r="M384" s="7"/>
      <c r="N384" s="7" t="s">
        <v>6279</v>
      </c>
      <c r="O384" s="7" t="s">
        <v>6280</v>
      </c>
    </row>
    <row r="385" customFormat="false" ht="15" hidden="false" customHeight="false" outlineLevel="0" collapsed="false">
      <c r="A385" s="7" t="s">
        <v>6281</v>
      </c>
      <c r="B385" s="7" t="s">
        <v>30</v>
      </c>
      <c r="C385" s="7" t="s">
        <v>6282</v>
      </c>
      <c r="D385" s="7" t="s">
        <v>6283</v>
      </c>
      <c r="E385" s="7" t="s">
        <v>480</v>
      </c>
      <c r="F385" s="7" t="s">
        <v>6284</v>
      </c>
      <c r="G385" s="7" t="s">
        <v>68</v>
      </c>
      <c r="H385" s="10" t="n">
        <v>3000</v>
      </c>
      <c r="I385" s="7" t="s">
        <v>69</v>
      </c>
      <c r="J385" s="7" t="s">
        <v>1330</v>
      </c>
      <c r="K385" s="7" t="s">
        <v>6285</v>
      </c>
      <c r="L385" s="7" t="s">
        <v>3241</v>
      </c>
      <c r="M385" s="7"/>
      <c r="N385" s="7" t="s">
        <v>269</v>
      </c>
      <c r="O385" s="7" t="s">
        <v>6286</v>
      </c>
    </row>
    <row r="386" customFormat="false" ht="15" hidden="false" customHeight="false" outlineLevel="0" collapsed="false">
      <c r="A386" s="7" t="s">
        <v>6287</v>
      </c>
      <c r="B386" s="7" t="s">
        <v>30</v>
      </c>
      <c r="C386" s="7" t="s">
        <v>6288</v>
      </c>
      <c r="D386" s="7" t="s">
        <v>6289</v>
      </c>
      <c r="E386" s="7" t="s">
        <v>163</v>
      </c>
      <c r="F386" s="7" t="s">
        <v>6290</v>
      </c>
      <c r="G386" s="7" t="s">
        <v>68</v>
      </c>
      <c r="H386" s="10" t="n">
        <v>3500</v>
      </c>
      <c r="I386" s="7" t="s">
        <v>3239</v>
      </c>
      <c r="J386" s="7"/>
      <c r="K386" s="7" t="s">
        <v>6291</v>
      </c>
      <c r="L386" s="7" t="s">
        <v>6118</v>
      </c>
      <c r="M386" s="7"/>
      <c r="N386" s="7" t="s">
        <v>6292</v>
      </c>
      <c r="O386" s="7" t="s">
        <v>6293</v>
      </c>
    </row>
    <row r="387" customFormat="false" ht="15" hidden="false" customHeight="false" outlineLevel="0" collapsed="false">
      <c r="A387" s="7" t="s">
        <v>6294</v>
      </c>
      <c r="B387" s="7" t="s">
        <v>30</v>
      </c>
      <c r="C387" s="7" t="s">
        <v>6295</v>
      </c>
      <c r="D387" s="7" t="s">
        <v>1395</v>
      </c>
      <c r="E387" s="7" t="s">
        <v>105</v>
      </c>
      <c r="F387" s="7" t="s">
        <v>6296</v>
      </c>
      <c r="G387" s="7" t="s">
        <v>68</v>
      </c>
      <c r="H387" s="10" t="n">
        <v>1500</v>
      </c>
      <c r="I387" s="7" t="s">
        <v>3239</v>
      </c>
      <c r="J387" s="7"/>
      <c r="K387" s="7" t="s">
        <v>6297</v>
      </c>
      <c r="L387" s="7" t="s">
        <v>3241</v>
      </c>
      <c r="M387" s="7"/>
      <c r="N387" s="7" t="s">
        <v>6298</v>
      </c>
      <c r="O387" s="7" t="s">
        <v>6299</v>
      </c>
    </row>
    <row r="388" customFormat="false" ht="15" hidden="false" customHeight="false" outlineLevel="0" collapsed="false">
      <c r="A388" s="7" t="s">
        <v>6300</v>
      </c>
      <c r="B388" s="7" t="s">
        <v>30</v>
      </c>
      <c r="C388" s="7" t="s">
        <v>6301</v>
      </c>
      <c r="D388" s="7" t="s">
        <v>6302</v>
      </c>
      <c r="E388" s="7" t="s">
        <v>155</v>
      </c>
      <c r="F388" s="7" t="s">
        <v>6303</v>
      </c>
      <c r="G388" s="7" t="s">
        <v>68</v>
      </c>
      <c r="H388" s="10" t="n">
        <v>1200</v>
      </c>
      <c r="I388" s="7" t="s">
        <v>3239</v>
      </c>
      <c r="J388" s="7"/>
      <c r="K388" s="7"/>
      <c r="L388" s="7" t="s">
        <v>3224</v>
      </c>
      <c r="M388" s="7"/>
      <c r="N388" s="7" t="s">
        <v>269</v>
      </c>
      <c r="O388" s="7" t="s">
        <v>6304</v>
      </c>
    </row>
    <row r="389" customFormat="false" ht="15" hidden="false" customHeight="false" outlineLevel="0" collapsed="false">
      <c r="A389" s="7" t="s">
        <v>6305</v>
      </c>
      <c r="B389" s="7" t="s">
        <v>30</v>
      </c>
      <c r="C389" s="7" t="s">
        <v>6306</v>
      </c>
      <c r="D389" s="7" t="s">
        <v>3073</v>
      </c>
      <c r="E389" s="7" t="s">
        <v>172</v>
      </c>
      <c r="F389" s="7" t="s">
        <v>6307</v>
      </c>
      <c r="G389" s="7" t="s">
        <v>68</v>
      </c>
      <c r="H389" s="10" t="n">
        <v>3000</v>
      </c>
      <c r="I389" s="7" t="s">
        <v>3239</v>
      </c>
      <c r="J389" s="7"/>
      <c r="K389" s="7" t="s">
        <v>6308</v>
      </c>
      <c r="L389" s="7" t="s">
        <v>3241</v>
      </c>
      <c r="M389" s="7"/>
      <c r="N389" s="7" t="s">
        <v>6309</v>
      </c>
      <c r="O389" s="7" t="s">
        <v>6310</v>
      </c>
    </row>
    <row r="390" customFormat="false" ht="15" hidden="false" customHeight="false" outlineLevel="0" collapsed="false">
      <c r="A390" s="7" t="s">
        <v>6311</v>
      </c>
      <c r="B390" s="7" t="s">
        <v>30</v>
      </c>
      <c r="C390" s="7" t="s">
        <v>6312</v>
      </c>
      <c r="D390" s="7" t="s">
        <v>6313</v>
      </c>
      <c r="E390" s="7" t="s">
        <v>137</v>
      </c>
      <c r="F390" s="7" t="s">
        <v>6314</v>
      </c>
      <c r="G390" s="7" t="s">
        <v>68</v>
      </c>
      <c r="H390" s="10" t="n">
        <v>2000</v>
      </c>
      <c r="I390" s="7" t="s">
        <v>3239</v>
      </c>
      <c r="J390" s="7"/>
      <c r="K390" s="7" t="s">
        <v>6315</v>
      </c>
      <c r="L390" s="7" t="s">
        <v>6316</v>
      </c>
      <c r="M390" s="7"/>
      <c r="N390" s="7" t="s">
        <v>6317</v>
      </c>
      <c r="O390" s="7" t="s">
        <v>6139</v>
      </c>
    </row>
    <row r="391" customFormat="false" ht="15" hidden="false" customHeight="false" outlineLevel="0" collapsed="false">
      <c r="A391" s="7" t="s">
        <v>6318</v>
      </c>
      <c r="B391" s="7" t="s">
        <v>30</v>
      </c>
      <c r="C391" s="7" t="s">
        <v>6319</v>
      </c>
      <c r="D391" s="7" t="s">
        <v>6320</v>
      </c>
      <c r="E391" s="7" t="s">
        <v>338</v>
      </c>
      <c r="F391" s="7" t="s">
        <v>6321</v>
      </c>
      <c r="G391" s="7" t="s">
        <v>68</v>
      </c>
      <c r="H391" s="10" t="n">
        <v>1400</v>
      </c>
      <c r="I391" s="7" t="s">
        <v>69</v>
      </c>
      <c r="J391" s="7" t="s">
        <v>6322</v>
      </c>
      <c r="K391" s="7" t="s">
        <v>6323</v>
      </c>
      <c r="L391" s="7" t="s">
        <v>3224</v>
      </c>
      <c r="M391" s="7"/>
      <c r="N391" s="7" t="s">
        <v>6324</v>
      </c>
      <c r="O391" s="7" t="s">
        <v>6325</v>
      </c>
    </row>
    <row r="392" customFormat="false" ht="15" hidden="false" customHeight="false" outlineLevel="0" collapsed="false">
      <c r="A392" s="7" t="s">
        <v>6326</v>
      </c>
      <c r="B392" s="7" t="s">
        <v>30</v>
      </c>
      <c r="C392" s="7" t="s">
        <v>6327</v>
      </c>
      <c r="D392" s="7" t="s">
        <v>6328</v>
      </c>
      <c r="E392" s="7" t="s">
        <v>155</v>
      </c>
      <c r="F392" s="7" t="s">
        <v>6329</v>
      </c>
      <c r="G392" s="7" t="s">
        <v>68</v>
      </c>
      <c r="H392" s="10"/>
      <c r="I392" s="7" t="s">
        <v>69</v>
      </c>
      <c r="J392" s="7" t="s">
        <v>6330</v>
      </c>
      <c r="K392" s="7"/>
      <c r="L392" s="7" t="s">
        <v>3241</v>
      </c>
      <c r="M392" s="7"/>
      <c r="N392" s="7" t="s">
        <v>6331</v>
      </c>
      <c r="O392" s="7" t="s">
        <v>6332</v>
      </c>
    </row>
    <row r="393" customFormat="false" ht="15" hidden="false" customHeight="false" outlineLevel="0" collapsed="false">
      <c r="A393" s="7" t="s">
        <v>6333</v>
      </c>
      <c r="B393" s="7" t="s">
        <v>30</v>
      </c>
      <c r="C393" s="7" t="s">
        <v>6334</v>
      </c>
      <c r="D393" s="7" t="s">
        <v>5338</v>
      </c>
      <c r="E393" s="7" t="s">
        <v>105</v>
      </c>
      <c r="F393" s="7" t="s">
        <v>6335</v>
      </c>
      <c r="G393" s="7" t="s">
        <v>68</v>
      </c>
      <c r="H393" s="10" t="n">
        <v>3000</v>
      </c>
      <c r="I393" s="7" t="s">
        <v>377</v>
      </c>
      <c r="J393" s="7"/>
      <c r="K393" s="7" t="s">
        <v>6336</v>
      </c>
      <c r="L393" s="7" t="s">
        <v>3241</v>
      </c>
      <c r="M393" s="7"/>
      <c r="N393" s="7" t="s">
        <v>6337</v>
      </c>
      <c r="O393" s="7" t="s">
        <v>6338</v>
      </c>
    </row>
    <row r="394" customFormat="false" ht="15" hidden="false" customHeight="false" outlineLevel="0" collapsed="false">
      <c r="A394" s="7" t="s">
        <v>6339</v>
      </c>
      <c r="B394" s="7" t="s">
        <v>30</v>
      </c>
      <c r="C394" s="7" t="s">
        <v>6340</v>
      </c>
      <c r="D394" s="7" t="s">
        <v>6341</v>
      </c>
      <c r="E394" s="7" t="s">
        <v>338</v>
      </c>
      <c r="F394" s="7" t="s">
        <v>6342</v>
      </c>
      <c r="G394" s="7" t="s">
        <v>149</v>
      </c>
      <c r="H394" s="10" t="n">
        <v>1500</v>
      </c>
      <c r="I394" s="7" t="s">
        <v>377</v>
      </c>
      <c r="J394" s="7"/>
      <c r="K394" s="7" t="s">
        <v>6343</v>
      </c>
      <c r="L394" s="7" t="s">
        <v>6148</v>
      </c>
      <c r="M394" s="7"/>
      <c r="N394" s="7" t="s">
        <v>6344</v>
      </c>
      <c r="O394" s="7" t="s">
        <v>6345</v>
      </c>
    </row>
    <row r="395" customFormat="false" ht="15" hidden="false" customHeight="false" outlineLevel="0" collapsed="false">
      <c r="A395" s="7" t="s">
        <v>6346</v>
      </c>
      <c r="B395" s="7" t="s">
        <v>30</v>
      </c>
      <c r="C395" s="7" t="s">
        <v>6347</v>
      </c>
      <c r="D395" s="7" t="s">
        <v>6348</v>
      </c>
      <c r="E395" s="7" t="s">
        <v>137</v>
      </c>
      <c r="F395" s="7" t="s">
        <v>6349</v>
      </c>
      <c r="G395" s="7" t="s">
        <v>149</v>
      </c>
      <c r="H395" s="10" t="n">
        <v>2000</v>
      </c>
      <c r="I395" s="7" t="s">
        <v>3239</v>
      </c>
      <c r="J395" s="7"/>
      <c r="K395" s="7"/>
      <c r="L395" s="7" t="s">
        <v>6350</v>
      </c>
      <c r="M395" s="7"/>
      <c r="N395" s="7" t="s">
        <v>6225</v>
      </c>
      <c r="O395" s="7" t="s">
        <v>6351</v>
      </c>
    </row>
    <row r="396" customFormat="false" ht="15" hidden="false" customHeight="false" outlineLevel="0" collapsed="false">
      <c r="A396" s="7" t="s">
        <v>6352</v>
      </c>
      <c r="B396" s="7" t="s">
        <v>30</v>
      </c>
      <c r="C396" s="7" t="s">
        <v>6353</v>
      </c>
      <c r="D396" s="7" t="s">
        <v>6354</v>
      </c>
      <c r="E396" s="7" t="s">
        <v>105</v>
      </c>
      <c r="F396" s="7" t="s">
        <v>6355</v>
      </c>
      <c r="G396" s="7" t="s">
        <v>149</v>
      </c>
      <c r="H396" s="10" t="n">
        <v>1500</v>
      </c>
      <c r="I396" s="7" t="s">
        <v>3239</v>
      </c>
      <c r="J396" s="7"/>
      <c r="K396" s="7" t="s">
        <v>6356</v>
      </c>
      <c r="L396" s="7" t="s">
        <v>3241</v>
      </c>
      <c r="M396" s="7"/>
      <c r="N396" s="7" t="s">
        <v>269</v>
      </c>
      <c r="O396" s="7" t="s">
        <v>6357</v>
      </c>
    </row>
    <row r="397" customFormat="false" ht="15" hidden="false" customHeight="false" outlineLevel="0" collapsed="false">
      <c r="A397" s="7" t="s">
        <v>6358</v>
      </c>
      <c r="B397" s="7" t="s">
        <v>30</v>
      </c>
      <c r="C397" s="7" t="s">
        <v>6359</v>
      </c>
      <c r="D397" s="7" t="s">
        <v>835</v>
      </c>
      <c r="E397" s="7" t="s">
        <v>338</v>
      </c>
      <c r="F397" s="7" t="s">
        <v>6360</v>
      </c>
      <c r="G397" s="7" t="s">
        <v>149</v>
      </c>
      <c r="H397" s="10" t="n">
        <v>1200</v>
      </c>
      <c r="I397" s="7" t="s">
        <v>350</v>
      </c>
      <c r="J397" s="7"/>
      <c r="K397" s="7"/>
      <c r="L397" s="7" t="s">
        <v>3224</v>
      </c>
      <c r="M397" s="7"/>
      <c r="N397" s="7" t="s">
        <v>269</v>
      </c>
      <c r="O397" s="7" t="s">
        <v>6361</v>
      </c>
    </row>
    <row r="398" customFormat="false" ht="15" hidden="false" customHeight="false" outlineLevel="0" collapsed="false">
      <c r="A398" s="7" t="s">
        <v>6362</v>
      </c>
      <c r="B398" s="7" t="s">
        <v>30</v>
      </c>
      <c r="C398" s="7" t="s">
        <v>6363</v>
      </c>
      <c r="D398" s="7" t="s">
        <v>4640</v>
      </c>
      <c r="E398" s="7" t="s">
        <v>163</v>
      </c>
      <c r="F398" s="7" t="s">
        <v>6364</v>
      </c>
      <c r="G398" s="7" t="s">
        <v>149</v>
      </c>
      <c r="H398" s="10" t="n">
        <v>1500</v>
      </c>
      <c r="I398" s="7" t="s">
        <v>3239</v>
      </c>
      <c r="J398" s="7"/>
      <c r="K398" s="7" t="s">
        <v>6365</v>
      </c>
      <c r="L398" s="7" t="s">
        <v>6366</v>
      </c>
      <c r="M398" s="7"/>
      <c r="N398" s="7" t="s">
        <v>6367</v>
      </c>
      <c r="O398" s="7" t="s">
        <v>6368</v>
      </c>
    </row>
    <row r="399" customFormat="false" ht="15" hidden="false" customHeight="false" outlineLevel="0" collapsed="false">
      <c r="A399" s="7" t="s">
        <v>6369</v>
      </c>
      <c r="B399" s="7" t="s">
        <v>30</v>
      </c>
      <c r="C399" s="7" t="s">
        <v>6370</v>
      </c>
      <c r="D399" s="7" t="s">
        <v>6371</v>
      </c>
      <c r="E399" s="7" t="s">
        <v>250</v>
      </c>
      <c r="F399" s="7" t="s">
        <v>6372</v>
      </c>
      <c r="G399" s="7" t="s">
        <v>149</v>
      </c>
      <c r="H399" s="10" t="n">
        <v>1900</v>
      </c>
      <c r="I399" s="7" t="s">
        <v>377</v>
      </c>
      <c r="J399" s="7"/>
      <c r="K399" s="7" t="s">
        <v>6373</v>
      </c>
      <c r="L399" s="7" t="s">
        <v>4282</v>
      </c>
      <c r="M399" s="7"/>
      <c r="N399" s="7" t="s">
        <v>6374</v>
      </c>
      <c r="O399" s="7" t="s">
        <v>6375</v>
      </c>
    </row>
    <row r="400" customFormat="false" ht="15" hidden="false" customHeight="false" outlineLevel="0" collapsed="false">
      <c r="A400" s="7" t="s">
        <v>6376</v>
      </c>
      <c r="B400" s="7" t="s">
        <v>30</v>
      </c>
      <c r="C400" s="7" t="s">
        <v>6377</v>
      </c>
      <c r="D400" s="7" t="s">
        <v>6378</v>
      </c>
      <c r="E400" s="7" t="s">
        <v>338</v>
      </c>
      <c r="F400" s="7" t="s">
        <v>6379</v>
      </c>
      <c r="G400" s="7" t="s">
        <v>149</v>
      </c>
      <c r="H400" s="10" t="n">
        <v>900</v>
      </c>
      <c r="I400" s="7" t="s">
        <v>3239</v>
      </c>
      <c r="J400" s="7"/>
      <c r="K400" s="7" t="s">
        <v>6380</v>
      </c>
      <c r="L400" s="7" t="s">
        <v>3224</v>
      </c>
      <c r="M400" s="7"/>
      <c r="N400" s="7" t="s">
        <v>269</v>
      </c>
      <c r="O400" s="7" t="s">
        <v>6381</v>
      </c>
    </row>
    <row r="401" customFormat="false" ht="15" hidden="false" customHeight="false" outlineLevel="0" collapsed="false">
      <c r="A401" s="7" t="s">
        <v>6382</v>
      </c>
      <c r="B401" s="7" t="s">
        <v>30</v>
      </c>
      <c r="C401" s="7" t="s">
        <v>6383</v>
      </c>
      <c r="D401" s="7" t="s">
        <v>713</v>
      </c>
      <c r="E401" s="7" t="s">
        <v>155</v>
      </c>
      <c r="F401" s="7" t="s">
        <v>6384</v>
      </c>
      <c r="G401" s="7" t="s">
        <v>149</v>
      </c>
      <c r="H401" s="10" t="n">
        <v>900</v>
      </c>
      <c r="I401" s="7" t="s">
        <v>350</v>
      </c>
      <c r="J401" s="7"/>
      <c r="K401" s="7"/>
      <c r="L401" s="7" t="s">
        <v>3224</v>
      </c>
      <c r="M401" s="7"/>
      <c r="N401" s="7" t="s">
        <v>6385</v>
      </c>
      <c r="O401" s="7" t="s">
        <v>6386</v>
      </c>
    </row>
    <row r="402" customFormat="false" ht="15" hidden="false" customHeight="false" outlineLevel="0" collapsed="false">
      <c r="A402" s="7" t="s">
        <v>6387</v>
      </c>
      <c r="B402" s="7" t="s">
        <v>30</v>
      </c>
      <c r="C402" s="7" t="s">
        <v>6388</v>
      </c>
      <c r="D402" s="7" t="s">
        <v>6389</v>
      </c>
      <c r="E402" s="7" t="s">
        <v>338</v>
      </c>
      <c r="F402" s="7" t="s">
        <v>6390</v>
      </c>
      <c r="G402" s="7" t="s">
        <v>149</v>
      </c>
      <c r="H402" s="10" t="n">
        <v>1200</v>
      </c>
      <c r="I402" s="7" t="s">
        <v>350</v>
      </c>
      <c r="J402" s="7"/>
      <c r="K402" s="7" t="s">
        <v>6391</v>
      </c>
      <c r="L402" s="7" t="s">
        <v>6137</v>
      </c>
      <c r="M402" s="7"/>
      <c r="N402" s="7" t="s">
        <v>269</v>
      </c>
      <c r="O402" s="7" t="s">
        <v>6392</v>
      </c>
    </row>
    <row r="403" customFormat="false" ht="15" hidden="false" customHeight="false" outlineLevel="0" collapsed="false">
      <c r="A403" s="7" t="s">
        <v>6393</v>
      </c>
      <c r="B403" s="7" t="s">
        <v>30</v>
      </c>
      <c r="C403" s="7" t="s">
        <v>6394</v>
      </c>
      <c r="D403" s="7" t="s">
        <v>6395</v>
      </c>
      <c r="E403" s="7" t="s">
        <v>338</v>
      </c>
      <c r="F403" s="7" t="s">
        <v>6396</v>
      </c>
      <c r="G403" s="7" t="s">
        <v>149</v>
      </c>
      <c r="H403" s="10" t="n">
        <v>1500</v>
      </c>
      <c r="I403" s="7" t="s">
        <v>3239</v>
      </c>
      <c r="J403" s="7"/>
      <c r="K403" s="7" t="s">
        <v>6397</v>
      </c>
      <c r="L403" s="7" t="s">
        <v>3241</v>
      </c>
      <c r="M403" s="7"/>
      <c r="N403" s="7" t="s">
        <v>269</v>
      </c>
      <c r="O403" s="7" t="s">
        <v>6398</v>
      </c>
    </row>
    <row r="404" customFormat="false" ht="15" hidden="false" customHeight="false" outlineLevel="0" collapsed="false">
      <c r="A404" s="7" t="s">
        <v>6399</v>
      </c>
      <c r="B404" s="7" t="s">
        <v>30</v>
      </c>
      <c r="C404" s="7" t="s">
        <v>6400</v>
      </c>
      <c r="D404" s="7" t="s">
        <v>6401</v>
      </c>
      <c r="E404" s="7" t="s">
        <v>137</v>
      </c>
      <c r="F404" s="7" t="s">
        <v>6402</v>
      </c>
      <c r="G404" s="7" t="s">
        <v>149</v>
      </c>
      <c r="H404" s="10" t="n">
        <v>1500</v>
      </c>
      <c r="I404" s="7" t="s">
        <v>69</v>
      </c>
      <c r="J404" s="7" t="s">
        <v>6403</v>
      </c>
      <c r="K404" s="7" t="s">
        <v>6404</v>
      </c>
      <c r="L404" s="7" t="s">
        <v>3241</v>
      </c>
      <c r="M404" s="7"/>
      <c r="N404" s="7" t="s">
        <v>6405</v>
      </c>
      <c r="O404" s="7" t="s">
        <v>6406</v>
      </c>
    </row>
    <row r="405" customFormat="false" ht="15" hidden="false" customHeight="false" outlineLevel="0" collapsed="false">
      <c r="A405" s="7" t="s">
        <v>6407</v>
      </c>
      <c r="B405" s="7" t="s">
        <v>30</v>
      </c>
      <c r="C405" s="7" t="s">
        <v>6408</v>
      </c>
      <c r="D405" s="7" t="s">
        <v>6409</v>
      </c>
      <c r="E405" s="7" t="s">
        <v>137</v>
      </c>
      <c r="F405" s="7" t="s">
        <v>6410</v>
      </c>
      <c r="G405" s="7" t="s">
        <v>149</v>
      </c>
      <c r="H405" s="10" t="n">
        <v>1500</v>
      </c>
      <c r="I405" s="7" t="s">
        <v>3239</v>
      </c>
      <c r="J405" s="7"/>
      <c r="K405" s="7" t="s">
        <v>6411</v>
      </c>
      <c r="L405" s="7" t="s">
        <v>3224</v>
      </c>
      <c r="M405" s="7"/>
      <c r="N405" s="7" t="s">
        <v>6412</v>
      </c>
      <c r="O405" s="7" t="s">
        <v>6139</v>
      </c>
    </row>
    <row r="406" customFormat="false" ht="15" hidden="false" customHeight="false" outlineLevel="0" collapsed="false">
      <c r="A406" s="7" t="s">
        <v>6413</v>
      </c>
      <c r="B406" s="7" t="s">
        <v>30</v>
      </c>
      <c r="C406" s="7" t="s">
        <v>6414</v>
      </c>
      <c r="D406" s="7" t="s">
        <v>6415</v>
      </c>
      <c r="E406" s="7" t="s">
        <v>338</v>
      </c>
      <c r="F406" s="7" t="s">
        <v>6416</v>
      </c>
      <c r="G406" s="7" t="s">
        <v>149</v>
      </c>
      <c r="H406" s="10" t="n">
        <v>400</v>
      </c>
      <c r="I406" s="7" t="s">
        <v>350</v>
      </c>
      <c r="J406" s="7"/>
      <c r="K406" s="7"/>
      <c r="L406" s="7" t="s">
        <v>6417</v>
      </c>
      <c r="M406" s="7"/>
      <c r="N406" s="7" t="s">
        <v>6418</v>
      </c>
      <c r="O406" s="7" t="s">
        <v>6419</v>
      </c>
    </row>
    <row r="407" customFormat="false" ht="15" hidden="false" customHeight="false" outlineLevel="0" collapsed="false">
      <c r="A407" s="7" t="s">
        <v>6420</v>
      </c>
      <c r="B407" s="7" t="s">
        <v>30</v>
      </c>
      <c r="C407" s="7" t="s">
        <v>6421</v>
      </c>
      <c r="D407" s="7" t="s">
        <v>6422</v>
      </c>
      <c r="E407" s="7" t="s">
        <v>338</v>
      </c>
      <c r="F407" s="7" t="s">
        <v>6423</v>
      </c>
      <c r="G407" s="7" t="s">
        <v>149</v>
      </c>
      <c r="H407" s="10" t="n">
        <v>1500</v>
      </c>
      <c r="I407" s="7" t="s">
        <v>3239</v>
      </c>
      <c r="J407" s="7"/>
      <c r="K407" s="7" t="s">
        <v>6424</v>
      </c>
      <c r="L407" s="7" t="s">
        <v>6137</v>
      </c>
      <c r="M407" s="7"/>
      <c r="N407" s="7" t="s">
        <v>269</v>
      </c>
      <c r="O407" s="7" t="s">
        <v>6425</v>
      </c>
    </row>
    <row r="408" customFormat="false" ht="15" hidden="false" customHeight="false" outlineLevel="0" collapsed="false">
      <c r="A408" s="7" t="s">
        <v>6426</v>
      </c>
      <c r="B408" s="7" t="s">
        <v>30</v>
      </c>
      <c r="C408" s="7" t="s">
        <v>6427</v>
      </c>
      <c r="D408" s="7" t="s">
        <v>3073</v>
      </c>
      <c r="E408" s="7" t="s">
        <v>172</v>
      </c>
      <c r="F408" s="7" t="s">
        <v>6428</v>
      </c>
      <c r="G408" s="7" t="s">
        <v>149</v>
      </c>
      <c r="H408" s="10" t="n">
        <v>1500</v>
      </c>
      <c r="I408" s="7" t="s">
        <v>3239</v>
      </c>
      <c r="J408" s="7"/>
      <c r="K408" s="7" t="s">
        <v>6429</v>
      </c>
      <c r="L408" s="7" t="s">
        <v>6350</v>
      </c>
      <c r="M408" s="7"/>
      <c r="N408" s="7" t="s">
        <v>6430</v>
      </c>
      <c r="O408" s="7" t="s">
        <v>6431</v>
      </c>
    </row>
    <row r="409" customFormat="false" ht="15" hidden="false" customHeight="false" outlineLevel="0" collapsed="false">
      <c r="A409" s="7" t="s">
        <v>6432</v>
      </c>
      <c r="B409" s="7" t="s">
        <v>30</v>
      </c>
      <c r="C409" s="7" t="s">
        <v>6433</v>
      </c>
      <c r="D409" s="7" t="s">
        <v>136</v>
      </c>
      <c r="E409" s="7" t="s">
        <v>137</v>
      </c>
      <c r="F409" s="7" t="s">
        <v>6434</v>
      </c>
      <c r="G409" s="7" t="s">
        <v>149</v>
      </c>
      <c r="H409" s="10" t="n">
        <v>1000</v>
      </c>
      <c r="I409" s="7" t="s">
        <v>3239</v>
      </c>
      <c r="J409" s="7"/>
      <c r="K409" s="7" t="s">
        <v>6435</v>
      </c>
      <c r="L409" s="7" t="s">
        <v>6137</v>
      </c>
      <c r="M409" s="7"/>
      <c r="N409" s="7" t="s">
        <v>6436</v>
      </c>
      <c r="O409" s="7" t="s">
        <v>6139</v>
      </c>
    </row>
    <row r="410" customFormat="false" ht="15" hidden="false" customHeight="false" outlineLevel="0" collapsed="false">
      <c r="A410" s="7" t="s">
        <v>6437</v>
      </c>
      <c r="B410" s="7" t="s">
        <v>30</v>
      </c>
      <c r="C410" s="7" t="s">
        <v>6438</v>
      </c>
      <c r="D410" s="7" t="s">
        <v>4640</v>
      </c>
      <c r="E410" s="7" t="s">
        <v>163</v>
      </c>
      <c r="F410" s="7" t="s">
        <v>6439</v>
      </c>
      <c r="G410" s="7" t="s">
        <v>149</v>
      </c>
      <c r="H410" s="10" t="n">
        <v>1200</v>
      </c>
      <c r="I410" s="7" t="s">
        <v>3239</v>
      </c>
      <c r="J410" s="7"/>
      <c r="K410" s="7"/>
      <c r="L410" s="7" t="s">
        <v>6350</v>
      </c>
      <c r="M410" s="7"/>
      <c r="N410" s="7" t="s">
        <v>6225</v>
      </c>
      <c r="O410" s="7" t="s">
        <v>6440</v>
      </c>
    </row>
    <row r="411" customFormat="false" ht="15" hidden="false" customHeight="false" outlineLevel="0" collapsed="false">
      <c r="A411" s="7" t="s">
        <v>6441</v>
      </c>
      <c r="B411" s="7" t="s">
        <v>30</v>
      </c>
      <c r="C411" s="7" t="s">
        <v>6442</v>
      </c>
      <c r="D411" s="7" t="s">
        <v>6443</v>
      </c>
      <c r="E411" s="7" t="s">
        <v>163</v>
      </c>
      <c r="F411" s="7" t="s">
        <v>6444</v>
      </c>
      <c r="G411" s="7" t="s">
        <v>149</v>
      </c>
      <c r="H411" s="10" t="n">
        <v>1000</v>
      </c>
      <c r="I411" s="7" t="s">
        <v>350</v>
      </c>
      <c r="J411" s="7"/>
      <c r="K411" s="7" t="s">
        <v>6445</v>
      </c>
      <c r="L411" s="7" t="s">
        <v>6137</v>
      </c>
      <c r="M411" s="7"/>
      <c r="N411" s="7" t="s">
        <v>6446</v>
      </c>
      <c r="O411" s="7" t="s">
        <v>6447</v>
      </c>
    </row>
    <row r="412" customFormat="false" ht="15" hidden="false" customHeight="false" outlineLevel="0" collapsed="false">
      <c r="A412" s="7" t="s">
        <v>6448</v>
      </c>
      <c r="B412" s="7" t="s">
        <v>30</v>
      </c>
      <c r="C412" s="7" t="s">
        <v>6449</v>
      </c>
      <c r="D412" s="7" t="s">
        <v>6450</v>
      </c>
      <c r="E412" s="7" t="s">
        <v>779</v>
      </c>
      <c r="F412" s="7" t="s">
        <v>6451</v>
      </c>
      <c r="G412" s="7" t="s">
        <v>149</v>
      </c>
      <c r="H412" s="10" t="n">
        <v>1500</v>
      </c>
      <c r="I412" s="7" t="s">
        <v>69</v>
      </c>
      <c r="J412" s="7" t="s">
        <v>1756</v>
      </c>
      <c r="K412" s="7"/>
      <c r="L412" s="7" t="s">
        <v>4282</v>
      </c>
      <c r="M412" s="7"/>
      <c r="N412" s="7" t="s">
        <v>6452</v>
      </c>
      <c r="O412" s="7" t="s">
        <v>6453</v>
      </c>
    </row>
    <row r="413" customFormat="false" ht="15" hidden="false" customHeight="false" outlineLevel="0" collapsed="false">
      <c r="A413" s="7" t="s">
        <v>6454</v>
      </c>
      <c r="B413" s="7" t="s">
        <v>30</v>
      </c>
      <c r="C413" s="7" t="s">
        <v>6455</v>
      </c>
      <c r="D413" s="7" t="s">
        <v>6456</v>
      </c>
      <c r="E413" s="7" t="s">
        <v>172</v>
      </c>
      <c r="F413" s="7" t="s">
        <v>6457</v>
      </c>
      <c r="G413" s="7" t="s">
        <v>149</v>
      </c>
      <c r="H413" s="10" t="n">
        <v>1800</v>
      </c>
      <c r="I413" s="7" t="s">
        <v>3239</v>
      </c>
      <c r="J413" s="7"/>
      <c r="K413" s="7" t="s">
        <v>6458</v>
      </c>
      <c r="L413" s="7" t="s">
        <v>3241</v>
      </c>
      <c r="M413" s="7"/>
      <c r="N413" s="7" t="s">
        <v>6459</v>
      </c>
      <c r="O413" s="7" t="s">
        <v>6460</v>
      </c>
    </row>
    <row r="414" customFormat="false" ht="15" hidden="false" customHeight="false" outlineLevel="0" collapsed="false">
      <c r="A414" s="7" t="s">
        <v>6461</v>
      </c>
      <c r="B414" s="7" t="s">
        <v>30</v>
      </c>
      <c r="C414" s="7" t="s">
        <v>6462</v>
      </c>
      <c r="D414" s="7" t="s">
        <v>6463</v>
      </c>
      <c r="E414" s="7" t="s">
        <v>137</v>
      </c>
      <c r="F414" s="7" t="s">
        <v>6464</v>
      </c>
      <c r="G414" s="7" t="s">
        <v>149</v>
      </c>
      <c r="H414" s="10" t="n">
        <v>600</v>
      </c>
      <c r="I414" s="7" t="s">
        <v>69</v>
      </c>
      <c r="J414" s="7" t="s">
        <v>1489</v>
      </c>
      <c r="K414" s="7"/>
      <c r="L414" s="7" t="s">
        <v>6137</v>
      </c>
      <c r="M414" s="7"/>
      <c r="N414" s="7" t="s">
        <v>6465</v>
      </c>
      <c r="O414" s="7" t="s">
        <v>6139</v>
      </c>
    </row>
    <row r="415" customFormat="false" ht="15" hidden="false" customHeight="false" outlineLevel="0" collapsed="false">
      <c r="A415" s="7" t="s">
        <v>6466</v>
      </c>
      <c r="B415" s="7" t="s">
        <v>30</v>
      </c>
      <c r="C415" s="7" t="s">
        <v>6467</v>
      </c>
      <c r="D415" s="7" t="s">
        <v>4280</v>
      </c>
      <c r="E415" s="7" t="s">
        <v>172</v>
      </c>
      <c r="F415" s="7" t="s">
        <v>6468</v>
      </c>
      <c r="G415" s="7" t="s">
        <v>149</v>
      </c>
      <c r="H415" s="10" t="n">
        <v>2500</v>
      </c>
      <c r="I415" s="7" t="s">
        <v>69</v>
      </c>
      <c r="J415" s="7" t="s">
        <v>6469</v>
      </c>
      <c r="K415" s="7"/>
      <c r="L415" s="7" t="s">
        <v>3224</v>
      </c>
      <c r="M415" s="7"/>
      <c r="N415" s="7" t="s">
        <v>6470</v>
      </c>
      <c r="O415" s="7" t="s">
        <v>6471</v>
      </c>
    </row>
    <row r="416" customFormat="false" ht="15" hidden="false" customHeight="false" outlineLevel="0" collapsed="false">
      <c r="A416" s="7" t="s">
        <v>6472</v>
      </c>
      <c r="B416" s="7" t="s">
        <v>30</v>
      </c>
      <c r="C416" s="7" t="s">
        <v>6473</v>
      </c>
      <c r="D416" s="7" t="s">
        <v>5158</v>
      </c>
      <c r="E416" s="7" t="s">
        <v>250</v>
      </c>
      <c r="F416" s="7" t="s">
        <v>6474</v>
      </c>
      <c r="G416" s="7" t="s">
        <v>149</v>
      </c>
      <c r="H416" s="10" t="n">
        <v>1500</v>
      </c>
      <c r="I416" s="7" t="s">
        <v>69</v>
      </c>
      <c r="J416" s="7" t="s">
        <v>865</v>
      </c>
      <c r="K416" s="7" t="s">
        <v>6475</v>
      </c>
      <c r="L416" s="7" t="s">
        <v>3224</v>
      </c>
      <c r="M416" s="7"/>
      <c r="N416" s="7" t="s">
        <v>6476</v>
      </c>
      <c r="O416" s="7" t="s">
        <v>6477</v>
      </c>
    </row>
    <row r="417" customFormat="false" ht="15" hidden="false" customHeight="false" outlineLevel="0" collapsed="false">
      <c r="A417" s="7" t="s">
        <v>6478</v>
      </c>
      <c r="B417" s="7" t="s">
        <v>30</v>
      </c>
      <c r="C417" s="7" t="s">
        <v>6427</v>
      </c>
      <c r="D417" s="7" t="s">
        <v>3545</v>
      </c>
      <c r="E417" s="7" t="s">
        <v>78</v>
      </c>
      <c r="F417" s="7" t="s">
        <v>6479</v>
      </c>
      <c r="G417" s="7" t="s">
        <v>149</v>
      </c>
      <c r="H417" s="10" t="n">
        <v>1200</v>
      </c>
      <c r="I417" s="7" t="s">
        <v>69</v>
      </c>
      <c r="J417" s="7" t="s">
        <v>6480</v>
      </c>
      <c r="K417" s="7"/>
      <c r="L417" s="7" t="s">
        <v>6224</v>
      </c>
      <c r="M417" s="7"/>
      <c r="N417" s="7" t="s">
        <v>6481</v>
      </c>
      <c r="O417" s="7" t="s">
        <v>6332</v>
      </c>
    </row>
    <row r="418" customFormat="false" ht="15" hidden="false" customHeight="false" outlineLevel="0" collapsed="false">
      <c r="A418" s="7" t="s">
        <v>6482</v>
      </c>
      <c r="B418" s="7" t="s">
        <v>30</v>
      </c>
      <c r="C418" s="7" t="s">
        <v>6483</v>
      </c>
      <c r="D418" s="7" t="s">
        <v>6484</v>
      </c>
      <c r="E418" s="7" t="s">
        <v>172</v>
      </c>
      <c r="F418" s="7" t="s">
        <v>6485</v>
      </c>
      <c r="G418" s="7" t="s">
        <v>149</v>
      </c>
      <c r="H418" s="10" t="n">
        <v>800</v>
      </c>
      <c r="I418" s="7" t="s">
        <v>3239</v>
      </c>
      <c r="J418" s="7"/>
      <c r="K418" s="7" t="s">
        <v>6486</v>
      </c>
      <c r="L418" s="7" t="s">
        <v>1222</v>
      </c>
      <c r="M418" s="7"/>
      <c r="N418" s="7" t="s">
        <v>6487</v>
      </c>
      <c r="O418" s="7" t="s">
        <v>6488</v>
      </c>
    </row>
    <row r="419" customFormat="false" ht="15" hidden="false" customHeight="false" outlineLevel="0" collapsed="false">
      <c r="A419" s="7" t="s">
        <v>6489</v>
      </c>
      <c r="B419" s="7" t="s">
        <v>30</v>
      </c>
      <c r="C419" s="7" t="s">
        <v>6490</v>
      </c>
      <c r="D419" s="7" t="s">
        <v>5580</v>
      </c>
      <c r="E419" s="7" t="s">
        <v>155</v>
      </c>
      <c r="F419" s="7" t="s">
        <v>6491</v>
      </c>
      <c r="G419" s="7" t="s">
        <v>149</v>
      </c>
      <c r="H419" s="10" t="n">
        <v>3000</v>
      </c>
      <c r="I419" s="7" t="s">
        <v>3239</v>
      </c>
      <c r="J419" s="7"/>
      <c r="K419" s="7" t="s">
        <v>6492</v>
      </c>
      <c r="L419" s="7" t="s">
        <v>3241</v>
      </c>
      <c r="M419" s="7"/>
      <c r="N419" s="7" t="s">
        <v>269</v>
      </c>
      <c r="O419" s="7" t="s">
        <v>6493</v>
      </c>
    </row>
    <row r="420" customFormat="false" ht="15" hidden="false" customHeight="false" outlineLevel="0" collapsed="false">
      <c r="A420" s="7" t="s">
        <v>6494</v>
      </c>
      <c r="B420" s="7" t="s">
        <v>30</v>
      </c>
      <c r="C420" s="7" t="s">
        <v>6495</v>
      </c>
      <c r="D420" s="7" t="s">
        <v>249</v>
      </c>
      <c r="E420" s="7" t="s">
        <v>250</v>
      </c>
      <c r="F420" s="7" t="s">
        <v>6496</v>
      </c>
      <c r="G420" s="7" t="s">
        <v>174</v>
      </c>
      <c r="H420" s="10" t="n">
        <v>632</v>
      </c>
      <c r="I420" s="7" t="s">
        <v>350</v>
      </c>
      <c r="J420" s="7"/>
      <c r="K420" s="7" t="s">
        <v>6497</v>
      </c>
      <c r="L420" s="7" t="s">
        <v>6137</v>
      </c>
      <c r="M420" s="7"/>
      <c r="N420" s="7" t="s">
        <v>6498</v>
      </c>
      <c r="O420" s="7" t="s">
        <v>6499</v>
      </c>
    </row>
    <row r="421" customFormat="false" ht="15" hidden="false" customHeight="false" outlineLevel="0" collapsed="false">
      <c r="A421" s="7" t="s">
        <v>6500</v>
      </c>
      <c r="B421" s="7" t="s">
        <v>30</v>
      </c>
      <c r="C421" s="7" t="s">
        <v>6501</v>
      </c>
      <c r="D421" s="7" t="s">
        <v>6463</v>
      </c>
      <c r="E421" s="7" t="s">
        <v>137</v>
      </c>
      <c r="F421" s="7" t="s">
        <v>6502</v>
      </c>
      <c r="G421" s="7" t="s">
        <v>174</v>
      </c>
      <c r="H421" s="10" t="n">
        <v>800</v>
      </c>
      <c r="I421" s="7" t="s">
        <v>3239</v>
      </c>
      <c r="J421" s="7"/>
      <c r="K421" s="7" t="s">
        <v>6503</v>
      </c>
      <c r="L421" s="7" t="s">
        <v>6504</v>
      </c>
      <c r="M421" s="7"/>
      <c r="N421" s="7" t="s">
        <v>6505</v>
      </c>
      <c r="O421" s="7" t="s">
        <v>6139</v>
      </c>
    </row>
    <row r="422" customFormat="false" ht="15" hidden="false" customHeight="false" outlineLevel="0" collapsed="false">
      <c r="A422" s="7" t="s">
        <v>6506</v>
      </c>
      <c r="B422" s="7" t="s">
        <v>30</v>
      </c>
      <c r="C422" s="7" t="s">
        <v>6507</v>
      </c>
      <c r="D422" s="7" t="s">
        <v>2440</v>
      </c>
      <c r="E422" s="7" t="s">
        <v>172</v>
      </c>
      <c r="F422" s="7" t="s">
        <v>6508</v>
      </c>
      <c r="G422" s="7" t="s">
        <v>174</v>
      </c>
      <c r="H422" s="10" t="n">
        <v>500</v>
      </c>
      <c r="I422" s="7" t="s">
        <v>69</v>
      </c>
      <c r="J422" s="7" t="s">
        <v>715</v>
      </c>
      <c r="K422" s="7" t="s">
        <v>6509</v>
      </c>
      <c r="L422" s="7" t="s">
        <v>3224</v>
      </c>
      <c r="M422" s="7"/>
      <c r="N422" s="7" t="s">
        <v>6510</v>
      </c>
      <c r="O422" s="7" t="s">
        <v>6511</v>
      </c>
    </row>
    <row r="423" customFormat="false" ht="15" hidden="false" customHeight="false" outlineLevel="0" collapsed="false">
      <c r="A423" s="7" t="s">
        <v>6512</v>
      </c>
      <c r="B423" s="7" t="s">
        <v>30</v>
      </c>
      <c r="C423" s="7" t="s">
        <v>6513</v>
      </c>
      <c r="D423" s="7" t="s">
        <v>6514</v>
      </c>
      <c r="E423" s="7" t="s">
        <v>163</v>
      </c>
      <c r="F423" s="7" t="s">
        <v>6515</v>
      </c>
      <c r="G423" s="7" t="s">
        <v>174</v>
      </c>
      <c r="H423" s="10" t="n">
        <v>350</v>
      </c>
      <c r="I423" s="7" t="s">
        <v>3239</v>
      </c>
      <c r="J423" s="7"/>
      <c r="K423" s="7" t="s">
        <v>6516</v>
      </c>
      <c r="L423" s="7" t="s">
        <v>6417</v>
      </c>
      <c r="M423" s="7"/>
      <c r="N423" s="7" t="s">
        <v>6517</v>
      </c>
      <c r="O423" s="7" t="s">
        <v>6256</v>
      </c>
    </row>
    <row r="424" customFormat="false" ht="15" hidden="false" customHeight="false" outlineLevel="0" collapsed="false">
      <c r="A424" s="7" t="s">
        <v>6518</v>
      </c>
      <c r="B424" s="7" t="s">
        <v>30</v>
      </c>
      <c r="C424" s="7" t="s">
        <v>6519</v>
      </c>
      <c r="D424" s="7" t="s">
        <v>3112</v>
      </c>
      <c r="E424" s="7" t="s">
        <v>163</v>
      </c>
      <c r="F424" s="7" t="s">
        <v>6520</v>
      </c>
      <c r="G424" s="7" t="s">
        <v>174</v>
      </c>
      <c r="H424" s="10" t="n">
        <v>300</v>
      </c>
      <c r="I424" s="7" t="s">
        <v>3239</v>
      </c>
      <c r="J424" s="7"/>
      <c r="K424" s="7" t="s">
        <v>6521</v>
      </c>
      <c r="L424" s="7" t="s">
        <v>6522</v>
      </c>
      <c r="M424" s="7"/>
      <c r="N424" s="7" t="s">
        <v>6523</v>
      </c>
      <c r="O424" s="7" t="s">
        <v>6256</v>
      </c>
    </row>
    <row r="425" customFormat="false" ht="15" hidden="false" customHeight="false" outlineLevel="0" collapsed="false">
      <c r="A425" s="7" t="s">
        <v>6524</v>
      </c>
      <c r="B425" s="7" t="s">
        <v>30</v>
      </c>
      <c r="C425" s="7" t="s">
        <v>6525</v>
      </c>
      <c r="D425" s="7" t="s">
        <v>154</v>
      </c>
      <c r="E425" s="7" t="s">
        <v>155</v>
      </c>
      <c r="F425" s="7" t="s">
        <v>6526</v>
      </c>
      <c r="G425" s="7" t="s">
        <v>174</v>
      </c>
      <c r="H425" s="10" t="n">
        <v>800</v>
      </c>
      <c r="I425" s="7" t="s">
        <v>3239</v>
      </c>
      <c r="J425" s="7"/>
      <c r="K425" s="7" t="s">
        <v>6527</v>
      </c>
      <c r="L425" s="7" t="s">
        <v>6528</v>
      </c>
      <c r="M425" s="7"/>
      <c r="N425" s="7" t="s">
        <v>269</v>
      </c>
      <c r="O425" s="7" t="s">
        <v>6529</v>
      </c>
    </row>
    <row r="426" customFormat="false" ht="15" hidden="false" customHeight="false" outlineLevel="0" collapsed="false">
      <c r="A426" s="7" t="s">
        <v>6530</v>
      </c>
      <c r="B426" s="7" t="s">
        <v>30</v>
      </c>
      <c r="C426" s="7" t="s">
        <v>6531</v>
      </c>
      <c r="D426" s="7" t="s">
        <v>189</v>
      </c>
      <c r="E426" s="7" t="s">
        <v>105</v>
      </c>
      <c r="F426" s="7" t="s">
        <v>6532</v>
      </c>
      <c r="G426" s="7" t="s">
        <v>174</v>
      </c>
      <c r="H426" s="10" t="n">
        <v>400</v>
      </c>
      <c r="I426" s="7" t="s">
        <v>350</v>
      </c>
      <c r="J426" s="7"/>
      <c r="K426" s="7" t="s">
        <v>6533</v>
      </c>
      <c r="L426" s="7" t="s">
        <v>6528</v>
      </c>
      <c r="M426" s="7"/>
      <c r="N426" s="7" t="s">
        <v>269</v>
      </c>
      <c r="O426" s="7" t="s">
        <v>6534</v>
      </c>
    </row>
    <row r="427" customFormat="false" ht="15" hidden="false" customHeight="false" outlineLevel="0" collapsed="false">
      <c r="A427" s="7" t="s">
        <v>6535</v>
      </c>
      <c r="B427" s="7" t="s">
        <v>30</v>
      </c>
      <c r="C427" s="7" t="s">
        <v>6536</v>
      </c>
      <c r="D427" s="7" t="s">
        <v>6514</v>
      </c>
      <c r="E427" s="7" t="s">
        <v>163</v>
      </c>
      <c r="F427" s="7" t="s">
        <v>6537</v>
      </c>
      <c r="G427" s="7" t="s">
        <v>174</v>
      </c>
      <c r="H427" s="10" t="n">
        <v>900</v>
      </c>
      <c r="I427" s="7" t="s">
        <v>350</v>
      </c>
      <c r="J427" s="7"/>
      <c r="K427" s="7" t="s">
        <v>6538</v>
      </c>
      <c r="L427" s="7" t="s">
        <v>6539</v>
      </c>
      <c r="M427" s="7"/>
      <c r="N427" s="7" t="s">
        <v>6540</v>
      </c>
      <c r="O427" s="7" t="s">
        <v>6256</v>
      </c>
    </row>
    <row r="428" customFormat="false" ht="15" hidden="false" customHeight="false" outlineLevel="0" collapsed="false">
      <c r="A428" s="7" t="s">
        <v>6541</v>
      </c>
      <c r="B428" s="7" t="s">
        <v>30</v>
      </c>
      <c r="C428" s="7" t="s">
        <v>6542</v>
      </c>
      <c r="D428" s="7" t="s">
        <v>6543</v>
      </c>
      <c r="E428" s="7" t="s">
        <v>137</v>
      </c>
      <c r="F428" s="7" t="s">
        <v>6544</v>
      </c>
      <c r="G428" s="7" t="s">
        <v>174</v>
      </c>
      <c r="H428" s="10" t="n">
        <v>800</v>
      </c>
      <c r="I428" s="7" t="s">
        <v>350</v>
      </c>
      <c r="J428" s="7"/>
      <c r="K428" s="7"/>
      <c r="L428" s="7" t="s">
        <v>6545</v>
      </c>
      <c r="M428" s="7"/>
      <c r="N428" s="7" t="s">
        <v>6546</v>
      </c>
      <c r="O428" s="7" t="s">
        <v>6139</v>
      </c>
    </row>
    <row r="429" customFormat="false" ht="15" hidden="false" customHeight="false" outlineLevel="0" collapsed="false">
      <c r="A429" s="7" t="s">
        <v>6547</v>
      </c>
      <c r="B429" s="7" t="s">
        <v>30</v>
      </c>
      <c r="C429" s="7" t="s">
        <v>6548</v>
      </c>
      <c r="D429" s="7" t="s">
        <v>5332</v>
      </c>
      <c r="E429" s="7" t="s">
        <v>163</v>
      </c>
      <c r="F429" s="7" t="s">
        <v>6549</v>
      </c>
      <c r="G429" s="7" t="s">
        <v>174</v>
      </c>
      <c r="H429" s="10" t="n">
        <v>400</v>
      </c>
      <c r="I429" s="7" t="s">
        <v>350</v>
      </c>
      <c r="J429" s="7"/>
      <c r="K429" s="7" t="s">
        <v>6550</v>
      </c>
      <c r="L429" s="7" t="s">
        <v>6551</v>
      </c>
      <c r="M429" s="7"/>
      <c r="N429" s="7" t="s">
        <v>6552</v>
      </c>
      <c r="O429" s="7" t="s">
        <v>6256</v>
      </c>
    </row>
    <row r="430" customFormat="false" ht="15" hidden="false" customHeight="false" outlineLevel="0" collapsed="false">
      <c r="A430" s="7" t="s">
        <v>6553</v>
      </c>
      <c r="B430" s="7" t="s">
        <v>30</v>
      </c>
      <c r="C430" s="7" t="s">
        <v>6554</v>
      </c>
      <c r="D430" s="7" t="s">
        <v>6555</v>
      </c>
      <c r="E430" s="7" t="s">
        <v>338</v>
      </c>
      <c r="F430" s="7" t="s">
        <v>6556</v>
      </c>
      <c r="G430" s="7" t="s">
        <v>174</v>
      </c>
      <c r="H430" s="10" t="n">
        <v>600</v>
      </c>
      <c r="I430" s="7" t="s">
        <v>350</v>
      </c>
      <c r="J430" s="7"/>
      <c r="K430" s="7" t="s">
        <v>6557</v>
      </c>
      <c r="L430" s="7" t="s">
        <v>6528</v>
      </c>
      <c r="M430" s="7"/>
      <c r="N430" s="7" t="s">
        <v>269</v>
      </c>
      <c r="O430" s="7" t="s">
        <v>6558</v>
      </c>
    </row>
    <row r="431" customFormat="false" ht="15" hidden="false" customHeight="false" outlineLevel="0" collapsed="false">
      <c r="A431" s="7" t="s">
        <v>6559</v>
      </c>
      <c r="B431" s="7" t="s">
        <v>30</v>
      </c>
      <c r="C431" s="7" t="s">
        <v>6560</v>
      </c>
      <c r="D431" s="7" t="s">
        <v>6561</v>
      </c>
      <c r="E431" s="7" t="s">
        <v>338</v>
      </c>
      <c r="F431" s="7" t="s">
        <v>6562</v>
      </c>
      <c r="G431" s="7" t="s">
        <v>174</v>
      </c>
      <c r="H431" s="10" t="n">
        <v>600</v>
      </c>
      <c r="I431" s="7" t="s">
        <v>3239</v>
      </c>
      <c r="J431" s="7"/>
      <c r="K431" s="7" t="s">
        <v>6563</v>
      </c>
      <c r="L431" s="7" t="s">
        <v>6137</v>
      </c>
      <c r="M431" s="7"/>
      <c r="N431" s="7" t="s">
        <v>6564</v>
      </c>
      <c r="O431" s="7" t="s">
        <v>6565</v>
      </c>
    </row>
    <row r="432" customFormat="false" ht="15" hidden="false" customHeight="false" outlineLevel="0" collapsed="false">
      <c r="A432" s="7" t="s">
        <v>6566</v>
      </c>
      <c r="B432" s="7" t="s">
        <v>30</v>
      </c>
      <c r="C432" s="7" t="s">
        <v>6567</v>
      </c>
      <c r="D432" s="7" t="s">
        <v>6568</v>
      </c>
      <c r="E432" s="7" t="s">
        <v>105</v>
      </c>
      <c r="F432" s="7" t="s">
        <v>6569</v>
      </c>
      <c r="G432" s="7" t="s">
        <v>174</v>
      </c>
      <c r="H432" s="10" t="n">
        <v>2400</v>
      </c>
      <c r="I432" s="7" t="s">
        <v>377</v>
      </c>
      <c r="J432" s="7"/>
      <c r="K432" s="7" t="s">
        <v>6570</v>
      </c>
      <c r="L432" s="7" t="s">
        <v>3224</v>
      </c>
      <c r="M432" s="7"/>
      <c r="N432" s="7" t="s">
        <v>6571</v>
      </c>
      <c r="O432" s="7" t="s">
        <v>6572</v>
      </c>
    </row>
    <row r="433" customFormat="false" ht="15" hidden="false" customHeight="false" outlineLevel="0" collapsed="false">
      <c r="A433" s="7" t="s">
        <v>6573</v>
      </c>
      <c r="B433" s="7" t="s">
        <v>30</v>
      </c>
      <c r="C433" s="7" t="s">
        <v>6574</v>
      </c>
      <c r="D433" s="7" t="s">
        <v>3073</v>
      </c>
      <c r="E433" s="7" t="s">
        <v>172</v>
      </c>
      <c r="F433" s="7" t="s">
        <v>6575</v>
      </c>
      <c r="G433" s="7" t="s">
        <v>174</v>
      </c>
      <c r="H433" s="10" t="n">
        <v>500</v>
      </c>
      <c r="I433" s="7" t="s">
        <v>3239</v>
      </c>
      <c r="J433" s="7"/>
      <c r="K433" s="7" t="s">
        <v>6576</v>
      </c>
      <c r="L433" s="7" t="s">
        <v>6179</v>
      </c>
      <c r="M433" s="7"/>
      <c r="N433" s="7" t="s">
        <v>6577</v>
      </c>
      <c r="O433" s="7" t="s">
        <v>6578</v>
      </c>
    </row>
    <row r="434" customFormat="false" ht="15" hidden="false" customHeight="false" outlineLevel="0" collapsed="false">
      <c r="A434" s="7" t="s">
        <v>6579</v>
      </c>
      <c r="B434" s="7" t="s">
        <v>30</v>
      </c>
      <c r="C434" s="7" t="s">
        <v>6580</v>
      </c>
      <c r="D434" s="7" t="s">
        <v>4725</v>
      </c>
      <c r="E434" s="7" t="s">
        <v>250</v>
      </c>
      <c r="F434" s="7" t="s">
        <v>6581</v>
      </c>
      <c r="G434" s="7" t="s">
        <v>174</v>
      </c>
      <c r="H434" s="10" t="n">
        <v>500</v>
      </c>
      <c r="I434" s="7" t="s">
        <v>3239</v>
      </c>
      <c r="J434" s="7"/>
      <c r="K434" s="7" t="s">
        <v>6582</v>
      </c>
      <c r="L434" s="7" t="s">
        <v>6224</v>
      </c>
      <c r="M434" s="7"/>
      <c r="N434" s="7" t="s">
        <v>269</v>
      </c>
      <c r="O434" s="7" t="s">
        <v>6583</v>
      </c>
    </row>
    <row r="435" customFormat="false" ht="15" hidden="false" customHeight="false" outlineLevel="0" collapsed="false">
      <c r="A435" s="7" t="s">
        <v>6584</v>
      </c>
      <c r="B435" s="7" t="s">
        <v>30</v>
      </c>
      <c r="C435" s="7" t="s">
        <v>6585</v>
      </c>
      <c r="D435" s="7" t="s">
        <v>6586</v>
      </c>
      <c r="E435" s="7" t="s">
        <v>105</v>
      </c>
      <c r="F435" s="7" t="s">
        <v>6587</v>
      </c>
      <c r="G435" s="7" t="s">
        <v>174</v>
      </c>
      <c r="H435" s="10" t="n">
        <v>900</v>
      </c>
      <c r="I435" s="7" t="s">
        <v>350</v>
      </c>
      <c r="J435" s="7"/>
      <c r="K435" s="7"/>
      <c r="L435" s="7" t="s">
        <v>6528</v>
      </c>
      <c r="M435" s="7"/>
      <c r="N435" s="7" t="s">
        <v>269</v>
      </c>
      <c r="O435" s="7" t="s">
        <v>6588</v>
      </c>
    </row>
    <row r="436" customFormat="false" ht="15" hidden="false" customHeight="false" outlineLevel="0" collapsed="false">
      <c r="A436" s="7" t="s">
        <v>6589</v>
      </c>
      <c r="B436" s="7" t="s">
        <v>30</v>
      </c>
      <c r="C436" s="7" t="s">
        <v>6590</v>
      </c>
      <c r="D436" s="7" t="s">
        <v>6591</v>
      </c>
      <c r="E436" s="7" t="s">
        <v>338</v>
      </c>
      <c r="F436" s="7" t="s">
        <v>6592</v>
      </c>
      <c r="G436" s="7" t="s">
        <v>174</v>
      </c>
      <c r="H436" s="10" t="n">
        <v>700</v>
      </c>
      <c r="I436" s="7" t="s">
        <v>350</v>
      </c>
      <c r="J436" s="7"/>
      <c r="K436" s="7" t="s">
        <v>6593</v>
      </c>
      <c r="L436" s="7" t="s">
        <v>6594</v>
      </c>
      <c r="M436" s="7"/>
      <c r="N436" s="7" t="s">
        <v>6595</v>
      </c>
      <c r="O436" s="7" t="s">
        <v>6596</v>
      </c>
    </row>
    <row r="437" customFormat="false" ht="15" hidden="false" customHeight="false" outlineLevel="0" collapsed="false">
      <c r="A437" s="7" t="s">
        <v>6597</v>
      </c>
      <c r="B437" s="7" t="s">
        <v>30</v>
      </c>
      <c r="C437" s="7" t="s">
        <v>6598</v>
      </c>
      <c r="D437" s="7" t="s">
        <v>6599</v>
      </c>
      <c r="E437" s="7" t="s">
        <v>338</v>
      </c>
      <c r="F437" s="7" t="s">
        <v>6600</v>
      </c>
      <c r="G437" s="7" t="s">
        <v>174</v>
      </c>
      <c r="H437" s="10" t="n">
        <v>700</v>
      </c>
      <c r="I437" s="7" t="s">
        <v>517</v>
      </c>
      <c r="J437" s="7"/>
      <c r="K437" s="7" t="s">
        <v>6601</v>
      </c>
      <c r="L437" s="7" t="s">
        <v>6528</v>
      </c>
      <c r="M437" s="7"/>
      <c r="N437" s="7" t="s">
        <v>6602</v>
      </c>
      <c r="O437" s="7" t="s">
        <v>6603</v>
      </c>
    </row>
    <row r="438" customFormat="false" ht="15" hidden="false" customHeight="false" outlineLevel="0" collapsed="false">
      <c r="A438" s="7" t="s">
        <v>6604</v>
      </c>
      <c r="B438" s="7" t="s">
        <v>30</v>
      </c>
      <c r="C438" s="7" t="s">
        <v>6605</v>
      </c>
      <c r="D438" s="7" t="s">
        <v>4280</v>
      </c>
      <c r="E438" s="7" t="s">
        <v>250</v>
      </c>
      <c r="F438" s="7" t="s">
        <v>6606</v>
      </c>
      <c r="G438" s="7" t="s">
        <v>174</v>
      </c>
      <c r="H438" s="10" t="n">
        <v>135</v>
      </c>
      <c r="I438" s="7" t="s">
        <v>350</v>
      </c>
      <c r="J438" s="7"/>
      <c r="K438" s="7" t="s">
        <v>6607</v>
      </c>
      <c r="L438" s="7" t="s">
        <v>6528</v>
      </c>
      <c r="M438" s="7"/>
      <c r="N438" s="7" t="s">
        <v>6498</v>
      </c>
      <c r="O438" s="7" t="s">
        <v>6499</v>
      </c>
    </row>
    <row r="439" customFormat="false" ht="15" hidden="false" customHeight="false" outlineLevel="0" collapsed="false">
      <c r="A439" s="7" t="s">
        <v>6608</v>
      </c>
      <c r="B439" s="7" t="s">
        <v>30</v>
      </c>
      <c r="C439" s="7" t="s">
        <v>6609</v>
      </c>
      <c r="D439" s="7" t="s">
        <v>6610</v>
      </c>
      <c r="E439" s="7" t="s">
        <v>250</v>
      </c>
      <c r="F439" s="7" t="s">
        <v>6611</v>
      </c>
      <c r="G439" s="7" t="s">
        <v>174</v>
      </c>
      <c r="H439" s="10" t="n">
        <v>1045</v>
      </c>
      <c r="I439" s="7" t="s">
        <v>386</v>
      </c>
      <c r="J439" s="7"/>
      <c r="K439" s="7" t="s">
        <v>6612</v>
      </c>
      <c r="L439" s="7" t="s">
        <v>6137</v>
      </c>
      <c r="M439" s="7"/>
      <c r="N439" s="7" t="s">
        <v>6613</v>
      </c>
      <c r="O439" s="7" t="s">
        <v>6499</v>
      </c>
    </row>
    <row r="440" customFormat="false" ht="15" hidden="false" customHeight="false" outlineLevel="0" collapsed="false">
      <c r="A440" s="7" t="s">
        <v>6614</v>
      </c>
      <c r="B440" s="7" t="s">
        <v>30</v>
      </c>
      <c r="C440" s="7" t="s">
        <v>6615</v>
      </c>
      <c r="D440" s="7" t="s">
        <v>6616</v>
      </c>
      <c r="E440" s="7" t="s">
        <v>172</v>
      </c>
      <c r="F440" s="7" t="s">
        <v>6617</v>
      </c>
      <c r="G440" s="7" t="s">
        <v>174</v>
      </c>
      <c r="H440" s="10" t="n">
        <v>700</v>
      </c>
      <c r="I440" s="7" t="s">
        <v>3239</v>
      </c>
      <c r="J440" s="7"/>
      <c r="K440" s="7" t="s">
        <v>6618</v>
      </c>
      <c r="L440" s="7" t="s">
        <v>6137</v>
      </c>
      <c r="M440" s="7"/>
      <c r="N440" s="7" t="s">
        <v>6619</v>
      </c>
      <c r="O440" s="7" t="s">
        <v>6620</v>
      </c>
    </row>
    <row r="441" customFormat="false" ht="15" hidden="false" customHeight="false" outlineLevel="0" collapsed="false">
      <c r="A441" s="7" t="s">
        <v>6621</v>
      </c>
      <c r="B441" s="7" t="s">
        <v>30</v>
      </c>
      <c r="C441" s="7" t="s">
        <v>6622</v>
      </c>
      <c r="D441" s="7" t="s">
        <v>6623</v>
      </c>
      <c r="E441" s="7" t="s">
        <v>172</v>
      </c>
      <c r="F441" s="7" t="s">
        <v>6624</v>
      </c>
      <c r="G441" s="7" t="s">
        <v>174</v>
      </c>
      <c r="H441" s="10" t="n">
        <v>500</v>
      </c>
      <c r="I441" s="7" t="s">
        <v>517</v>
      </c>
      <c r="J441" s="7"/>
      <c r="K441" s="7"/>
      <c r="L441" s="7" t="s">
        <v>6528</v>
      </c>
      <c r="M441" s="7"/>
      <c r="N441" s="7" t="s">
        <v>6625</v>
      </c>
      <c r="O441" s="7" t="s">
        <v>6626</v>
      </c>
    </row>
    <row r="442" customFormat="false" ht="15" hidden="false" customHeight="false" outlineLevel="0" collapsed="false">
      <c r="A442" s="7" t="s">
        <v>6627</v>
      </c>
      <c r="B442" s="7" t="s">
        <v>30</v>
      </c>
      <c r="C442" s="7" t="s">
        <v>6628</v>
      </c>
      <c r="D442" s="7" t="s">
        <v>6629</v>
      </c>
      <c r="E442" s="7" t="s">
        <v>172</v>
      </c>
      <c r="F442" s="7" t="s">
        <v>6630</v>
      </c>
      <c r="G442" s="7" t="s">
        <v>174</v>
      </c>
      <c r="H442" s="10" t="n">
        <v>600</v>
      </c>
      <c r="I442" s="7" t="s">
        <v>350</v>
      </c>
      <c r="J442" s="7"/>
      <c r="K442" s="7"/>
      <c r="L442" s="7" t="s">
        <v>6631</v>
      </c>
      <c r="M442" s="7"/>
      <c r="N442" s="7" t="s">
        <v>6225</v>
      </c>
      <c r="O442" s="7" t="s">
        <v>6632</v>
      </c>
    </row>
    <row r="443" customFormat="false" ht="15" hidden="false" customHeight="false" outlineLevel="0" collapsed="false">
      <c r="A443" s="7" t="s">
        <v>6633</v>
      </c>
      <c r="B443" s="7" t="s">
        <v>30</v>
      </c>
      <c r="C443" s="7" t="s">
        <v>6634</v>
      </c>
      <c r="D443" s="7" t="s">
        <v>6635</v>
      </c>
      <c r="E443" s="7" t="s">
        <v>338</v>
      </c>
      <c r="F443" s="7" t="s">
        <v>6636</v>
      </c>
      <c r="G443" s="7" t="s">
        <v>174</v>
      </c>
      <c r="H443" s="10" t="n">
        <v>1000</v>
      </c>
      <c r="I443" s="7" t="s">
        <v>3239</v>
      </c>
      <c r="J443" s="7"/>
      <c r="K443" s="7" t="s">
        <v>6637</v>
      </c>
      <c r="L443" s="7" t="s">
        <v>6638</v>
      </c>
      <c r="M443" s="7"/>
      <c r="N443" s="7" t="s">
        <v>6639</v>
      </c>
      <c r="O443" s="7" t="s">
        <v>6640</v>
      </c>
    </row>
    <row r="444" customFormat="false" ht="15" hidden="false" customHeight="false" outlineLevel="0" collapsed="false">
      <c r="A444" s="7" t="s">
        <v>6641</v>
      </c>
      <c r="B444" s="7" t="s">
        <v>30</v>
      </c>
      <c r="C444" s="7" t="s">
        <v>6642</v>
      </c>
      <c r="D444" s="7" t="s">
        <v>1090</v>
      </c>
      <c r="E444" s="7" t="s">
        <v>163</v>
      </c>
      <c r="F444" s="7" t="s">
        <v>6643</v>
      </c>
      <c r="G444" s="7" t="s">
        <v>258</v>
      </c>
      <c r="H444" s="10" t="n">
        <v>500</v>
      </c>
      <c r="I444" s="7" t="s">
        <v>350</v>
      </c>
      <c r="J444" s="7"/>
      <c r="K444" s="7" t="s">
        <v>6644</v>
      </c>
      <c r="L444" s="7" t="s">
        <v>6645</v>
      </c>
      <c r="M444" s="7"/>
      <c r="N444" s="7" t="s">
        <v>6646</v>
      </c>
      <c r="O444" s="7" t="s">
        <v>6256</v>
      </c>
    </row>
    <row r="445" customFormat="false" ht="15" hidden="false" customHeight="false" outlineLevel="0" collapsed="false">
      <c r="A445" s="7" t="s">
        <v>6647</v>
      </c>
      <c r="B445" s="7" t="s">
        <v>30</v>
      </c>
      <c r="C445" s="7" t="s">
        <v>6204</v>
      </c>
      <c r="D445" s="7" t="s">
        <v>6648</v>
      </c>
      <c r="E445" s="7" t="s">
        <v>338</v>
      </c>
      <c r="F445" s="7" t="s">
        <v>6649</v>
      </c>
      <c r="G445" s="7" t="s">
        <v>258</v>
      </c>
      <c r="H445" s="10" t="n">
        <v>350</v>
      </c>
      <c r="I445" s="7" t="s">
        <v>3239</v>
      </c>
      <c r="J445" s="7"/>
      <c r="K445" s="7" t="s">
        <v>6650</v>
      </c>
      <c r="L445" s="7" t="s">
        <v>6551</v>
      </c>
      <c r="M445" s="7"/>
      <c r="N445" s="7" t="s">
        <v>6651</v>
      </c>
      <c r="O445" s="7" t="s">
        <v>6652</v>
      </c>
    </row>
    <row r="446" customFormat="false" ht="15" hidden="false" customHeight="false" outlineLevel="0" collapsed="false">
      <c r="A446" s="7" t="s">
        <v>6653</v>
      </c>
      <c r="B446" s="7" t="s">
        <v>30</v>
      </c>
      <c r="C446" s="7" t="s">
        <v>6654</v>
      </c>
      <c r="D446" s="7" t="s">
        <v>4758</v>
      </c>
      <c r="E446" s="7" t="s">
        <v>163</v>
      </c>
      <c r="F446" s="7" t="s">
        <v>6655</v>
      </c>
      <c r="G446" s="7" t="s">
        <v>258</v>
      </c>
      <c r="H446" s="10" t="n">
        <v>120</v>
      </c>
      <c r="I446" s="7" t="s">
        <v>350</v>
      </c>
      <c r="J446" s="7"/>
      <c r="K446" s="7" t="s">
        <v>6656</v>
      </c>
      <c r="L446" s="7" t="s">
        <v>6551</v>
      </c>
      <c r="M446" s="7"/>
      <c r="N446" s="7" t="s">
        <v>6552</v>
      </c>
      <c r="O446" s="7" t="s">
        <v>6256</v>
      </c>
    </row>
    <row r="447" customFormat="false" ht="15" hidden="false" customHeight="false" outlineLevel="0" collapsed="false">
      <c r="A447" s="7" t="s">
        <v>6657</v>
      </c>
      <c r="B447" s="7" t="s">
        <v>30</v>
      </c>
      <c r="C447" s="7" t="s">
        <v>6658</v>
      </c>
      <c r="D447" s="7" t="s">
        <v>6659</v>
      </c>
      <c r="E447" s="7" t="s">
        <v>163</v>
      </c>
      <c r="F447" s="7" t="s">
        <v>6660</v>
      </c>
      <c r="G447" s="7" t="s">
        <v>258</v>
      </c>
      <c r="H447" s="10" t="n">
        <v>300</v>
      </c>
      <c r="I447" s="7" t="s">
        <v>3239</v>
      </c>
      <c r="J447" s="7"/>
      <c r="K447" s="7" t="s">
        <v>6661</v>
      </c>
      <c r="L447" s="7" t="s">
        <v>5739</v>
      </c>
      <c r="M447" s="7"/>
      <c r="N447" s="7" t="s">
        <v>6662</v>
      </c>
      <c r="O447" s="7" t="s">
        <v>6256</v>
      </c>
    </row>
    <row r="448" customFormat="false" ht="15" hidden="false" customHeight="false" outlineLevel="0" collapsed="false">
      <c r="A448" s="7" t="s">
        <v>6663</v>
      </c>
      <c r="B448" s="7" t="s">
        <v>30</v>
      </c>
      <c r="C448" s="7" t="s">
        <v>6664</v>
      </c>
      <c r="D448" s="7" t="s">
        <v>445</v>
      </c>
      <c r="E448" s="7" t="s">
        <v>250</v>
      </c>
      <c r="F448" s="7" t="s">
        <v>6665</v>
      </c>
      <c r="G448" s="7" t="s">
        <v>258</v>
      </c>
      <c r="H448" s="10" t="n">
        <v>275</v>
      </c>
      <c r="I448" s="7" t="s">
        <v>350</v>
      </c>
      <c r="J448" s="7"/>
      <c r="K448" s="7" t="s">
        <v>6666</v>
      </c>
      <c r="L448" s="7" t="s">
        <v>6528</v>
      </c>
      <c r="M448" s="7"/>
      <c r="N448" s="7" t="s">
        <v>6667</v>
      </c>
      <c r="O448" s="7" t="s">
        <v>6499</v>
      </c>
    </row>
    <row r="449" customFormat="false" ht="15" hidden="false" customHeight="false" outlineLevel="0" collapsed="false">
      <c r="A449" s="7" t="s">
        <v>6668</v>
      </c>
      <c r="B449" s="7" t="s">
        <v>31</v>
      </c>
      <c r="C449" s="7" t="s">
        <v>6669</v>
      </c>
      <c r="D449" s="7" t="s">
        <v>1599</v>
      </c>
      <c r="E449" s="7" t="s">
        <v>78</v>
      </c>
      <c r="F449" s="7" t="s">
        <v>6670</v>
      </c>
      <c r="G449" s="7" t="s">
        <v>68</v>
      </c>
      <c r="H449" s="10" t="n">
        <v>2500</v>
      </c>
      <c r="I449" s="7" t="s">
        <v>69</v>
      </c>
      <c r="J449" s="7" t="s">
        <v>6322</v>
      </c>
      <c r="K449" s="7" t="s">
        <v>6671</v>
      </c>
      <c r="L449" s="7" t="s">
        <v>1273</v>
      </c>
      <c r="M449" s="7"/>
      <c r="N449" s="7" t="s">
        <v>6672</v>
      </c>
      <c r="O449" s="7" t="s">
        <v>6673</v>
      </c>
    </row>
    <row r="450" customFormat="false" ht="15" hidden="false" customHeight="false" outlineLevel="0" collapsed="false">
      <c r="A450" s="7" t="s">
        <v>6674</v>
      </c>
      <c r="B450" s="7" t="s">
        <v>31</v>
      </c>
      <c r="C450" s="7" t="s">
        <v>6675</v>
      </c>
      <c r="D450" s="7" t="s">
        <v>2458</v>
      </c>
      <c r="E450" s="7" t="s">
        <v>338</v>
      </c>
      <c r="F450" s="7" t="s">
        <v>6676</v>
      </c>
      <c r="G450" s="7" t="s">
        <v>149</v>
      </c>
      <c r="H450" s="10" t="n">
        <v>1000</v>
      </c>
      <c r="I450" s="7" t="s">
        <v>386</v>
      </c>
      <c r="J450" s="7"/>
      <c r="K450" s="7" t="s">
        <v>6677</v>
      </c>
      <c r="L450" s="7" t="s">
        <v>3308</v>
      </c>
      <c r="M450" s="7"/>
      <c r="N450" s="7" t="s">
        <v>6678</v>
      </c>
      <c r="O450" s="7" t="s">
        <v>6679</v>
      </c>
    </row>
    <row r="451" customFormat="false" ht="15" hidden="false" customHeight="false" outlineLevel="0" collapsed="false">
      <c r="A451" s="7" t="s">
        <v>6680</v>
      </c>
      <c r="B451" s="7" t="s">
        <v>31</v>
      </c>
      <c r="C451" s="7" t="s">
        <v>6681</v>
      </c>
      <c r="D451" s="7" t="s">
        <v>154</v>
      </c>
      <c r="E451" s="7" t="s">
        <v>155</v>
      </c>
      <c r="F451" s="7" t="s">
        <v>6682</v>
      </c>
      <c r="G451" s="7" t="s">
        <v>149</v>
      </c>
      <c r="H451" s="10" t="n">
        <v>1200</v>
      </c>
      <c r="I451" s="7" t="s">
        <v>3239</v>
      </c>
      <c r="J451" s="7"/>
      <c r="K451" s="7" t="s">
        <v>6683</v>
      </c>
      <c r="L451" s="7" t="s">
        <v>6684</v>
      </c>
      <c r="M451" s="7"/>
      <c r="N451" s="7" t="s">
        <v>269</v>
      </c>
      <c r="O451" s="7" t="s">
        <v>6685</v>
      </c>
    </row>
    <row r="452" customFormat="false" ht="15" hidden="false" customHeight="false" outlineLevel="0" collapsed="false">
      <c r="A452" s="7" t="s">
        <v>6686</v>
      </c>
      <c r="B452" s="7" t="s">
        <v>31</v>
      </c>
      <c r="C452" s="7" t="s">
        <v>6687</v>
      </c>
      <c r="D452" s="7" t="s">
        <v>6688</v>
      </c>
      <c r="E452" s="7" t="s">
        <v>163</v>
      </c>
      <c r="F452" s="7" t="s">
        <v>6689</v>
      </c>
      <c r="G452" s="7" t="s">
        <v>149</v>
      </c>
      <c r="H452" s="10" t="n">
        <v>1500</v>
      </c>
      <c r="I452" s="7" t="s">
        <v>517</v>
      </c>
      <c r="J452" s="7"/>
      <c r="K452" s="7" t="s">
        <v>6690</v>
      </c>
      <c r="L452" s="7" t="s">
        <v>3374</v>
      </c>
      <c r="M452" s="7"/>
      <c r="N452" s="7" t="s">
        <v>6691</v>
      </c>
      <c r="O452" s="7" t="s">
        <v>6692</v>
      </c>
    </row>
    <row r="453" customFormat="false" ht="15" hidden="false" customHeight="false" outlineLevel="0" collapsed="false">
      <c r="A453" s="7" t="s">
        <v>6693</v>
      </c>
      <c r="B453" s="7" t="s">
        <v>31</v>
      </c>
      <c r="C453" s="7" t="s">
        <v>6694</v>
      </c>
      <c r="D453" s="7" t="s">
        <v>6695</v>
      </c>
      <c r="E453" s="7" t="s">
        <v>854</v>
      </c>
      <c r="F453" s="7" t="s">
        <v>6696</v>
      </c>
      <c r="G453" s="7" t="s">
        <v>149</v>
      </c>
      <c r="H453" s="10" t="n">
        <v>2000</v>
      </c>
      <c r="I453" s="7" t="s">
        <v>69</v>
      </c>
      <c r="J453" s="7" t="s">
        <v>6697</v>
      </c>
      <c r="K453" s="7" t="s">
        <v>6698</v>
      </c>
      <c r="L453" s="7" t="s">
        <v>6684</v>
      </c>
      <c r="M453" s="7"/>
      <c r="N453" s="7" t="s">
        <v>6699</v>
      </c>
      <c r="O453" s="7" t="s">
        <v>6700</v>
      </c>
    </row>
    <row r="454" customFormat="false" ht="15" hidden="false" customHeight="false" outlineLevel="0" collapsed="false">
      <c r="A454" s="7" t="s">
        <v>6701</v>
      </c>
      <c r="B454" s="7" t="s">
        <v>31</v>
      </c>
      <c r="C454" s="7" t="s">
        <v>1244</v>
      </c>
      <c r="D454" s="7" t="s">
        <v>112</v>
      </c>
      <c r="E454" s="7" t="s">
        <v>113</v>
      </c>
      <c r="F454" s="7" t="s">
        <v>6702</v>
      </c>
      <c r="G454" s="7" t="s">
        <v>149</v>
      </c>
      <c r="H454" s="10" t="n">
        <v>1500</v>
      </c>
      <c r="I454" s="7" t="s">
        <v>69</v>
      </c>
      <c r="J454" s="7" t="s">
        <v>6703</v>
      </c>
      <c r="K454" s="7" t="s">
        <v>6704</v>
      </c>
      <c r="L454" s="7" t="s">
        <v>1273</v>
      </c>
      <c r="M454" s="7"/>
      <c r="N454" s="7" t="s">
        <v>6705</v>
      </c>
      <c r="O454" s="7" t="s">
        <v>1250</v>
      </c>
    </row>
    <row r="455" customFormat="false" ht="15" hidden="false" customHeight="false" outlineLevel="0" collapsed="false">
      <c r="A455" s="7" t="s">
        <v>6706</v>
      </c>
      <c r="B455" s="7" t="s">
        <v>31</v>
      </c>
      <c r="C455" s="7" t="s">
        <v>6707</v>
      </c>
      <c r="D455" s="7" t="s">
        <v>347</v>
      </c>
      <c r="E455" s="7" t="s">
        <v>348</v>
      </c>
      <c r="F455" s="7" t="s">
        <v>6708</v>
      </c>
      <c r="G455" s="7" t="s">
        <v>149</v>
      </c>
      <c r="H455" s="10" t="n">
        <v>1500</v>
      </c>
      <c r="I455" s="7" t="s">
        <v>69</v>
      </c>
      <c r="J455" s="7" t="s">
        <v>115</v>
      </c>
      <c r="K455" s="7" t="s">
        <v>6709</v>
      </c>
      <c r="L455" s="7" t="s">
        <v>1240</v>
      </c>
      <c r="M455" s="7"/>
      <c r="N455" s="7" t="s">
        <v>6710</v>
      </c>
      <c r="O455" s="7" t="s">
        <v>6711</v>
      </c>
    </row>
    <row r="456" customFormat="false" ht="15" hidden="false" customHeight="false" outlineLevel="0" collapsed="false">
      <c r="A456" s="7" t="s">
        <v>6712</v>
      </c>
      <c r="B456" s="7" t="s">
        <v>31</v>
      </c>
      <c r="C456" s="7" t="s">
        <v>6713</v>
      </c>
      <c r="D456" s="7" t="s">
        <v>953</v>
      </c>
      <c r="E456" s="7" t="s">
        <v>1789</v>
      </c>
      <c r="F456" s="7" t="s">
        <v>6714</v>
      </c>
      <c r="G456" s="7" t="s">
        <v>149</v>
      </c>
      <c r="H456" s="10" t="n">
        <v>1400</v>
      </c>
      <c r="I456" s="7" t="s">
        <v>517</v>
      </c>
      <c r="J456" s="7"/>
      <c r="K456" s="7" t="s">
        <v>6715</v>
      </c>
      <c r="L456" s="7" t="s">
        <v>6716</v>
      </c>
      <c r="M456" s="7"/>
      <c r="N456" s="7" t="s">
        <v>6717</v>
      </c>
      <c r="O456" s="7" t="s">
        <v>6718</v>
      </c>
    </row>
    <row r="457" customFormat="false" ht="15" hidden="false" customHeight="false" outlineLevel="0" collapsed="false">
      <c r="A457" s="7" t="s">
        <v>6719</v>
      </c>
      <c r="B457" s="7" t="s">
        <v>31</v>
      </c>
      <c r="C457" s="7" t="s">
        <v>6720</v>
      </c>
      <c r="D457" s="7" t="s">
        <v>1599</v>
      </c>
      <c r="E457" s="7" t="s">
        <v>78</v>
      </c>
      <c r="F457" s="7" t="s">
        <v>6721</v>
      </c>
      <c r="G457" s="7" t="s">
        <v>174</v>
      </c>
      <c r="H457" s="10" t="n">
        <v>600</v>
      </c>
      <c r="I457" s="7" t="s">
        <v>386</v>
      </c>
      <c r="J457" s="7"/>
      <c r="K457" s="7" t="s">
        <v>6722</v>
      </c>
      <c r="L457" s="7" t="s">
        <v>3374</v>
      </c>
      <c r="M457" s="7"/>
      <c r="N457" s="7" t="s">
        <v>3360</v>
      </c>
      <c r="O457" s="7" t="s">
        <v>3354</v>
      </c>
    </row>
    <row r="458" customFormat="false" ht="15" hidden="false" customHeight="false" outlineLevel="0" collapsed="false">
      <c r="A458" s="7" t="s">
        <v>6723</v>
      </c>
      <c r="B458" s="7" t="s">
        <v>31</v>
      </c>
      <c r="C458" s="7" t="s">
        <v>6720</v>
      </c>
      <c r="D458" s="7" t="s">
        <v>112</v>
      </c>
      <c r="E458" s="7" t="s">
        <v>113</v>
      </c>
      <c r="F458" s="7" t="s">
        <v>6724</v>
      </c>
      <c r="G458" s="7" t="s">
        <v>174</v>
      </c>
      <c r="H458" s="10" t="n">
        <v>700</v>
      </c>
      <c r="I458" s="7" t="s">
        <v>386</v>
      </c>
      <c r="J458" s="7"/>
      <c r="K458" s="7" t="s">
        <v>6725</v>
      </c>
      <c r="L458" s="7" t="s">
        <v>3374</v>
      </c>
      <c r="M458" s="7"/>
      <c r="N458" s="7" t="s">
        <v>3360</v>
      </c>
      <c r="O458" s="7" t="s">
        <v>3354</v>
      </c>
    </row>
    <row r="459" customFormat="false" ht="15" hidden="false" customHeight="false" outlineLevel="0" collapsed="false">
      <c r="A459" s="7" t="s">
        <v>6726</v>
      </c>
      <c r="B459" s="7" t="s">
        <v>31</v>
      </c>
      <c r="C459" s="7" t="s">
        <v>6727</v>
      </c>
      <c r="D459" s="7" t="s">
        <v>1599</v>
      </c>
      <c r="E459" s="7" t="s">
        <v>78</v>
      </c>
      <c r="F459" s="7" t="s">
        <v>6728</v>
      </c>
      <c r="G459" s="7" t="s">
        <v>174</v>
      </c>
      <c r="H459" s="10" t="n">
        <v>600</v>
      </c>
      <c r="I459" s="7" t="s">
        <v>386</v>
      </c>
      <c r="J459" s="7"/>
      <c r="K459" s="7" t="s">
        <v>6729</v>
      </c>
      <c r="L459" s="7" t="s">
        <v>6730</v>
      </c>
      <c r="M459" s="7"/>
      <c r="N459" s="7" t="s">
        <v>6731</v>
      </c>
      <c r="O459" s="7" t="s">
        <v>6732</v>
      </c>
    </row>
    <row r="460" customFormat="false" ht="15" hidden="false" customHeight="false" outlineLevel="0" collapsed="false">
      <c r="A460" s="7" t="s">
        <v>6733</v>
      </c>
      <c r="B460" s="7" t="s">
        <v>31</v>
      </c>
      <c r="C460" s="7" t="s">
        <v>6734</v>
      </c>
      <c r="D460" s="7" t="s">
        <v>249</v>
      </c>
      <c r="E460" s="7" t="s">
        <v>250</v>
      </c>
      <c r="F460" s="7" t="s">
        <v>6735</v>
      </c>
      <c r="G460" s="7" t="s">
        <v>174</v>
      </c>
      <c r="H460" s="10" t="n">
        <v>800</v>
      </c>
      <c r="I460" s="7" t="s">
        <v>386</v>
      </c>
      <c r="J460" s="7"/>
      <c r="K460" s="7"/>
      <c r="L460" s="7" t="s">
        <v>3374</v>
      </c>
      <c r="M460" s="7"/>
      <c r="N460" s="7" t="s">
        <v>6736</v>
      </c>
      <c r="O460" s="7" t="s">
        <v>6692</v>
      </c>
    </row>
    <row r="461" customFormat="false" ht="15" hidden="false" customHeight="false" outlineLevel="0" collapsed="false">
      <c r="A461" s="7" t="s">
        <v>6737</v>
      </c>
      <c r="B461" s="7" t="s">
        <v>31</v>
      </c>
      <c r="C461" s="7" t="s">
        <v>6681</v>
      </c>
      <c r="D461" s="7" t="s">
        <v>136</v>
      </c>
      <c r="E461" s="7" t="s">
        <v>137</v>
      </c>
      <c r="F461" s="7" t="s">
        <v>6738</v>
      </c>
      <c r="G461" s="7" t="s">
        <v>174</v>
      </c>
      <c r="H461" s="10" t="n">
        <v>500</v>
      </c>
      <c r="I461" s="7" t="s">
        <v>350</v>
      </c>
      <c r="J461" s="7"/>
      <c r="K461" s="7" t="s">
        <v>6739</v>
      </c>
      <c r="L461" s="7" t="s">
        <v>6684</v>
      </c>
      <c r="M461" s="7"/>
      <c r="N461" s="7" t="s">
        <v>269</v>
      </c>
      <c r="O461" s="7" t="s">
        <v>6740</v>
      </c>
    </row>
    <row r="462" customFormat="false" ht="15" hidden="false" customHeight="false" outlineLevel="0" collapsed="false">
      <c r="A462" s="7" t="s">
        <v>6741</v>
      </c>
      <c r="B462" s="7" t="s">
        <v>31</v>
      </c>
      <c r="C462" s="7" t="s">
        <v>6734</v>
      </c>
      <c r="D462" s="7" t="s">
        <v>3112</v>
      </c>
      <c r="E462" s="7" t="s">
        <v>163</v>
      </c>
      <c r="F462" s="7" t="s">
        <v>6742</v>
      </c>
      <c r="G462" s="7" t="s">
        <v>174</v>
      </c>
      <c r="H462" s="10" t="n">
        <v>500</v>
      </c>
      <c r="I462" s="7" t="s">
        <v>386</v>
      </c>
      <c r="J462" s="7"/>
      <c r="K462" s="7" t="s">
        <v>6743</v>
      </c>
      <c r="L462" s="7" t="s">
        <v>3374</v>
      </c>
      <c r="M462" s="7"/>
      <c r="N462" s="7" t="s">
        <v>6744</v>
      </c>
      <c r="O462" s="7" t="s">
        <v>3354</v>
      </c>
    </row>
    <row r="463" customFormat="false" ht="15" hidden="false" customHeight="false" outlineLevel="0" collapsed="false">
      <c r="A463" s="7" t="s">
        <v>6745</v>
      </c>
      <c r="B463" s="7" t="s">
        <v>31</v>
      </c>
      <c r="C463" s="7" t="s">
        <v>6746</v>
      </c>
      <c r="D463" s="7" t="s">
        <v>112</v>
      </c>
      <c r="E463" s="7" t="s">
        <v>113</v>
      </c>
      <c r="F463" s="7" t="s">
        <v>6747</v>
      </c>
      <c r="G463" s="7" t="s">
        <v>174</v>
      </c>
      <c r="H463" s="10" t="n">
        <v>1400</v>
      </c>
      <c r="I463" s="7" t="s">
        <v>350</v>
      </c>
      <c r="J463" s="7"/>
      <c r="K463" s="7" t="s">
        <v>6748</v>
      </c>
      <c r="L463" s="7" t="s">
        <v>3337</v>
      </c>
      <c r="M463" s="7"/>
      <c r="N463" s="7" t="s">
        <v>6749</v>
      </c>
      <c r="O463" s="7" t="s">
        <v>6750</v>
      </c>
    </row>
    <row r="464" customFormat="false" ht="15" hidden="false" customHeight="false" outlineLevel="0" collapsed="false">
      <c r="A464" s="7" t="s">
        <v>6751</v>
      </c>
      <c r="B464" s="7" t="s">
        <v>31</v>
      </c>
      <c r="C464" s="7" t="s">
        <v>3268</v>
      </c>
      <c r="D464" s="7" t="s">
        <v>6752</v>
      </c>
      <c r="E464" s="7" t="s">
        <v>113</v>
      </c>
      <c r="F464" s="7" t="s">
        <v>6753</v>
      </c>
      <c r="G464" s="7" t="s">
        <v>174</v>
      </c>
      <c r="H464" s="10" t="n">
        <v>700</v>
      </c>
      <c r="I464" s="7" t="s">
        <v>69</v>
      </c>
      <c r="J464" s="7" t="s">
        <v>6754</v>
      </c>
      <c r="K464" s="7" t="s">
        <v>6755</v>
      </c>
      <c r="L464" s="7" t="s">
        <v>3374</v>
      </c>
      <c r="M464" s="7"/>
      <c r="N464" s="7" t="s">
        <v>6756</v>
      </c>
      <c r="O464" s="7" t="s">
        <v>6757</v>
      </c>
    </row>
    <row r="465" customFormat="false" ht="15" hidden="false" customHeight="false" outlineLevel="0" collapsed="false">
      <c r="A465" s="7" t="s">
        <v>6758</v>
      </c>
      <c r="B465" s="7" t="s">
        <v>31</v>
      </c>
      <c r="C465" s="7" t="s">
        <v>6720</v>
      </c>
      <c r="D465" s="7" t="s">
        <v>1245</v>
      </c>
      <c r="E465" s="7" t="s">
        <v>78</v>
      </c>
      <c r="F465" s="7" t="s">
        <v>6759</v>
      </c>
      <c r="G465" s="7" t="s">
        <v>174</v>
      </c>
      <c r="H465" s="10" t="n">
        <v>400</v>
      </c>
      <c r="I465" s="7" t="s">
        <v>386</v>
      </c>
      <c r="J465" s="7"/>
      <c r="K465" s="7" t="s">
        <v>6760</v>
      </c>
      <c r="L465" s="7" t="s">
        <v>3374</v>
      </c>
      <c r="M465" s="7"/>
      <c r="N465" s="7" t="s">
        <v>6761</v>
      </c>
      <c r="O465" s="7" t="s">
        <v>3266</v>
      </c>
    </row>
    <row r="466" customFormat="false" ht="15" hidden="false" customHeight="false" outlineLevel="0" collapsed="false">
      <c r="A466" s="7" t="s">
        <v>6762</v>
      </c>
      <c r="B466" s="7" t="s">
        <v>31</v>
      </c>
      <c r="C466" s="7" t="s">
        <v>6763</v>
      </c>
      <c r="D466" s="7" t="s">
        <v>112</v>
      </c>
      <c r="E466" s="7" t="s">
        <v>113</v>
      </c>
      <c r="F466" s="7" t="s">
        <v>6764</v>
      </c>
      <c r="G466" s="7" t="s">
        <v>174</v>
      </c>
      <c r="H466" s="10" t="n">
        <v>500</v>
      </c>
      <c r="I466" s="7" t="s">
        <v>69</v>
      </c>
      <c r="J466" s="7" t="s">
        <v>6765</v>
      </c>
      <c r="K466" s="7" t="s">
        <v>6766</v>
      </c>
      <c r="L466" s="7" t="s">
        <v>3374</v>
      </c>
      <c r="M466" s="7"/>
      <c r="N466" s="7" t="s">
        <v>6767</v>
      </c>
      <c r="O466" s="7" t="s">
        <v>1250</v>
      </c>
    </row>
    <row r="467" customFormat="false" ht="15" hidden="false" customHeight="false" outlineLevel="0" collapsed="false">
      <c r="A467" s="7" t="s">
        <v>6768</v>
      </c>
      <c r="B467" s="7" t="s">
        <v>31</v>
      </c>
      <c r="C467" s="7" t="s">
        <v>6734</v>
      </c>
      <c r="D467" s="7" t="s">
        <v>6769</v>
      </c>
      <c r="E467" s="7" t="s">
        <v>78</v>
      </c>
      <c r="F467" s="7" t="s">
        <v>6770</v>
      </c>
      <c r="G467" s="7" t="s">
        <v>174</v>
      </c>
      <c r="H467" s="10" t="n">
        <v>600</v>
      </c>
      <c r="I467" s="7" t="s">
        <v>386</v>
      </c>
      <c r="J467" s="7"/>
      <c r="K467" s="7" t="s">
        <v>6771</v>
      </c>
      <c r="L467" s="7" t="s">
        <v>3374</v>
      </c>
      <c r="M467" s="7"/>
      <c r="N467" s="7" t="s">
        <v>6772</v>
      </c>
      <c r="O467" s="7" t="s">
        <v>6773</v>
      </c>
    </row>
    <row r="468" customFormat="false" ht="15" hidden="false" customHeight="false" outlineLevel="0" collapsed="false">
      <c r="A468" s="7" t="s">
        <v>6774</v>
      </c>
      <c r="B468" s="7" t="s">
        <v>31</v>
      </c>
      <c r="C468" s="7" t="s">
        <v>6775</v>
      </c>
      <c r="D468" s="7" t="s">
        <v>347</v>
      </c>
      <c r="E468" s="7" t="s">
        <v>348</v>
      </c>
      <c r="F468" s="7" t="s">
        <v>6776</v>
      </c>
      <c r="G468" s="7" t="s">
        <v>174</v>
      </c>
      <c r="H468" s="10" t="n">
        <v>1000</v>
      </c>
      <c r="I468" s="7" t="s">
        <v>69</v>
      </c>
      <c r="J468" s="7" t="s">
        <v>1099</v>
      </c>
      <c r="K468" s="7" t="s">
        <v>6777</v>
      </c>
      <c r="L468" s="7" t="s">
        <v>3374</v>
      </c>
      <c r="M468" s="7"/>
      <c r="N468" s="7" t="s">
        <v>6778</v>
      </c>
      <c r="O468" s="7" t="s">
        <v>6692</v>
      </c>
    </row>
    <row r="469" customFormat="false" ht="15" hidden="false" customHeight="false" outlineLevel="0" collapsed="false">
      <c r="A469" s="7" t="s">
        <v>6779</v>
      </c>
      <c r="B469" s="7" t="s">
        <v>31</v>
      </c>
      <c r="C469" s="7" t="s">
        <v>6780</v>
      </c>
      <c r="D469" s="7" t="s">
        <v>6781</v>
      </c>
      <c r="E469" s="7" t="s">
        <v>854</v>
      </c>
      <c r="F469" s="7" t="s">
        <v>6782</v>
      </c>
      <c r="G469" s="7" t="s">
        <v>174</v>
      </c>
      <c r="H469" s="10" t="n">
        <v>900</v>
      </c>
      <c r="I469" s="7" t="s">
        <v>3239</v>
      </c>
      <c r="J469" s="7"/>
      <c r="K469" s="7" t="s">
        <v>6783</v>
      </c>
      <c r="L469" s="7" t="s">
        <v>6784</v>
      </c>
      <c r="M469" s="7"/>
      <c r="N469" s="7" t="s">
        <v>269</v>
      </c>
      <c r="O469" s="7" t="s">
        <v>6785</v>
      </c>
    </row>
    <row r="470" customFormat="false" ht="15" hidden="false" customHeight="false" outlineLevel="0" collapsed="false">
      <c r="A470" s="7" t="s">
        <v>6786</v>
      </c>
      <c r="B470" s="7" t="s">
        <v>31</v>
      </c>
      <c r="C470" s="7" t="s">
        <v>6787</v>
      </c>
      <c r="D470" s="7" t="s">
        <v>6788</v>
      </c>
      <c r="E470" s="7" t="s">
        <v>1081</v>
      </c>
      <c r="F470" s="7" t="s">
        <v>6789</v>
      </c>
      <c r="G470" s="7" t="s">
        <v>174</v>
      </c>
      <c r="H470" s="10" t="n">
        <v>1200</v>
      </c>
      <c r="I470" s="7" t="s">
        <v>350</v>
      </c>
      <c r="J470" s="7"/>
      <c r="K470" s="7" t="s">
        <v>6790</v>
      </c>
      <c r="L470" s="7" t="s">
        <v>6684</v>
      </c>
      <c r="M470" s="7"/>
      <c r="N470" s="7" t="s">
        <v>269</v>
      </c>
      <c r="O470" s="7" t="s">
        <v>6791</v>
      </c>
    </row>
    <row r="471" customFormat="false" ht="15" hidden="false" customHeight="false" outlineLevel="0" collapsed="false">
      <c r="A471" s="7" t="s">
        <v>6792</v>
      </c>
      <c r="B471" s="7" t="s">
        <v>31</v>
      </c>
      <c r="C471" s="7" t="s">
        <v>6793</v>
      </c>
      <c r="D471" s="7" t="s">
        <v>112</v>
      </c>
      <c r="E471" s="7" t="s">
        <v>113</v>
      </c>
      <c r="F471" s="7" t="s">
        <v>6794</v>
      </c>
      <c r="G471" s="7" t="s">
        <v>174</v>
      </c>
      <c r="H471" s="10" t="n">
        <v>800</v>
      </c>
      <c r="I471" s="7" t="s">
        <v>386</v>
      </c>
      <c r="J471" s="7"/>
      <c r="K471" s="7" t="s">
        <v>6795</v>
      </c>
      <c r="L471" s="7" t="s">
        <v>3374</v>
      </c>
      <c r="M471" s="7"/>
      <c r="N471" s="7" t="s">
        <v>3294</v>
      </c>
      <c r="O471" s="7" t="s">
        <v>6692</v>
      </c>
    </row>
    <row r="472" customFormat="false" ht="15" hidden="false" customHeight="false" outlineLevel="0" collapsed="false">
      <c r="A472" s="7" t="s">
        <v>6796</v>
      </c>
      <c r="B472" s="7" t="s">
        <v>31</v>
      </c>
      <c r="C472" s="7" t="s">
        <v>6797</v>
      </c>
      <c r="D472" s="7" t="s">
        <v>6798</v>
      </c>
      <c r="E472" s="7" t="s">
        <v>1789</v>
      </c>
      <c r="F472" s="7" t="s">
        <v>6799</v>
      </c>
      <c r="G472" s="7" t="s">
        <v>174</v>
      </c>
      <c r="H472" s="10" t="n">
        <v>450</v>
      </c>
      <c r="I472" s="7" t="s">
        <v>69</v>
      </c>
      <c r="J472" s="7" t="s">
        <v>6800</v>
      </c>
      <c r="K472" s="7" t="s">
        <v>6801</v>
      </c>
      <c r="L472" s="7" t="s">
        <v>3374</v>
      </c>
      <c r="M472" s="7"/>
      <c r="N472" s="7" t="s">
        <v>6802</v>
      </c>
      <c r="O472" s="7" t="s">
        <v>6803</v>
      </c>
    </row>
    <row r="473" customFormat="false" ht="15" hidden="false" customHeight="false" outlineLevel="0" collapsed="false">
      <c r="A473" s="7" t="s">
        <v>6804</v>
      </c>
      <c r="B473" s="7" t="s">
        <v>31</v>
      </c>
      <c r="C473" s="7" t="s">
        <v>6805</v>
      </c>
      <c r="D473" s="7" t="s">
        <v>112</v>
      </c>
      <c r="E473" s="7" t="s">
        <v>113</v>
      </c>
      <c r="F473" s="7" t="s">
        <v>6806</v>
      </c>
      <c r="G473" s="7" t="s">
        <v>174</v>
      </c>
      <c r="H473" s="10" t="n">
        <v>900</v>
      </c>
      <c r="I473" s="7" t="s">
        <v>350</v>
      </c>
      <c r="J473" s="7"/>
      <c r="K473" s="7" t="s">
        <v>6807</v>
      </c>
      <c r="L473" s="7" t="s">
        <v>3337</v>
      </c>
      <c r="M473" s="7"/>
      <c r="N473" s="7" t="s">
        <v>6808</v>
      </c>
      <c r="O473" s="7" t="s">
        <v>1250</v>
      </c>
    </row>
    <row r="474" customFormat="false" ht="15" hidden="false" customHeight="false" outlineLevel="0" collapsed="false">
      <c r="A474" s="7" t="s">
        <v>6809</v>
      </c>
      <c r="B474" s="7" t="s">
        <v>31</v>
      </c>
      <c r="C474" s="7" t="s">
        <v>6810</v>
      </c>
      <c r="D474" s="7" t="s">
        <v>112</v>
      </c>
      <c r="E474" s="7" t="s">
        <v>113</v>
      </c>
      <c r="F474" s="7" t="s">
        <v>6811</v>
      </c>
      <c r="G474" s="7" t="s">
        <v>174</v>
      </c>
      <c r="H474" s="10" t="n">
        <v>400</v>
      </c>
      <c r="I474" s="7" t="s">
        <v>350</v>
      </c>
      <c r="J474" s="7"/>
      <c r="K474" s="7" t="s">
        <v>6812</v>
      </c>
      <c r="L474" s="7" t="s">
        <v>3374</v>
      </c>
      <c r="M474" s="7"/>
      <c r="N474" s="7" t="s">
        <v>6813</v>
      </c>
      <c r="O474" s="7" t="s">
        <v>1250</v>
      </c>
    </row>
    <row r="475" customFormat="false" ht="15" hidden="false" customHeight="false" outlineLevel="0" collapsed="false">
      <c r="A475" s="7" t="s">
        <v>6814</v>
      </c>
      <c r="B475" s="7" t="s">
        <v>31</v>
      </c>
      <c r="C475" s="7" t="s">
        <v>3457</v>
      </c>
      <c r="D475" s="7" t="s">
        <v>1328</v>
      </c>
      <c r="E475" s="7" t="s">
        <v>78</v>
      </c>
      <c r="F475" s="7" t="s">
        <v>6815</v>
      </c>
      <c r="G475" s="7" t="s">
        <v>174</v>
      </c>
      <c r="H475" s="10" t="n">
        <v>700</v>
      </c>
      <c r="I475" s="7" t="s">
        <v>517</v>
      </c>
      <c r="J475" s="7"/>
      <c r="K475" s="7" t="s">
        <v>6816</v>
      </c>
      <c r="L475" s="7" t="s">
        <v>3278</v>
      </c>
      <c r="M475" s="7"/>
      <c r="N475" s="7" t="s">
        <v>6817</v>
      </c>
      <c r="O475" s="7" t="s">
        <v>6818</v>
      </c>
    </row>
    <row r="476" customFormat="false" ht="15" hidden="false" customHeight="false" outlineLevel="0" collapsed="false">
      <c r="A476" s="7" t="s">
        <v>2431</v>
      </c>
      <c r="B476" s="7" t="s">
        <v>31</v>
      </c>
      <c r="C476" s="7" t="s">
        <v>6687</v>
      </c>
      <c r="D476" s="7" t="s">
        <v>2458</v>
      </c>
      <c r="E476" s="7" t="s">
        <v>338</v>
      </c>
      <c r="F476" s="7" t="s">
        <v>6819</v>
      </c>
      <c r="G476" s="7" t="s">
        <v>174</v>
      </c>
      <c r="H476" s="10" t="n">
        <v>750</v>
      </c>
      <c r="I476" s="7" t="s">
        <v>386</v>
      </c>
      <c r="J476" s="7"/>
      <c r="K476" s="7"/>
      <c r="L476" s="7" t="s">
        <v>3374</v>
      </c>
      <c r="M476" s="7"/>
      <c r="N476" s="7" t="s">
        <v>6820</v>
      </c>
      <c r="O476" s="7" t="s">
        <v>6692</v>
      </c>
    </row>
    <row r="477" customFormat="false" ht="15" hidden="false" customHeight="false" outlineLevel="0" collapsed="false">
      <c r="A477" s="7" t="s">
        <v>6821</v>
      </c>
      <c r="B477" s="7" t="s">
        <v>31</v>
      </c>
      <c r="C477" s="7" t="s">
        <v>6822</v>
      </c>
      <c r="D477" s="7" t="s">
        <v>249</v>
      </c>
      <c r="E477" s="7" t="s">
        <v>250</v>
      </c>
      <c r="F477" s="7" t="s">
        <v>6823</v>
      </c>
      <c r="G477" s="7" t="s">
        <v>174</v>
      </c>
      <c r="H477" s="10" t="n">
        <v>500</v>
      </c>
      <c r="I477" s="7" t="s">
        <v>69</v>
      </c>
      <c r="J477" s="7" t="s">
        <v>252</v>
      </c>
      <c r="K477" s="7"/>
      <c r="L477" s="7" t="s">
        <v>3374</v>
      </c>
      <c r="M477" s="7"/>
      <c r="N477" s="7" t="s">
        <v>6824</v>
      </c>
      <c r="O477" s="7" t="s">
        <v>1250</v>
      </c>
    </row>
    <row r="478" customFormat="false" ht="15" hidden="false" customHeight="false" outlineLevel="0" collapsed="false">
      <c r="A478" s="7" t="s">
        <v>6825</v>
      </c>
      <c r="B478" s="7" t="s">
        <v>31</v>
      </c>
      <c r="C478" s="7" t="s">
        <v>6720</v>
      </c>
      <c r="D478" s="7" t="s">
        <v>5523</v>
      </c>
      <c r="E478" s="7" t="s">
        <v>88</v>
      </c>
      <c r="F478" s="7" t="s">
        <v>6826</v>
      </c>
      <c r="G478" s="7" t="s">
        <v>174</v>
      </c>
      <c r="H478" s="10" t="n">
        <v>500</v>
      </c>
      <c r="I478" s="7" t="s">
        <v>386</v>
      </c>
      <c r="J478" s="7"/>
      <c r="K478" s="7" t="s">
        <v>6827</v>
      </c>
      <c r="L478" s="7" t="s">
        <v>3374</v>
      </c>
      <c r="M478" s="7"/>
      <c r="N478" s="7" t="s">
        <v>3294</v>
      </c>
      <c r="O478" s="7" t="s">
        <v>3266</v>
      </c>
    </row>
    <row r="479" customFormat="false" ht="15" hidden="false" customHeight="false" outlineLevel="0" collapsed="false">
      <c r="A479" s="7" t="s">
        <v>6828</v>
      </c>
      <c r="B479" s="7" t="s">
        <v>31</v>
      </c>
      <c r="C479" s="7" t="s">
        <v>3290</v>
      </c>
      <c r="D479" s="7" t="s">
        <v>154</v>
      </c>
      <c r="E479" s="7" t="s">
        <v>155</v>
      </c>
      <c r="F479" s="7" t="s">
        <v>6829</v>
      </c>
      <c r="G479" s="7" t="s">
        <v>174</v>
      </c>
      <c r="H479" s="10" t="n">
        <v>800</v>
      </c>
      <c r="I479" s="7" t="s">
        <v>386</v>
      </c>
      <c r="J479" s="7"/>
      <c r="K479" s="7" t="s">
        <v>6830</v>
      </c>
      <c r="L479" s="7" t="s">
        <v>3337</v>
      </c>
      <c r="M479" s="7"/>
      <c r="N479" s="7" t="s">
        <v>6831</v>
      </c>
      <c r="O479" s="7" t="s">
        <v>1250</v>
      </c>
    </row>
    <row r="480" customFormat="false" ht="15" hidden="false" customHeight="false" outlineLevel="0" collapsed="false">
      <c r="A480" s="7" t="s">
        <v>6832</v>
      </c>
      <c r="B480" s="7" t="s">
        <v>31</v>
      </c>
      <c r="C480" s="7" t="s">
        <v>6833</v>
      </c>
      <c r="D480" s="7" t="s">
        <v>3392</v>
      </c>
      <c r="E480" s="7" t="s">
        <v>147</v>
      </c>
      <c r="F480" s="7" t="s">
        <v>6834</v>
      </c>
      <c r="G480" s="7" t="s">
        <v>174</v>
      </c>
      <c r="H480" s="10" t="n">
        <v>700</v>
      </c>
      <c r="I480" s="7" t="s">
        <v>386</v>
      </c>
      <c r="J480" s="7"/>
      <c r="K480" s="7" t="s">
        <v>6835</v>
      </c>
      <c r="L480" s="7" t="s">
        <v>3374</v>
      </c>
      <c r="M480" s="7"/>
      <c r="N480" s="7" t="s">
        <v>6761</v>
      </c>
      <c r="O480" s="7" t="s">
        <v>6836</v>
      </c>
    </row>
    <row r="481" customFormat="false" ht="15" hidden="false" customHeight="false" outlineLevel="0" collapsed="false">
      <c r="A481" s="7" t="s">
        <v>6837</v>
      </c>
      <c r="B481" s="7" t="s">
        <v>31</v>
      </c>
      <c r="C481" s="7" t="s">
        <v>6838</v>
      </c>
      <c r="D481" s="7" t="s">
        <v>154</v>
      </c>
      <c r="E481" s="7" t="s">
        <v>155</v>
      </c>
      <c r="F481" s="7" t="s">
        <v>6839</v>
      </c>
      <c r="G481" s="7" t="s">
        <v>258</v>
      </c>
      <c r="H481" s="10" t="n">
        <v>300</v>
      </c>
      <c r="I481" s="7" t="s">
        <v>517</v>
      </c>
      <c r="J481" s="7"/>
      <c r="K481" s="7" t="s">
        <v>6840</v>
      </c>
      <c r="L481" s="7" t="s">
        <v>3374</v>
      </c>
      <c r="M481" s="7"/>
      <c r="N481" s="7" t="s">
        <v>269</v>
      </c>
      <c r="O481" s="7" t="s">
        <v>6841</v>
      </c>
    </row>
    <row r="482" customFormat="false" ht="15" hidden="false" customHeight="false" outlineLevel="0" collapsed="false">
      <c r="A482" s="7" t="s">
        <v>6842</v>
      </c>
      <c r="B482" s="7" t="s">
        <v>31</v>
      </c>
      <c r="C482" s="7" t="s">
        <v>6843</v>
      </c>
      <c r="D482" s="7" t="s">
        <v>1245</v>
      </c>
      <c r="E482" s="7" t="s">
        <v>78</v>
      </c>
      <c r="F482" s="7" t="s">
        <v>6844</v>
      </c>
      <c r="G482" s="7" t="s">
        <v>258</v>
      </c>
      <c r="H482" s="10" t="n">
        <v>500</v>
      </c>
      <c r="I482" s="7" t="s">
        <v>386</v>
      </c>
      <c r="J482" s="7"/>
      <c r="K482" s="7" t="s">
        <v>6845</v>
      </c>
      <c r="L482" s="7" t="s">
        <v>3337</v>
      </c>
      <c r="M482" s="7"/>
      <c r="N482" s="7" t="s">
        <v>6846</v>
      </c>
      <c r="O482" s="7" t="s">
        <v>3354</v>
      </c>
    </row>
    <row r="483" customFormat="false" ht="15" hidden="false" customHeight="false" outlineLevel="0" collapsed="false">
      <c r="A483" s="7" t="s">
        <v>6847</v>
      </c>
      <c r="B483" s="7" t="s">
        <v>31</v>
      </c>
      <c r="C483" s="7" t="s">
        <v>6848</v>
      </c>
      <c r="D483" s="7" t="s">
        <v>136</v>
      </c>
      <c r="E483" s="7" t="s">
        <v>137</v>
      </c>
      <c r="F483" s="7" t="s">
        <v>6849</v>
      </c>
      <c r="G483" s="7" t="s">
        <v>258</v>
      </c>
      <c r="H483" s="10" t="n">
        <v>300</v>
      </c>
      <c r="I483" s="7" t="s">
        <v>517</v>
      </c>
      <c r="J483" s="7"/>
      <c r="K483" s="7" t="s">
        <v>6850</v>
      </c>
      <c r="L483" s="7" t="s">
        <v>3374</v>
      </c>
      <c r="M483" s="7"/>
      <c r="N483" s="7" t="s">
        <v>269</v>
      </c>
      <c r="O483" s="7" t="s">
        <v>6851</v>
      </c>
    </row>
    <row r="484" customFormat="false" ht="15" hidden="false" customHeight="false" outlineLevel="0" collapsed="false">
      <c r="A484" s="7" t="s">
        <v>6852</v>
      </c>
      <c r="B484" s="7" t="s">
        <v>31</v>
      </c>
      <c r="C484" s="7" t="s">
        <v>6713</v>
      </c>
      <c r="D484" s="7" t="s">
        <v>827</v>
      </c>
      <c r="E484" s="7" t="s">
        <v>480</v>
      </c>
      <c r="F484" s="7" t="s">
        <v>6853</v>
      </c>
      <c r="G484" s="7" t="s">
        <v>258</v>
      </c>
      <c r="H484" s="10" t="n">
        <v>600</v>
      </c>
      <c r="I484" s="7" t="s">
        <v>517</v>
      </c>
      <c r="J484" s="7"/>
      <c r="K484" s="7" t="s">
        <v>6854</v>
      </c>
      <c r="L484" s="7" t="s">
        <v>3374</v>
      </c>
      <c r="M484" s="7"/>
      <c r="N484" s="7" t="s">
        <v>6855</v>
      </c>
      <c r="O484" s="7" t="s">
        <v>6856</v>
      </c>
    </row>
    <row r="485" customFormat="false" ht="15" hidden="false" customHeight="false" outlineLevel="0" collapsed="false">
      <c r="A485" s="7" t="s">
        <v>6857</v>
      </c>
      <c r="B485" s="7" t="s">
        <v>31</v>
      </c>
      <c r="C485" s="7" t="s">
        <v>6720</v>
      </c>
      <c r="D485" s="7" t="s">
        <v>1579</v>
      </c>
      <c r="E485" s="7" t="s">
        <v>854</v>
      </c>
      <c r="F485" s="7" t="s">
        <v>6858</v>
      </c>
      <c r="G485" s="7" t="s">
        <v>258</v>
      </c>
      <c r="H485" s="10" t="n">
        <v>300</v>
      </c>
      <c r="I485" s="7" t="s">
        <v>386</v>
      </c>
      <c r="J485" s="7"/>
      <c r="K485" s="7" t="s">
        <v>6859</v>
      </c>
      <c r="L485" s="7" t="s">
        <v>3374</v>
      </c>
      <c r="M485" s="7"/>
      <c r="N485" s="7" t="s">
        <v>6860</v>
      </c>
      <c r="O485" s="7" t="s">
        <v>3354</v>
      </c>
    </row>
    <row r="486" customFormat="false" ht="15" hidden="false" customHeight="false" outlineLevel="0" collapsed="false">
      <c r="A486" s="7" t="s">
        <v>6861</v>
      </c>
      <c r="B486" s="7" t="s">
        <v>31</v>
      </c>
      <c r="C486" s="7" t="s">
        <v>3457</v>
      </c>
      <c r="D486" s="7" t="s">
        <v>154</v>
      </c>
      <c r="E486" s="7" t="s">
        <v>155</v>
      </c>
      <c r="F486" s="7" t="s">
        <v>6862</v>
      </c>
      <c r="G486" s="7" t="s">
        <v>258</v>
      </c>
      <c r="H486" s="10" t="n">
        <v>400</v>
      </c>
      <c r="I486" s="7" t="s">
        <v>517</v>
      </c>
      <c r="J486" s="7"/>
      <c r="K486" s="7" t="s">
        <v>6863</v>
      </c>
      <c r="L486" s="7" t="s">
        <v>3374</v>
      </c>
      <c r="M486" s="7"/>
      <c r="N486" s="7" t="s">
        <v>6864</v>
      </c>
      <c r="O486" s="7" t="s">
        <v>6865</v>
      </c>
    </row>
    <row r="487" customFormat="false" ht="15" hidden="false" customHeight="false" outlineLevel="0" collapsed="false">
      <c r="A487" s="7" t="s">
        <v>6866</v>
      </c>
      <c r="B487" s="7" t="s">
        <v>31</v>
      </c>
      <c r="C487" s="7" t="s">
        <v>3260</v>
      </c>
      <c r="D487" s="7" t="s">
        <v>112</v>
      </c>
      <c r="E487" s="7" t="s">
        <v>113</v>
      </c>
      <c r="F487" s="7" t="s">
        <v>6867</v>
      </c>
      <c r="G487" s="7" t="s">
        <v>258</v>
      </c>
      <c r="H487" s="10" t="n">
        <v>400</v>
      </c>
      <c r="I487" s="7" t="s">
        <v>350</v>
      </c>
      <c r="J487" s="7"/>
      <c r="K487" s="7" t="s">
        <v>6868</v>
      </c>
      <c r="L487" s="7" t="s">
        <v>6730</v>
      </c>
      <c r="M487" s="7"/>
      <c r="N487" s="7" t="s">
        <v>6869</v>
      </c>
      <c r="O487" s="7" t="s">
        <v>6870</v>
      </c>
    </row>
    <row r="488" customFormat="false" ht="15" hidden="false" customHeight="false" outlineLevel="0" collapsed="false">
      <c r="A488" s="7" t="s">
        <v>6871</v>
      </c>
      <c r="B488" s="7" t="s">
        <v>31</v>
      </c>
      <c r="C488" s="7" t="s">
        <v>6872</v>
      </c>
      <c r="D488" s="7" t="s">
        <v>6873</v>
      </c>
      <c r="E488" s="7" t="s">
        <v>155</v>
      </c>
      <c r="F488" s="7" t="s">
        <v>6874</v>
      </c>
      <c r="G488" s="7" t="s">
        <v>258</v>
      </c>
      <c r="H488" s="10" t="n">
        <v>300</v>
      </c>
      <c r="I488" s="7" t="s">
        <v>3239</v>
      </c>
      <c r="J488" s="7"/>
      <c r="K488" s="7" t="s">
        <v>6875</v>
      </c>
      <c r="L488" s="7" t="s">
        <v>6876</v>
      </c>
      <c r="M488" s="7"/>
      <c r="N488" s="7" t="s">
        <v>269</v>
      </c>
      <c r="O488" s="7" t="s">
        <v>6877</v>
      </c>
    </row>
    <row r="489" customFormat="false" ht="15" hidden="false" customHeight="false" outlineLevel="0" collapsed="false">
      <c r="A489" s="7" t="s">
        <v>6878</v>
      </c>
      <c r="B489" s="7" t="s">
        <v>31</v>
      </c>
      <c r="C489" s="7" t="s">
        <v>6713</v>
      </c>
      <c r="D489" s="7" t="s">
        <v>1599</v>
      </c>
      <c r="E489" s="7" t="s">
        <v>78</v>
      </c>
      <c r="F489" s="7" t="s">
        <v>6879</v>
      </c>
      <c r="G489" s="7" t="s">
        <v>258</v>
      </c>
      <c r="H489" s="10" t="n">
        <v>300</v>
      </c>
      <c r="I489" s="7" t="s">
        <v>350</v>
      </c>
      <c r="J489" s="7"/>
      <c r="K489" s="7" t="s">
        <v>6880</v>
      </c>
      <c r="L489" s="7" t="s">
        <v>3374</v>
      </c>
      <c r="M489" s="7"/>
      <c r="N489" s="7" t="s">
        <v>6881</v>
      </c>
      <c r="O489" s="7" t="s">
        <v>3266</v>
      </c>
    </row>
    <row r="490" customFormat="false" ht="15" hidden="false" customHeight="false" outlineLevel="0" collapsed="false">
      <c r="A490" s="7" t="s">
        <v>6882</v>
      </c>
      <c r="B490" s="7" t="s">
        <v>31</v>
      </c>
      <c r="C490" s="7" t="s">
        <v>1252</v>
      </c>
      <c r="D490" s="7" t="s">
        <v>1245</v>
      </c>
      <c r="E490" s="7" t="s">
        <v>78</v>
      </c>
      <c r="F490" s="7" t="s">
        <v>6883</v>
      </c>
      <c r="G490" s="7" t="s">
        <v>258</v>
      </c>
      <c r="H490" s="10" t="n">
        <v>400</v>
      </c>
      <c r="I490" s="7" t="s">
        <v>69</v>
      </c>
      <c r="J490" s="7" t="s">
        <v>6884</v>
      </c>
      <c r="K490" s="7" t="s">
        <v>6885</v>
      </c>
      <c r="L490" s="7" t="s">
        <v>1273</v>
      </c>
      <c r="M490" s="7"/>
      <c r="N490" s="7" t="s">
        <v>6886</v>
      </c>
      <c r="O490" s="7" t="s">
        <v>6887</v>
      </c>
    </row>
    <row r="491" customFormat="false" ht="15" hidden="false" customHeight="false" outlineLevel="0" collapsed="false">
      <c r="A491" s="7" t="s">
        <v>6888</v>
      </c>
      <c r="B491" s="7" t="s">
        <v>31</v>
      </c>
      <c r="C491" s="7" t="s">
        <v>6889</v>
      </c>
      <c r="D491" s="7" t="s">
        <v>1245</v>
      </c>
      <c r="E491" s="7" t="s">
        <v>78</v>
      </c>
      <c r="F491" s="7" t="s">
        <v>6890</v>
      </c>
      <c r="G491" s="7" t="s">
        <v>258</v>
      </c>
      <c r="H491" s="10" t="n">
        <v>250</v>
      </c>
      <c r="I491" s="7" t="s">
        <v>350</v>
      </c>
      <c r="J491" s="7"/>
      <c r="K491" s="7" t="s">
        <v>6891</v>
      </c>
      <c r="L491" s="7" t="s">
        <v>6892</v>
      </c>
      <c r="M491" s="7"/>
      <c r="N491" s="7" t="s">
        <v>6893</v>
      </c>
      <c r="O491" s="7" t="s">
        <v>1250</v>
      </c>
    </row>
    <row r="492" customFormat="false" ht="15" hidden="false" customHeight="false" outlineLevel="0" collapsed="false">
      <c r="A492" s="7" t="s">
        <v>6894</v>
      </c>
      <c r="B492" s="7" t="s">
        <v>31</v>
      </c>
      <c r="C492" s="7" t="s">
        <v>6895</v>
      </c>
      <c r="D492" s="7" t="s">
        <v>1245</v>
      </c>
      <c r="E492" s="7" t="s">
        <v>78</v>
      </c>
      <c r="F492" s="7" t="s">
        <v>6896</v>
      </c>
      <c r="G492" s="7" t="s">
        <v>258</v>
      </c>
      <c r="H492" s="10" t="n">
        <v>300</v>
      </c>
      <c r="I492" s="7" t="s">
        <v>386</v>
      </c>
      <c r="J492" s="7"/>
      <c r="K492" s="7" t="s">
        <v>6897</v>
      </c>
      <c r="L492" s="7" t="s">
        <v>6892</v>
      </c>
      <c r="M492" s="7"/>
      <c r="N492" s="7" t="s">
        <v>6898</v>
      </c>
      <c r="O492" s="7" t="s">
        <v>1250</v>
      </c>
    </row>
    <row r="493" customFormat="false" ht="15" hidden="false" customHeight="false" outlineLevel="0" collapsed="false">
      <c r="A493" s="7" t="s">
        <v>6899</v>
      </c>
      <c r="B493" s="7" t="s">
        <v>31</v>
      </c>
      <c r="C493" s="7" t="s">
        <v>6687</v>
      </c>
      <c r="D493" s="7" t="s">
        <v>1667</v>
      </c>
      <c r="E493" s="7" t="s">
        <v>222</v>
      </c>
      <c r="F493" s="7" t="s">
        <v>6900</v>
      </c>
      <c r="G493" s="7" t="s">
        <v>258</v>
      </c>
      <c r="H493" s="10" t="n">
        <v>300</v>
      </c>
      <c r="I493" s="7" t="s">
        <v>350</v>
      </c>
      <c r="J493" s="7"/>
      <c r="K493" s="7" t="s">
        <v>6901</v>
      </c>
      <c r="L493" s="7" t="s">
        <v>3374</v>
      </c>
      <c r="M493" s="7"/>
      <c r="N493" s="7" t="s">
        <v>269</v>
      </c>
      <c r="O493" s="7" t="s">
        <v>6902</v>
      </c>
    </row>
    <row r="494" customFormat="false" ht="15" hidden="false" customHeight="false" outlineLevel="0" collapsed="false">
      <c r="A494" s="7" t="s">
        <v>6903</v>
      </c>
      <c r="B494" s="7" t="s">
        <v>31</v>
      </c>
      <c r="C494" s="7" t="s">
        <v>3290</v>
      </c>
      <c r="D494" s="7" t="s">
        <v>112</v>
      </c>
      <c r="E494" s="7" t="s">
        <v>113</v>
      </c>
      <c r="F494" s="7" t="s">
        <v>6904</v>
      </c>
      <c r="G494" s="7" t="s">
        <v>258</v>
      </c>
      <c r="H494" s="10" t="n">
        <v>200</v>
      </c>
      <c r="I494" s="7" t="s">
        <v>350</v>
      </c>
      <c r="J494" s="7"/>
      <c r="K494" s="7" t="s">
        <v>6905</v>
      </c>
      <c r="L494" s="7" t="s">
        <v>3337</v>
      </c>
      <c r="M494" s="7"/>
      <c r="N494" s="7" t="s">
        <v>6906</v>
      </c>
      <c r="O494" s="7" t="s">
        <v>1250</v>
      </c>
    </row>
    <row r="495" customFormat="false" ht="15" hidden="false" customHeight="false" outlineLevel="0" collapsed="false">
      <c r="A495" s="7" t="s">
        <v>6907</v>
      </c>
      <c r="B495" s="7" t="s">
        <v>31</v>
      </c>
      <c r="C495" s="7" t="s">
        <v>3321</v>
      </c>
      <c r="D495" s="7" t="s">
        <v>1321</v>
      </c>
      <c r="E495" s="7" t="s">
        <v>78</v>
      </c>
      <c r="F495" s="7" t="s">
        <v>6908</v>
      </c>
      <c r="G495" s="7" t="s">
        <v>258</v>
      </c>
      <c r="H495" s="10" t="n">
        <v>500</v>
      </c>
      <c r="I495" s="7" t="s">
        <v>350</v>
      </c>
      <c r="J495" s="7"/>
      <c r="K495" s="7" t="s">
        <v>6909</v>
      </c>
      <c r="L495" s="7" t="s">
        <v>3374</v>
      </c>
      <c r="M495" s="7"/>
      <c r="N495" s="7" t="s">
        <v>6910</v>
      </c>
      <c r="O495" s="7" t="s">
        <v>1301</v>
      </c>
    </row>
    <row r="496" customFormat="false" ht="15" hidden="false" customHeight="false" outlineLevel="0" collapsed="false">
      <c r="A496" s="7" t="s">
        <v>6911</v>
      </c>
      <c r="B496" s="7" t="s">
        <v>31</v>
      </c>
      <c r="C496" s="7" t="s">
        <v>6793</v>
      </c>
      <c r="D496" s="7" t="s">
        <v>1599</v>
      </c>
      <c r="E496" s="7" t="s">
        <v>78</v>
      </c>
      <c r="F496" s="7" t="s">
        <v>6912</v>
      </c>
      <c r="G496" s="7" t="s">
        <v>258</v>
      </c>
      <c r="H496" s="10" t="n">
        <v>200</v>
      </c>
      <c r="I496" s="7" t="s">
        <v>350</v>
      </c>
      <c r="J496" s="7"/>
      <c r="K496" s="7" t="s">
        <v>6913</v>
      </c>
      <c r="L496" s="7" t="s">
        <v>6914</v>
      </c>
      <c r="M496" s="7"/>
      <c r="N496" s="7" t="s">
        <v>269</v>
      </c>
      <c r="O496" s="7" t="s">
        <v>6692</v>
      </c>
    </row>
    <row r="497" customFormat="false" ht="15" hidden="false" customHeight="false" outlineLevel="0" collapsed="false">
      <c r="A497" s="7" t="s">
        <v>6915</v>
      </c>
      <c r="B497" s="7" t="s">
        <v>31</v>
      </c>
      <c r="C497" s="7" t="s">
        <v>6916</v>
      </c>
      <c r="D497" s="7" t="s">
        <v>953</v>
      </c>
      <c r="E497" s="7" t="s">
        <v>1789</v>
      </c>
      <c r="F497" s="7" t="s">
        <v>6917</v>
      </c>
      <c r="G497" s="7" t="s">
        <v>258</v>
      </c>
      <c r="H497" s="10" t="n">
        <v>300</v>
      </c>
      <c r="I497" s="7" t="s">
        <v>350</v>
      </c>
      <c r="J497" s="7"/>
      <c r="K497" s="7" t="s">
        <v>6918</v>
      </c>
      <c r="L497" s="7" t="s">
        <v>6919</v>
      </c>
      <c r="M497" s="7"/>
      <c r="N497" s="7" t="s">
        <v>6920</v>
      </c>
      <c r="O497" s="7" t="s">
        <v>3266</v>
      </c>
    </row>
    <row r="498" customFormat="false" ht="15" hidden="false" customHeight="false" outlineLevel="0" collapsed="false">
      <c r="A498" s="7" t="s">
        <v>6921</v>
      </c>
      <c r="B498" s="7" t="s">
        <v>31</v>
      </c>
      <c r="C498" s="7" t="s">
        <v>6922</v>
      </c>
      <c r="D498" s="7" t="s">
        <v>1579</v>
      </c>
      <c r="E498" s="7" t="s">
        <v>854</v>
      </c>
      <c r="F498" s="7" t="s">
        <v>6923</v>
      </c>
      <c r="G498" s="7" t="s">
        <v>258</v>
      </c>
      <c r="H498" s="10" t="n">
        <v>150</v>
      </c>
      <c r="I498" s="7" t="s">
        <v>350</v>
      </c>
      <c r="J498" s="7"/>
      <c r="K498" s="7" t="s">
        <v>6924</v>
      </c>
      <c r="L498" s="7" t="s">
        <v>6925</v>
      </c>
      <c r="M498" s="7"/>
      <c r="N498" s="7" t="s">
        <v>6926</v>
      </c>
      <c r="O498" s="7" t="s">
        <v>6927</v>
      </c>
    </row>
    <row r="499" customFormat="false" ht="15" hidden="false" customHeight="false" outlineLevel="0" collapsed="false">
      <c r="A499" s="7" t="s">
        <v>6928</v>
      </c>
      <c r="B499" s="7" t="s">
        <v>31</v>
      </c>
      <c r="C499" s="7" t="s">
        <v>6929</v>
      </c>
      <c r="D499" s="7" t="s">
        <v>358</v>
      </c>
      <c r="E499" s="7" t="s">
        <v>359</v>
      </c>
      <c r="F499" s="7" t="s">
        <v>6930</v>
      </c>
      <c r="G499" s="7" t="s">
        <v>258</v>
      </c>
      <c r="H499" s="10" t="n">
        <v>300</v>
      </c>
      <c r="I499" s="7" t="s">
        <v>350</v>
      </c>
      <c r="J499" s="7"/>
      <c r="K499" s="7" t="s">
        <v>6931</v>
      </c>
      <c r="L499" s="7" t="s">
        <v>3374</v>
      </c>
      <c r="M499" s="7"/>
      <c r="N499" s="7" t="s">
        <v>6932</v>
      </c>
      <c r="O499" s="7" t="s">
        <v>1250</v>
      </c>
    </row>
    <row r="500" customFormat="false" ht="15" hidden="false" customHeight="false" outlineLevel="0" collapsed="false">
      <c r="A500" s="7" t="s">
        <v>6933</v>
      </c>
      <c r="B500" s="7" t="s">
        <v>31</v>
      </c>
      <c r="C500" s="7" t="s">
        <v>3457</v>
      </c>
      <c r="D500" s="7" t="s">
        <v>249</v>
      </c>
      <c r="E500" s="7" t="s">
        <v>250</v>
      </c>
      <c r="F500" s="7" t="s">
        <v>6934</v>
      </c>
      <c r="G500" s="7" t="s">
        <v>258</v>
      </c>
      <c r="H500" s="10" t="n">
        <v>500</v>
      </c>
      <c r="I500" s="7" t="s">
        <v>517</v>
      </c>
      <c r="J500" s="7"/>
      <c r="K500" s="7" t="s">
        <v>6935</v>
      </c>
      <c r="L500" s="7" t="s">
        <v>3374</v>
      </c>
      <c r="M500" s="7"/>
      <c r="N500" s="7" t="s">
        <v>269</v>
      </c>
      <c r="O500" s="7" t="s">
        <v>6936</v>
      </c>
    </row>
    <row r="501" customFormat="false" ht="15" hidden="false" customHeight="false" outlineLevel="0" collapsed="false">
      <c r="A501" s="7" t="s">
        <v>6937</v>
      </c>
      <c r="B501" s="7" t="s">
        <v>32</v>
      </c>
      <c r="C501" s="7" t="s">
        <v>6938</v>
      </c>
      <c r="D501" s="7" t="s">
        <v>2835</v>
      </c>
      <c r="E501" s="7" t="s">
        <v>113</v>
      </c>
      <c r="F501" s="7" t="s">
        <v>6939</v>
      </c>
      <c r="G501" s="7" t="s">
        <v>68</v>
      </c>
      <c r="H501" s="10" t="n">
        <v>9000</v>
      </c>
      <c r="I501" s="7" t="s">
        <v>69</v>
      </c>
      <c r="J501" s="7" t="s">
        <v>1330</v>
      </c>
      <c r="K501" s="7"/>
      <c r="L501" s="7" t="s">
        <v>1491</v>
      </c>
      <c r="M501" s="7"/>
      <c r="N501" s="7" t="s">
        <v>6940</v>
      </c>
      <c r="O501" s="7" t="s">
        <v>1335</v>
      </c>
    </row>
    <row r="502" customFormat="false" ht="15" hidden="false" customHeight="false" outlineLevel="0" collapsed="false">
      <c r="A502" s="7" t="s">
        <v>6941</v>
      </c>
      <c r="B502" s="7" t="s">
        <v>32</v>
      </c>
      <c r="C502" s="7" t="s">
        <v>6942</v>
      </c>
      <c r="D502" s="7" t="s">
        <v>6943</v>
      </c>
      <c r="E502" s="7" t="s">
        <v>155</v>
      </c>
      <c r="F502" s="7" t="s">
        <v>6944</v>
      </c>
      <c r="G502" s="7" t="s">
        <v>68</v>
      </c>
      <c r="H502" s="10" t="n">
        <v>7000</v>
      </c>
      <c r="I502" s="7" t="s">
        <v>69</v>
      </c>
      <c r="J502" s="7" t="s">
        <v>1452</v>
      </c>
      <c r="K502" s="7" t="s">
        <v>6945</v>
      </c>
      <c r="L502" s="7" t="s">
        <v>1491</v>
      </c>
      <c r="M502" s="7"/>
      <c r="N502" s="7" t="s">
        <v>6946</v>
      </c>
      <c r="O502" s="7" t="s">
        <v>1456</v>
      </c>
    </row>
    <row r="503" customFormat="false" ht="15" hidden="false" customHeight="false" outlineLevel="0" collapsed="false">
      <c r="A503" s="7" t="s">
        <v>6947</v>
      </c>
      <c r="B503" s="7" t="s">
        <v>32</v>
      </c>
      <c r="C503" s="7" t="s">
        <v>6948</v>
      </c>
      <c r="D503" s="7" t="s">
        <v>6949</v>
      </c>
      <c r="E503" s="7" t="s">
        <v>348</v>
      </c>
      <c r="F503" s="7" t="s">
        <v>6950</v>
      </c>
      <c r="G503" s="7" t="s">
        <v>68</v>
      </c>
      <c r="H503" s="10" t="n">
        <v>900</v>
      </c>
      <c r="I503" s="7" t="s">
        <v>69</v>
      </c>
      <c r="J503" s="7" t="s">
        <v>184</v>
      </c>
      <c r="K503" s="7" t="s">
        <v>6951</v>
      </c>
      <c r="L503" s="7" t="s">
        <v>3215</v>
      </c>
      <c r="M503" s="7"/>
      <c r="N503" s="7" t="s">
        <v>6952</v>
      </c>
      <c r="O503" s="7" t="s">
        <v>1545</v>
      </c>
    </row>
    <row r="504" customFormat="false" ht="15" hidden="false" customHeight="false" outlineLevel="0" collapsed="false">
      <c r="A504" s="7" t="s">
        <v>6953</v>
      </c>
      <c r="B504" s="7" t="s">
        <v>32</v>
      </c>
      <c r="C504" s="7" t="s">
        <v>6954</v>
      </c>
      <c r="D504" s="7" t="s">
        <v>6955</v>
      </c>
      <c r="E504" s="7" t="s">
        <v>215</v>
      </c>
      <c r="F504" s="7" t="s">
        <v>6956</v>
      </c>
      <c r="G504" s="7" t="s">
        <v>68</v>
      </c>
      <c r="H504" s="10" t="n">
        <v>1500</v>
      </c>
      <c r="I504" s="7" t="s">
        <v>69</v>
      </c>
      <c r="J504" s="7" t="s">
        <v>627</v>
      </c>
      <c r="K504" s="7" t="s">
        <v>6957</v>
      </c>
      <c r="L504" s="7" t="s">
        <v>1491</v>
      </c>
      <c r="M504" s="7"/>
      <c r="N504" s="7" t="s">
        <v>6958</v>
      </c>
      <c r="O504" s="7" t="s">
        <v>6959</v>
      </c>
    </row>
    <row r="505" customFormat="false" ht="15" hidden="false" customHeight="false" outlineLevel="0" collapsed="false">
      <c r="A505" s="7" t="s">
        <v>6960</v>
      </c>
      <c r="B505" s="7" t="s">
        <v>32</v>
      </c>
      <c r="C505" s="7" t="s">
        <v>6961</v>
      </c>
      <c r="D505" s="7" t="s">
        <v>650</v>
      </c>
      <c r="E505" s="7" t="s">
        <v>348</v>
      </c>
      <c r="F505" s="7" t="s">
        <v>6962</v>
      </c>
      <c r="G505" s="7" t="s">
        <v>68</v>
      </c>
      <c r="H505" s="10" t="n">
        <v>7000</v>
      </c>
      <c r="I505" s="7" t="s">
        <v>69</v>
      </c>
      <c r="J505" s="7" t="s">
        <v>964</v>
      </c>
      <c r="K505" s="7" t="s">
        <v>6963</v>
      </c>
      <c r="L505" s="7" t="s">
        <v>1491</v>
      </c>
      <c r="M505" s="7"/>
      <c r="N505" s="7" t="s">
        <v>1334</v>
      </c>
      <c r="O505" s="7" t="s">
        <v>1478</v>
      </c>
    </row>
    <row r="506" customFormat="false" ht="15" hidden="false" customHeight="false" outlineLevel="0" collapsed="false">
      <c r="A506" s="7" t="s">
        <v>6964</v>
      </c>
      <c r="B506" s="7" t="s">
        <v>32</v>
      </c>
      <c r="C506" s="7" t="s">
        <v>6965</v>
      </c>
      <c r="D506" s="7" t="s">
        <v>1029</v>
      </c>
      <c r="E506" s="7" t="s">
        <v>1030</v>
      </c>
      <c r="F506" s="7" t="s">
        <v>6966</v>
      </c>
      <c r="G506" s="7" t="s">
        <v>68</v>
      </c>
      <c r="H506" s="10" t="n">
        <v>2000</v>
      </c>
      <c r="I506" s="7" t="s">
        <v>69</v>
      </c>
      <c r="J506" s="7" t="s">
        <v>1489</v>
      </c>
      <c r="K506" s="7" t="s">
        <v>6967</v>
      </c>
      <c r="L506" s="7" t="s">
        <v>5250</v>
      </c>
      <c r="M506" s="7"/>
      <c r="N506" s="7" t="s">
        <v>6968</v>
      </c>
      <c r="O506" s="7" t="s">
        <v>1493</v>
      </c>
    </row>
    <row r="507" customFormat="false" ht="15" hidden="false" customHeight="false" outlineLevel="0" collapsed="false">
      <c r="A507" s="7" t="s">
        <v>6969</v>
      </c>
      <c r="B507" s="7" t="s">
        <v>32</v>
      </c>
      <c r="C507" s="7" t="s">
        <v>6970</v>
      </c>
      <c r="D507" s="7" t="s">
        <v>5292</v>
      </c>
      <c r="E507" s="7" t="s">
        <v>113</v>
      </c>
      <c r="F507" s="7" t="s">
        <v>6971</v>
      </c>
      <c r="G507" s="7" t="s">
        <v>68</v>
      </c>
      <c r="H507" s="10" t="n">
        <v>3500</v>
      </c>
      <c r="I507" s="7" t="s">
        <v>69</v>
      </c>
      <c r="J507" s="7" t="s">
        <v>457</v>
      </c>
      <c r="K507" s="7" t="s">
        <v>6972</v>
      </c>
      <c r="L507" s="7" t="s">
        <v>1109</v>
      </c>
      <c r="M507" s="7"/>
      <c r="N507" s="7" t="s">
        <v>6973</v>
      </c>
      <c r="O507" s="7" t="s">
        <v>1576</v>
      </c>
    </row>
    <row r="508" customFormat="false" ht="15" hidden="false" customHeight="false" outlineLevel="0" collapsed="false">
      <c r="A508" s="7" t="s">
        <v>6974</v>
      </c>
      <c r="B508" s="7" t="s">
        <v>32</v>
      </c>
      <c r="C508" s="7" t="s">
        <v>6975</v>
      </c>
      <c r="D508" s="7" t="s">
        <v>1621</v>
      </c>
      <c r="E508" s="7" t="s">
        <v>779</v>
      </c>
      <c r="F508" s="7" t="s">
        <v>6976</v>
      </c>
      <c r="G508" s="7" t="s">
        <v>68</v>
      </c>
      <c r="H508" s="10" t="n">
        <v>3500</v>
      </c>
      <c r="I508" s="7" t="s">
        <v>69</v>
      </c>
      <c r="J508" s="7" t="s">
        <v>964</v>
      </c>
      <c r="K508" s="7" t="s">
        <v>6977</v>
      </c>
      <c r="L508" s="7" t="s">
        <v>1491</v>
      </c>
      <c r="M508" s="7"/>
      <c r="N508" s="7" t="s">
        <v>1334</v>
      </c>
      <c r="O508" s="7" t="s">
        <v>1478</v>
      </c>
    </row>
    <row r="509" customFormat="false" ht="15" hidden="false" customHeight="false" outlineLevel="0" collapsed="false">
      <c r="A509" s="7" t="s">
        <v>6978</v>
      </c>
      <c r="B509" s="7" t="s">
        <v>32</v>
      </c>
      <c r="C509" s="7" t="s">
        <v>6979</v>
      </c>
      <c r="D509" s="7" t="s">
        <v>3149</v>
      </c>
      <c r="E509" s="7" t="s">
        <v>172</v>
      </c>
      <c r="F509" s="7" t="s">
        <v>6980</v>
      </c>
      <c r="G509" s="7" t="s">
        <v>68</v>
      </c>
      <c r="H509" s="10" t="n">
        <v>2000</v>
      </c>
      <c r="I509" s="7" t="s">
        <v>69</v>
      </c>
      <c r="J509" s="7" t="s">
        <v>1427</v>
      </c>
      <c r="K509" s="7" t="s">
        <v>6981</v>
      </c>
      <c r="L509" s="7" t="s">
        <v>1491</v>
      </c>
      <c r="M509" s="7"/>
      <c r="N509" s="7" t="s">
        <v>6982</v>
      </c>
      <c r="O509" s="7" t="s">
        <v>1431</v>
      </c>
    </row>
    <row r="510" customFormat="false" ht="15" hidden="false" customHeight="false" outlineLevel="0" collapsed="false">
      <c r="A510" s="7" t="s">
        <v>6983</v>
      </c>
      <c r="B510" s="7" t="s">
        <v>32</v>
      </c>
      <c r="C510" s="7" t="s">
        <v>6984</v>
      </c>
      <c r="D510" s="7" t="s">
        <v>6985</v>
      </c>
      <c r="E510" s="7" t="s">
        <v>155</v>
      </c>
      <c r="F510" s="7" t="s">
        <v>6986</v>
      </c>
      <c r="G510" s="7" t="s">
        <v>68</v>
      </c>
      <c r="H510" s="10" t="n">
        <v>2000</v>
      </c>
      <c r="I510" s="7" t="s">
        <v>69</v>
      </c>
      <c r="J510" s="7" t="s">
        <v>627</v>
      </c>
      <c r="K510" s="7" t="s">
        <v>6987</v>
      </c>
      <c r="L510" s="7" t="s">
        <v>1491</v>
      </c>
      <c r="M510" s="7"/>
      <c r="N510" s="7" t="s">
        <v>6988</v>
      </c>
      <c r="O510" s="7" t="s">
        <v>6959</v>
      </c>
    </row>
    <row r="511" customFormat="false" ht="15" hidden="false" customHeight="false" outlineLevel="0" collapsed="false">
      <c r="A511" s="7" t="s">
        <v>6989</v>
      </c>
      <c r="B511" s="7" t="s">
        <v>32</v>
      </c>
      <c r="C511" s="7" t="s">
        <v>6990</v>
      </c>
      <c r="D511" s="7" t="s">
        <v>6991</v>
      </c>
      <c r="E511" s="7" t="s">
        <v>88</v>
      </c>
      <c r="F511" s="7" t="s">
        <v>6992</v>
      </c>
      <c r="G511" s="7" t="s">
        <v>68</v>
      </c>
      <c r="H511" s="10" t="n">
        <v>3500</v>
      </c>
      <c r="I511" s="7" t="s">
        <v>69</v>
      </c>
      <c r="J511" s="7" t="s">
        <v>1489</v>
      </c>
      <c r="K511" s="7" t="s">
        <v>6993</v>
      </c>
      <c r="L511" s="7" t="s">
        <v>1491</v>
      </c>
      <c r="M511" s="7"/>
      <c r="N511" s="7" t="s">
        <v>6994</v>
      </c>
      <c r="O511" s="7" t="s">
        <v>1493</v>
      </c>
    </row>
    <row r="512" customFormat="false" ht="15" hidden="false" customHeight="false" outlineLevel="0" collapsed="false">
      <c r="A512" s="7" t="s">
        <v>6995</v>
      </c>
      <c r="B512" s="7" t="s">
        <v>32</v>
      </c>
      <c r="C512" s="7" t="s">
        <v>6996</v>
      </c>
      <c r="D512" s="7" t="s">
        <v>3221</v>
      </c>
      <c r="E512" s="7" t="s">
        <v>163</v>
      </c>
      <c r="F512" s="7" t="s">
        <v>6997</v>
      </c>
      <c r="G512" s="7" t="s">
        <v>68</v>
      </c>
      <c r="H512" s="10" t="n">
        <v>4000</v>
      </c>
      <c r="I512" s="7" t="s">
        <v>69</v>
      </c>
      <c r="J512" s="7" t="s">
        <v>1368</v>
      </c>
      <c r="K512" s="7" t="s">
        <v>6998</v>
      </c>
      <c r="L512" s="7" t="s">
        <v>1491</v>
      </c>
      <c r="M512" s="7"/>
      <c r="N512" s="7" t="s">
        <v>6999</v>
      </c>
      <c r="O512" s="7" t="s">
        <v>1373</v>
      </c>
    </row>
    <row r="513" customFormat="false" ht="15" hidden="false" customHeight="false" outlineLevel="0" collapsed="false">
      <c r="A513" s="7" t="s">
        <v>7000</v>
      </c>
      <c r="B513" s="7" t="s">
        <v>32</v>
      </c>
      <c r="C513" s="7" t="s">
        <v>7001</v>
      </c>
      <c r="D513" s="7" t="s">
        <v>7002</v>
      </c>
      <c r="E513" s="7" t="s">
        <v>338</v>
      </c>
      <c r="F513" s="7" t="s">
        <v>7003</v>
      </c>
      <c r="G513" s="7" t="s">
        <v>68</v>
      </c>
      <c r="H513" s="10" t="n">
        <v>1500</v>
      </c>
      <c r="I513" s="7" t="s">
        <v>69</v>
      </c>
      <c r="J513" s="7" t="s">
        <v>964</v>
      </c>
      <c r="K513" s="7"/>
      <c r="L513" s="7" t="s">
        <v>5250</v>
      </c>
      <c r="M513" s="7"/>
      <c r="N513" s="7" t="s">
        <v>1334</v>
      </c>
      <c r="O513" s="7" t="s">
        <v>1478</v>
      </c>
    </row>
    <row r="514" customFormat="false" ht="15" hidden="false" customHeight="false" outlineLevel="0" collapsed="false">
      <c r="A514" s="7" t="s">
        <v>7004</v>
      </c>
      <c r="B514" s="7" t="s">
        <v>32</v>
      </c>
      <c r="C514" s="7" t="s">
        <v>7005</v>
      </c>
      <c r="D514" s="7" t="s">
        <v>2953</v>
      </c>
      <c r="E514" s="7" t="s">
        <v>779</v>
      </c>
      <c r="F514" s="7" t="s">
        <v>7006</v>
      </c>
      <c r="G514" s="7" t="s">
        <v>68</v>
      </c>
      <c r="H514" s="10" t="n">
        <v>2500</v>
      </c>
      <c r="I514" s="7" t="s">
        <v>69</v>
      </c>
      <c r="J514" s="7" t="s">
        <v>964</v>
      </c>
      <c r="K514" s="7"/>
      <c r="L514" s="7" t="s">
        <v>1491</v>
      </c>
      <c r="M514" s="7"/>
      <c r="N514" s="7" t="s">
        <v>7007</v>
      </c>
      <c r="O514" s="7" t="s">
        <v>1478</v>
      </c>
    </row>
    <row r="515" customFormat="false" ht="15" hidden="false" customHeight="false" outlineLevel="0" collapsed="false">
      <c r="A515" s="7" t="s">
        <v>7008</v>
      </c>
      <c r="B515" s="7" t="s">
        <v>32</v>
      </c>
      <c r="C515" s="7" t="s">
        <v>7009</v>
      </c>
      <c r="D515" s="7" t="s">
        <v>420</v>
      </c>
      <c r="E515" s="7" t="s">
        <v>78</v>
      </c>
      <c r="F515" s="7" t="s">
        <v>7010</v>
      </c>
      <c r="G515" s="7" t="s">
        <v>68</v>
      </c>
      <c r="H515" s="10" t="n">
        <v>6000</v>
      </c>
      <c r="I515" s="7" t="s">
        <v>69</v>
      </c>
      <c r="J515" s="7" t="s">
        <v>1397</v>
      </c>
      <c r="K515" s="7" t="s">
        <v>7011</v>
      </c>
      <c r="L515" s="7" t="s">
        <v>1491</v>
      </c>
      <c r="M515" s="7"/>
      <c r="N515" s="7" t="s">
        <v>7012</v>
      </c>
      <c r="O515" s="7" t="s">
        <v>1401</v>
      </c>
    </row>
    <row r="516" customFormat="false" ht="15" hidden="false" customHeight="false" outlineLevel="0" collapsed="false">
      <c r="A516" s="7" t="s">
        <v>7013</v>
      </c>
      <c r="B516" s="7" t="s">
        <v>32</v>
      </c>
      <c r="C516" s="7" t="s">
        <v>7014</v>
      </c>
      <c r="D516" s="7" t="s">
        <v>7015</v>
      </c>
      <c r="E516" s="7" t="s">
        <v>147</v>
      </c>
      <c r="F516" s="7" t="s">
        <v>7016</v>
      </c>
      <c r="G516" s="7" t="s">
        <v>68</v>
      </c>
      <c r="H516" s="10" t="n">
        <v>1500</v>
      </c>
      <c r="I516" s="7" t="s">
        <v>69</v>
      </c>
      <c r="J516" s="7" t="s">
        <v>1427</v>
      </c>
      <c r="K516" s="7" t="s">
        <v>7017</v>
      </c>
      <c r="L516" s="7" t="s">
        <v>1491</v>
      </c>
      <c r="M516" s="7"/>
      <c r="N516" s="7" t="s">
        <v>7018</v>
      </c>
      <c r="O516" s="7" t="s">
        <v>1431</v>
      </c>
    </row>
    <row r="517" customFormat="false" ht="15" hidden="false" customHeight="false" outlineLevel="0" collapsed="false">
      <c r="A517" s="7" t="s">
        <v>7019</v>
      </c>
      <c r="B517" s="7" t="s">
        <v>32</v>
      </c>
      <c r="C517" s="7" t="s">
        <v>7020</v>
      </c>
      <c r="D517" s="7" t="s">
        <v>7021</v>
      </c>
      <c r="E517" s="7" t="s">
        <v>137</v>
      </c>
      <c r="F517" s="7" t="s">
        <v>7022</v>
      </c>
      <c r="G517" s="7" t="s">
        <v>68</v>
      </c>
      <c r="H517" s="10" t="n">
        <v>8000</v>
      </c>
      <c r="I517" s="7" t="s">
        <v>69</v>
      </c>
      <c r="J517" s="7" t="s">
        <v>1330</v>
      </c>
      <c r="K517" s="7" t="s">
        <v>7023</v>
      </c>
      <c r="L517" s="7" t="s">
        <v>1491</v>
      </c>
      <c r="M517" s="7"/>
      <c r="N517" s="7" t="s">
        <v>7024</v>
      </c>
      <c r="O517" s="7" t="s">
        <v>1335</v>
      </c>
    </row>
    <row r="518" customFormat="false" ht="15" hidden="false" customHeight="false" outlineLevel="0" collapsed="false">
      <c r="A518" s="7" t="s">
        <v>7025</v>
      </c>
      <c r="B518" s="7" t="s">
        <v>32</v>
      </c>
      <c r="C518" s="7" t="s">
        <v>7026</v>
      </c>
      <c r="D518" s="7" t="s">
        <v>154</v>
      </c>
      <c r="E518" s="7" t="s">
        <v>155</v>
      </c>
      <c r="F518" s="7" t="s">
        <v>7027</v>
      </c>
      <c r="G518" s="7" t="s">
        <v>68</v>
      </c>
      <c r="H518" s="10" t="n">
        <v>3000</v>
      </c>
      <c r="I518" s="7" t="s">
        <v>69</v>
      </c>
      <c r="J518" s="7" t="s">
        <v>1489</v>
      </c>
      <c r="K518" s="7"/>
      <c r="L518" s="7" t="s">
        <v>1491</v>
      </c>
      <c r="M518" s="7"/>
      <c r="N518" s="7" t="s">
        <v>1334</v>
      </c>
      <c r="O518" s="7" t="s">
        <v>1493</v>
      </c>
    </row>
    <row r="519" customFormat="false" ht="15" hidden="false" customHeight="false" outlineLevel="0" collapsed="false">
      <c r="A519" s="7" t="s">
        <v>7028</v>
      </c>
      <c r="B519" s="7" t="s">
        <v>32</v>
      </c>
      <c r="C519" s="7" t="s">
        <v>7029</v>
      </c>
      <c r="D519" s="7" t="s">
        <v>1382</v>
      </c>
      <c r="E519" s="7" t="s">
        <v>348</v>
      </c>
      <c r="F519" s="7" t="s">
        <v>7030</v>
      </c>
      <c r="G519" s="7" t="s">
        <v>68</v>
      </c>
      <c r="H519" s="10" t="n">
        <v>1200</v>
      </c>
      <c r="I519" s="7" t="s">
        <v>69</v>
      </c>
      <c r="J519" s="7" t="s">
        <v>1330</v>
      </c>
      <c r="K519" s="7"/>
      <c r="L519" s="7" t="s">
        <v>5250</v>
      </c>
      <c r="M519" s="7"/>
      <c r="N519" s="7" t="s">
        <v>1334</v>
      </c>
      <c r="O519" s="7" t="s">
        <v>1335</v>
      </c>
    </row>
    <row r="520" customFormat="false" ht="15" hidden="false" customHeight="false" outlineLevel="0" collapsed="false">
      <c r="A520" s="7" t="s">
        <v>7031</v>
      </c>
      <c r="B520" s="7" t="s">
        <v>32</v>
      </c>
      <c r="C520" s="7" t="s">
        <v>7032</v>
      </c>
      <c r="D520" s="7" t="s">
        <v>7033</v>
      </c>
      <c r="E520" s="7" t="s">
        <v>147</v>
      </c>
      <c r="F520" s="7" t="s">
        <v>7034</v>
      </c>
      <c r="G520" s="7" t="s">
        <v>68</v>
      </c>
      <c r="H520" s="10" t="n">
        <v>6000</v>
      </c>
      <c r="I520" s="7" t="s">
        <v>69</v>
      </c>
      <c r="J520" s="7" t="s">
        <v>1452</v>
      </c>
      <c r="K520" s="7" t="s">
        <v>7035</v>
      </c>
      <c r="L520" s="7" t="s">
        <v>5461</v>
      </c>
      <c r="M520" s="7"/>
      <c r="N520" s="7" t="s">
        <v>7036</v>
      </c>
      <c r="O520" s="7" t="s">
        <v>1456</v>
      </c>
    </row>
    <row r="521" customFormat="false" ht="15" hidden="false" customHeight="false" outlineLevel="0" collapsed="false">
      <c r="A521" s="7" t="s">
        <v>7037</v>
      </c>
      <c r="B521" s="7" t="s">
        <v>32</v>
      </c>
      <c r="C521" s="7" t="s">
        <v>7038</v>
      </c>
      <c r="D521" s="7" t="s">
        <v>7039</v>
      </c>
      <c r="E521" s="7" t="s">
        <v>3533</v>
      </c>
      <c r="F521" s="7" t="s">
        <v>7040</v>
      </c>
      <c r="G521" s="7" t="s">
        <v>149</v>
      </c>
      <c r="H521" s="10" t="n">
        <v>1500</v>
      </c>
      <c r="I521" s="7" t="s">
        <v>69</v>
      </c>
      <c r="J521" s="7" t="s">
        <v>1361</v>
      </c>
      <c r="K521" s="7" t="s">
        <v>7041</v>
      </c>
      <c r="L521" s="7" t="s">
        <v>1332</v>
      </c>
      <c r="M521" s="7"/>
      <c r="N521" s="7" t="s">
        <v>1334</v>
      </c>
      <c r="O521" s="7" t="s">
        <v>1364</v>
      </c>
    </row>
    <row r="522" customFormat="false" ht="15" hidden="false" customHeight="false" outlineLevel="0" collapsed="false">
      <c r="A522" s="7" t="s">
        <v>7042</v>
      </c>
      <c r="B522" s="7" t="s">
        <v>32</v>
      </c>
      <c r="C522" s="7" t="s">
        <v>7043</v>
      </c>
      <c r="D522" s="7" t="s">
        <v>7044</v>
      </c>
      <c r="E522" s="7" t="s">
        <v>147</v>
      </c>
      <c r="F522" s="7" t="s">
        <v>7045</v>
      </c>
      <c r="G522" s="7" t="s">
        <v>149</v>
      </c>
      <c r="H522" s="10" t="n">
        <v>2500</v>
      </c>
      <c r="I522" s="7" t="s">
        <v>69</v>
      </c>
      <c r="J522" s="7" t="s">
        <v>1452</v>
      </c>
      <c r="K522" s="7"/>
      <c r="L522" s="7" t="s">
        <v>1491</v>
      </c>
      <c r="M522" s="7"/>
      <c r="N522" s="7" t="s">
        <v>7046</v>
      </c>
      <c r="O522" s="7" t="s">
        <v>1456</v>
      </c>
    </row>
    <row r="523" customFormat="false" ht="15" hidden="false" customHeight="false" outlineLevel="0" collapsed="false">
      <c r="A523" s="7" t="s">
        <v>7047</v>
      </c>
      <c r="B523" s="7" t="s">
        <v>32</v>
      </c>
      <c r="C523" s="7" t="s">
        <v>7048</v>
      </c>
      <c r="D523" s="7" t="s">
        <v>7049</v>
      </c>
      <c r="E523" s="7" t="s">
        <v>222</v>
      </c>
      <c r="F523" s="7" t="s">
        <v>7050</v>
      </c>
      <c r="G523" s="7" t="s">
        <v>149</v>
      </c>
      <c r="H523" s="10" t="n">
        <v>800</v>
      </c>
      <c r="I523" s="7" t="s">
        <v>69</v>
      </c>
      <c r="J523" s="7" t="s">
        <v>964</v>
      </c>
      <c r="K523" s="7"/>
      <c r="L523" s="7" t="s">
        <v>1491</v>
      </c>
      <c r="M523" s="7"/>
      <c r="N523" s="7" t="s">
        <v>1334</v>
      </c>
      <c r="O523" s="7" t="s">
        <v>1478</v>
      </c>
    </row>
    <row r="524" customFormat="false" ht="15" hidden="false" customHeight="false" outlineLevel="0" collapsed="false">
      <c r="A524" s="7" t="s">
        <v>7051</v>
      </c>
      <c r="B524" s="7" t="s">
        <v>32</v>
      </c>
      <c r="C524" s="7" t="s">
        <v>7052</v>
      </c>
      <c r="D524" s="7" t="s">
        <v>7053</v>
      </c>
      <c r="E524" s="7" t="s">
        <v>206</v>
      </c>
      <c r="F524" s="7" t="s">
        <v>7054</v>
      </c>
      <c r="G524" s="7" t="s">
        <v>149</v>
      </c>
      <c r="H524" s="10" t="n">
        <v>1000</v>
      </c>
      <c r="I524" s="7" t="s">
        <v>69</v>
      </c>
      <c r="J524" s="7" t="s">
        <v>1351</v>
      </c>
      <c r="K524" s="7"/>
      <c r="L524" s="7" t="s">
        <v>1491</v>
      </c>
      <c r="M524" s="7"/>
      <c r="N524" s="7" t="s">
        <v>7055</v>
      </c>
      <c r="O524" s="7" t="s">
        <v>1356</v>
      </c>
    </row>
    <row r="525" customFormat="false" ht="15" hidden="false" customHeight="false" outlineLevel="0" collapsed="false">
      <c r="A525" s="7" t="s">
        <v>7056</v>
      </c>
      <c r="B525" s="7" t="s">
        <v>32</v>
      </c>
      <c r="C525" s="7" t="s">
        <v>7057</v>
      </c>
      <c r="D525" s="7" t="s">
        <v>7058</v>
      </c>
      <c r="E525" s="7" t="s">
        <v>610</v>
      </c>
      <c r="F525" s="7" t="s">
        <v>7059</v>
      </c>
      <c r="G525" s="7" t="s">
        <v>149</v>
      </c>
      <c r="H525" s="10" t="n">
        <v>1500</v>
      </c>
      <c r="I525" s="7" t="s">
        <v>69</v>
      </c>
      <c r="J525" s="7" t="s">
        <v>1427</v>
      </c>
      <c r="K525" s="7" t="s">
        <v>7060</v>
      </c>
      <c r="L525" s="7" t="s">
        <v>1491</v>
      </c>
      <c r="M525" s="7"/>
      <c r="N525" s="7" t="s">
        <v>7061</v>
      </c>
      <c r="O525" s="7" t="s">
        <v>1431</v>
      </c>
    </row>
    <row r="526" customFormat="false" ht="15" hidden="false" customHeight="false" outlineLevel="0" collapsed="false">
      <c r="A526" s="7" t="s">
        <v>7062</v>
      </c>
      <c r="B526" s="7" t="s">
        <v>32</v>
      </c>
      <c r="C526" s="7" t="s">
        <v>7063</v>
      </c>
      <c r="D526" s="7" t="s">
        <v>778</v>
      </c>
      <c r="E526" s="7" t="s">
        <v>779</v>
      </c>
      <c r="F526" s="7" t="s">
        <v>7064</v>
      </c>
      <c r="G526" s="7" t="s">
        <v>149</v>
      </c>
      <c r="H526" s="10" t="n">
        <v>6000</v>
      </c>
      <c r="I526" s="7" t="s">
        <v>69</v>
      </c>
      <c r="J526" s="7" t="s">
        <v>1368</v>
      </c>
      <c r="K526" s="7" t="s">
        <v>7065</v>
      </c>
      <c r="L526" s="7" t="s">
        <v>1491</v>
      </c>
      <c r="M526" s="7"/>
      <c r="N526" s="7" t="s">
        <v>7066</v>
      </c>
      <c r="O526" s="7" t="s">
        <v>1373</v>
      </c>
    </row>
    <row r="527" customFormat="false" ht="15" hidden="false" customHeight="false" outlineLevel="0" collapsed="false">
      <c r="A527" s="7" t="s">
        <v>7067</v>
      </c>
      <c r="B527" s="7" t="s">
        <v>32</v>
      </c>
      <c r="C527" s="7" t="s">
        <v>7068</v>
      </c>
      <c r="D527" s="7" t="s">
        <v>4735</v>
      </c>
      <c r="E527" s="7" t="s">
        <v>3533</v>
      </c>
      <c r="F527" s="7" t="s">
        <v>7069</v>
      </c>
      <c r="G527" s="7" t="s">
        <v>149</v>
      </c>
      <c r="H527" s="10" t="n">
        <v>1500</v>
      </c>
      <c r="I527" s="7" t="s">
        <v>69</v>
      </c>
      <c r="J527" s="7" t="s">
        <v>1489</v>
      </c>
      <c r="K527" s="7"/>
      <c r="L527" s="7" t="s">
        <v>5461</v>
      </c>
      <c r="M527" s="7"/>
      <c r="N527" s="7" t="s">
        <v>7070</v>
      </c>
      <c r="O527" s="7" t="s">
        <v>1493</v>
      </c>
    </row>
    <row r="528" customFormat="false" ht="15" hidden="false" customHeight="false" outlineLevel="0" collapsed="false">
      <c r="A528" s="7" t="s">
        <v>7071</v>
      </c>
      <c r="B528" s="7" t="s">
        <v>32</v>
      </c>
      <c r="C528" s="7" t="s">
        <v>7072</v>
      </c>
      <c r="D528" s="7" t="s">
        <v>112</v>
      </c>
      <c r="E528" s="7" t="s">
        <v>113</v>
      </c>
      <c r="F528" s="7" t="s">
        <v>7073</v>
      </c>
      <c r="G528" s="7" t="s">
        <v>149</v>
      </c>
      <c r="H528" s="10" t="n">
        <v>1000</v>
      </c>
      <c r="I528" s="7" t="s">
        <v>69</v>
      </c>
      <c r="J528" s="7" t="s">
        <v>1427</v>
      </c>
      <c r="K528" s="7" t="s">
        <v>7074</v>
      </c>
      <c r="L528" s="7" t="s">
        <v>1109</v>
      </c>
      <c r="M528" s="7"/>
      <c r="N528" s="7" t="s">
        <v>7075</v>
      </c>
      <c r="O528" s="7" t="s">
        <v>1431</v>
      </c>
    </row>
    <row r="529" customFormat="false" ht="15" hidden="false" customHeight="false" outlineLevel="0" collapsed="false">
      <c r="A529" s="7" t="s">
        <v>7076</v>
      </c>
      <c r="B529" s="7" t="s">
        <v>32</v>
      </c>
      <c r="C529" s="7" t="s">
        <v>7077</v>
      </c>
      <c r="D529" s="7" t="s">
        <v>7078</v>
      </c>
      <c r="E529" s="7" t="s">
        <v>78</v>
      </c>
      <c r="F529" s="7" t="s">
        <v>7079</v>
      </c>
      <c r="G529" s="7" t="s">
        <v>149</v>
      </c>
      <c r="H529" s="10" t="n">
        <v>400</v>
      </c>
      <c r="I529" s="7" t="s">
        <v>69</v>
      </c>
      <c r="J529" s="7" t="s">
        <v>964</v>
      </c>
      <c r="K529" s="7"/>
      <c r="L529" s="7" t="s">
        <v>1438</v>
      </c>
      <c r="M529" s="7"/>
      <c r="N529" s="7" t="s">
        <v>1334</v>
      </c>
      <c r="O529" s="7" t="s">
        <v>1478</v>
      </c>
    </row>
    <row r="530" customFormat="false" ht="15" hidden="false" customHeight="false" outlineLevel="0" collapsed="false">
      <c r="A530" s="7" t="s">
        <v>7080</v>
      </c>
      <c r="B530" s="7" t="s">
        <v>32</v>
      </c>
      <c r="C530" s="7" t="s">
        <v>7081</v>
      </c>
      <c r="D530" s="7" t="s">
        <v>479</v>
      </c>
      <c r="E530" s="7" t="s">
        <v>480</v>
      </c>
      <c r="F530" s="7" t="s">
        <v>7082</v>
      </c>
      <c r="G530" s="7" t="s">
        <v>149</v>
      </c>
      <c r="H530" s="10" t="n">
        <v>1000</v>
      </c>
      <c r="I530" s="7" t="s">
        <v>69</v>
      </c>
      <c r="J530" s="7" t="s">
        <v>1436</v>
      </c>
      <c r="K530" s="7" t="s">
        <v>7083</v>
      </c>
      <c r="L530" s="7" t="s">
        <v>1332</v>
      </c>
      <c r="M530" s="7"/>
      <c r="N530" s="7" t="s">
        <v>7084</v>
      </c>
      <c r="O530" s="7" t="s">
        <v>7085</v>
      </c>
    </row>
    <row r="531" customFormat="false" ht="15" hidden="false" customHeight="false" outlineLevel="0" collapsed="false">
      <c r="A531" s="7" t="s">
        <v>7086</v>
      </c>
      <c r="B531" s="7" t="s">
        <v>32</v>
      </c>
      <c r="C531" s="7" t="s">
        <v>7087</v>
      </c>
      <c r="D531" s="7" t="s">
        <v>7088</v>
      </c>
      <c r="E531" s="7" t="s">
        <v>610</v>
      </c>
      <c r="F531" s="7" t="s">
        <v>7089</v>
      </c>
      <c r="G531" s="7" t="s">
        <v>149</v>
      </c>
      <c r="H531" s="10" t="n">
        <v>1200</v>
      </c>
      <c r="I531" s="7" t="s">
        <v>69</v>
      </c>
      <c r="J531" s="7" t="s">
        <v>964</v>
      </c>
      <c r="K531" s="7"/>
      <c r="L531" s="7" t="s">
        <v>1491</v>
      </c>
      <c r="M531" s="7"/>
      <c r="N531" s="7" t="s">
        <v>1334</v>
      </c>
      <c r="O531" s="7" t="s">
        <v>1478</v>
      </c>
    </row>
    <row r="532" customFormat="false" ht="15" hidden="false" customHeight="false" outlineLevel="0" collapsed="false">
      <c r="A532" s="7" t="s">
        <v>7090</v>
      </c>
      <c r="B532" s="7" t="s">
        <v>32</v>
      </c>
      <c r="C532" s="7" t="s">
        <v>7091</v>
      </c>
      <c r="D532" s="7" t="s">
        <v>6943</v>
      </c>
      <c r="E532" s="7" t="s">
        <v>155</v>
      </c>
      <c r="F532" s="7" t="s">
        <v>7092</v>
      </c>
      <c r="G532" s="7" t="s">
        <v>149</v>
      </c>
      <c r="H532" s="10" t="n">
        <v>3000</v>
      </c>
      <c r="I532" s="7" t="s">
        <v>69</v>
      </c>
      <c r="J532" s="7" t="s">
        <v>1368</v>
      </c>
      <c r="K532" s="7"/>
      <c r="L532" s="7" t="s">
        <v>1491</v>
      </c>
      <c r="M532" s="7"/>
      <c r="N532" s="7" t="s">
        <v>7093</v>
      </c>
      <c r="O532" s="7" t="s">
        <v>1373</v>
      </c>
    </row>
    <row r="533" customFormat="false" ht="15" hidden="false" customHeight="false" outlineLevel="0" collapsed="false">
      <c r="A533" s="7" t="s">
        <v>7094</v>
      </c>
      <c r="B533" s="7" t="s">
        <v>32</v>
      </c>
      <c r="C533" s="7" t="s">
        <v>7095</v>
      </c>
      <c r="D533" s="7" t="s">
        <v>171</v>
      </c>
      <c r="E533" s="7" t="s">
        <v>172</v>
      </c>
      <c r="F533" s="7" t="s">
        <v>7096</v>
      </c>
      <c r="G533" s="7" t="s">
        <v>149</v>
      </c>
      <c r="H533" s="10" t="n">
        <v>600</v>
      </c>
      <c r="I533" s="7" t="s">
        <v>69</v>
      </c>
      <c r="J533" s="7" t="s">
        <v>457</v>
      </c>
      <c r="K533" s="7"/>
      <c r="L533" s="7" t="s">
        <v>5250</v>
      </c>
      <c r="M533" s="7"/>
      <c r="N533" s="7" t="s">
        <v>1334</v>
      </c>
      <c r="O533" s="7" t="s">
        <v>7097</v>
      </c>
    </row>
    <row r="534" customFormat="false" ht="15" hidden="false" customHeight="false" outlineLevel="0" collapsed="false">
      <c r="A534" s="7" t="s">
        <v>7098</v>
      </c>
      <c r="B534" s="7" t="s">
        <v>32</v>
      </c>
      <c r="C534" s="7" t="s">
        <v>7099</v>
      </c>
      <c r="D534" s="7" t="s">
        <v>7100</v>
      </c>
      <c r="E534" s="7" t="s">
        <v>338</v>
      </c>
      <c r="F534" s="7" t="s">
        <v>7101</v>
      </c>
      <c r="G534" s="7" t="s">
        <v>149</v>
      </c>
      <c r="H534" s="10" t="n">
        <v>1500</v>
      </c>
      <c r="I534" s="7" t="s">
        <v>69</v>
      </c>
      <c r="J534" s="7" t="s">
        <v>1361</v>
      </c>
      <c r="K534" s="7" t="s">
        <v>7102</v>
      </c>
      <c r="L534" s="7" t="s">
        <v>1332</v>
      </c>
      <c r="M534" s="7"/>
      <c r="N534" s="7" t="s">
        <v>7103</v>
      </c>
      <c r="O534" s="7" t="s">
        <v>1364</v>
      </c>
    </row>
    <row r="535" customFormat="false" ht="15" hidden="false" customHeight="false" outlineLevel="0" collapsed="false">
      <c r="A535" s="7" t="s">
        <v>7104</v>
      </c>
      <c r="B535" s="7" t="s">
        <v>32</v>
      </c>
      <c r="C535" s="7" t="s">
        <v>7105</v>
      </c>
      <c r="D535" s="7" t="s">
        <v>723</v>
      </c>
      <c r="E535" s="7" t="s">
        <v>105</v>
      </c>
      <c r="F535" s="7" t="s">
        <v>7106</v>
      </c>
      <c r="G535" s="7" t="s">
        <v>149</v>
      </c>
      <c r="H535" s="10" t="n">
        <v>1500</v>
      </c>
      <c r="I535" s="7" t="s">
        <v>69</v>
      </c>
      <c r="J535" s="7" t="s">
        <v>1397</v>
      </c>
      <c r="K535" s="7"/>
      <c r="L535" s="7" t="s">
        <v>5461</v>
      </c>
      <c r="M535" s="7"/>
      <c r="N535" s="7" t="s">
        <v>1625</v>
      </c>
      <c r="O535" s="7" t="s">
        <v>1401</v>
      </c>
    </row>
    <row r="536" customFormat="false" ht="15" hidden="false" customHeight="false" outlineLevel="0" collapsed="false">
      <c r="A536" s="7" t="s">
        <v>7107</v>
      </c>
      <c r="B536" s="7" t="s">
        <v>32</v>
      </c>
      <c r="C536" s="7" t="s">
        <v>7108</v>
      </c>
      <c r="D536" s="7" t="s">
        <v>154</v>
      </c>
      <c r="E536" s="7" t="s">
        <v>155</v>
      </c>
      <c r="F536" s="7" t="s">
        <v>7109</v>
      </c>
      <c r="G536" s="7" t="s">
        <v>149</v>
      </c>
      <c r="H536" s="10" t="n">
        <v>3000</v>
      </c>
      <c r="I536" s="7" t="s">
        <v>69</v>
      </c>
      <c r="J536" s="7" t="s">
        <v>1397</v>
      </c>
      <c r="K536" s="7"/>
      <c r="L536" s="7" t="s">
        <v>5461</v>
      </c>
      <c r="M536" s="7"/>
      <c r="N536" s="7" t="s">
        <v>7110</v>
      </c>
      <c r="O536" s="7" t="s">
        <v>1401</v>
      </c>
    </row>
    <row r="537" customFormat="false" ht="15" hidden="false" customHeight="false" outlineLevel="0" collapsed="false">
      <c r="A537" s="7" t="s">
        <v>7111</v>
      </c>
      <c r="B537" s="7" t="s">
        <v>32</v>
      </c>
      <c r="C537" s="7" t="s">
        <v>7112</v>
      </c>
      <c r="D537" s="7" t="s">
        <v>635</v>
      </c>
      <c r="E537" s="7" t="s">
        <v>338</v>
      </c>
      <c r="F537" s="7" t="s">
        <v>7113</v>
      </c>
      <c r="G537" s="7" t="s">
        <v>149</v>
      </c>
      <c r="H537" s="10" t="n">
        <v>2000</v>
      </c>
      <c r="I537" s="7" t="s">
        <v>69</v>
      </c>
      <c r="J537" s="7" t="s">
        <v>627</v>
      </c>
      <c r="K537" s="7"/>
      <c r="L537" s="7" t="s">
        <v>1491</v>
      </c>
      <c r="M537" s="7"/>
      <c r="N537" s="7" t="s">
        <v>7114</v>
      </c>
      <c r="O537" s="7" t="s">
        <v>1512</v>
      </c>
    </row>
    <row r="538" customFormat="false" ht="15" hidden="false" customHeight="false" outlineLevel="0" collapsed="false">
      <c r="A538" s="7" t="s">
        <v>7115</v>
      </c>
      <c r="B538" s="7" t="s">
        <v>32</v>
      </c>
      <c r="C538" s="7" t="s">
        <v>7116</v>
      </c>
      <c r="D538" s="7" t="s">
        <v>970</v>
      </c>
      <c r="E538" s="7" t="s">
        <v>250</v>
      </c>
      <c r="F538" s="7" t="s">
        <v>7117</v>
      </c>
      <c r="G538" s="7" t="s">
        <v>149</v>
      </c>
      <c r="H538" s="10" t="n">
        <v>1500</v>
      </c>
      <c r="I538" s="7" t="s">
        <v>69</v>
      </c>
      <c r="J538" s="7" t="s">
        <v>1351</v>
      </c>
      <c r="K538" s="7" t="s">
        <v>7118</v>
      </c>
      <c r="L538" s="7" t="s">
        <v>1353</v>
      </c>
      <c r="M538" s="7"/>
      <c r="N538" s="7" t="s">
        <v>7119</v>
      </c>
      <c r="O538" s="7" t="s">
        <v>1356</v>
      </c>
    </row>
    <row r="539" customFormat="false" ht="15" hidden="false" customHeight="false" outlineLevel="0" collapsed="false">
      <c r="A539" s="7" t="s">
        <v>7120</v>
      </c>
      <c r="B539" s="7" t="s">
        <v>32</v>
      </c>
      <c r="C539" s="7" t="s">
        <v>7121</v>
      </c>
      <c r="D539" s="7" t="s">
        <v>986</v>
      </c>
      <c r="E539" s="7" t="s">
        <v>215</v>
      </c>
      <c r="F539" s="7" t="s">
        <v>7122</v>
      </c>
      <c r="G539" s="7" t="s">
        <v>149</v>
      </c>
      <c r="H539" s="10" t="n">
        <v>400</v>
      </c>
      <c r="I539" s="7" t="s">
        <v>69</v>
      </c>
      <c r="J539" s="7" t="s">
        <v>184</v>
      </c>
      <c r="K539" s="7"/>
      <c r="L539" s="7" t="s">
        <v>7123</v>
      </c>
      <c r="M539" s="7"/>
      <c r="N539" s="7" t="s">
        <v>7124</v>
      </c>
      <c r="O539" s="7" t="s">
        <v>1545</v>
      </c>
    </row>
    <row r="540" customFormat="false" ht="15" hidden="false" customHeight="false" outlineLevel="0" collapsed="false">
      <c r="A540" s="7" t="s">
        <v>7125</v>
      </c>
      <c r="B540" s="7" t="s">
        <v>32</v>
      </c>
      <c r="C540" s="7" t="s">
        <v>7126</v>
      </c>
      <c r="D540" s="7" t="s">
        <v>1443</v>
      </c>
      <c r="E540" s="7" t="s">
        <v>455</v>
      </c>
      <c r="F540" s="7" t="s">
        <v>7127</v>
      </c>
      <c r="G540" s="7" t="s">
        <v>149</v>
      </c>
      <c r="H540" s="10" t="n">
        <v>5000</v>
      </c>
      <c r="I540" s="7" t="s">
        <v>69</v>
      </c>
      <c r="J540" s="7" t="s">
        <v>1397</v>
      </c>
      <c r="K540" s="7" t="s">
        <v>7128</v>
      </c>
      <c r="L540" s="7" t="s">
        <v>1510</v>
      </c>
      <c r="M540" s="7"/>
      <c r="N540" s="7" t="s">
        <v>7129</v>
      </c>
      <c r="O540" s="7" t="s">
        <v>1401</v>
      </c>
    </row>
    <row r="541" customFormat="false" ht="15" hidden="false" customHeight="false" outlineLevel="0" collapsed="false">
      <c r="A541" s="7" t="s">
        <v>7130</v>
      </c>
      <c r="B541" s="7" t="s">
        <v>32</v>
      </c>
      <c r="C541" s="7" t="s">
        <v>7131</v>
      </c>
      <c r="D541" s="7" t="s">
        <v>411</v>
      </c>
      <c r="E541" s="7" t="s">
        <v>155</v>
      </c>
      <c r="F541" s="7" t="s">
        <v>7132</v>
      </c>
      <c r="G541" s="7" t="s">
        <v>149</v>
      </c>
      <c r="H541" s="10" t="n">
        <v>1000</v>
      </c>
      <c r="I541" s="7" t="s">
        <v>69</v>
      </c>
      <c r="J541" s="7" t="s">
        <v>184</v>
      </c>
      <c r="K541" s="7"/>
      <c r="L541" s="7" t="s">
        <v>1491</v>
      </c>
      <c r="M541" s="7"/>
      <c r="N541" s="7" t="s">
        <v>7133</v>
      </c>
      <c r="O541" s="7" t="s">
        <v>1545</v>
      </c>
    </row>
    <row r="542" customFormat="false" ht="15" hidden="false" customHeight="false" outlineLevel="0" collapsed="false">
      <c r="A542" s="7" t="s">
        <v>7134</v>
      </c>
      <c r="B542" s="7" t="s">
        <v>32</v>
      </c>
      <c r="C542" s="7" t="s">
        <v>7135</v>
      </c>
      <c r="D542" s="7" t="s">
        <v>146</v>
      </c>
      <c r="E542" s="7" t="s">
        <v>147</v>
      </c>
      <c r="F542" s="7" t="s">
        <v>7136</v>
      </c>
      <c r="G542" s="7" t="s">
        <v>149</v>
      </c>
      <c r="H542" s="10" t="n">
        <v>2000</v>
      </c>
      <c r="I542" s="7" t="s">
        <v>69</v>
      </c>
      <c r="J542" s="7" t="s">
        <v>1436</v>
      </c>
      <c r="K542" s="7"/>
      <c r="L542" s="7" t="s">
        <v>1491</v>
      </c>
      <c r="M542" s="7"/>
      <c r="N542" s="7" t="s">
        <v>7137</v>
      </c>
      <c r="O542" s="7" t="s">
        <v>1440</v>
      </c>
    </row>
    <row r="543" customFormat="false" ht="15" hidden="false" customHeight="false" outlineLevel="0" collapsed="false">
      <c r="A543" s="7" t="s">
        <v>7138</v>
      </c>
      <c r="B543" s="7" t="s">
        <v>32</v>
      </c>
      <c r="C543" s="7" t="s">
        <v>7139</v>
      </c>
      <c r="D543" s="7" t="s">
        <v>1389</v>
      </c>
      <c r="E543" s="7" t="s">
        <v>78</v>
      </c>
      <c r="F543" s="7" t="s">
        <v>7140</v>
      </c>
      <c r="G543" s="7" t="s">
        <v>149</v>
      </c>
      <c r="H543" s="10" t="n">
        <v>800</v>
      </c>
      <c r="I543" s="7" t="s">
        <v>69</v>
      </c>
      <c r="J543" s="7" t="s">
        <v>1397</v>
      </c>
      <c r="K543" s="7"/>
      <c r="L543" s="7" t="s">
        <v>1491</v>
      </c>
      <c r="M543" s="7"/>
      <c r="N543" s="7" t="s">
        <v>7141</v>
      </c>
      <c r="O543" s="7" t="s">
        <v>1401</v>
      </c>
    </row>
    <row r="544" customFormat="false" ht="15" hidden="false" customHeight="false" outlineLevel="0" collapsed="false">
      <c r="A544" s="7" t="s">
        <v>7142</v>
      </c>
      <c r="B544" s="7" t="s">
        <v>32</v>
      </c>
      <c r="C544" s="7" t="s">
        <v>7143</v>
      </c>
      <c r="D544" s="7" t="s">
        <v>1867</v>
      </c>
      <c r="E544" s="7" t="s">
        <v>78</v>
      </c>
      <c r="F544" s="7" t="s">
        <v>7144</v>
      </c>
      <c r="G544" s="7" t="s">
        <v>149</v>
      </c>
      <c r="H544" s="10" t="n">
        <v>1200</v>
      </c>
      <c r="I544" s="7" t="s">
        <v>69</v>
      </c>
      <c r="J544" s="7" t="s">
        <v>1460</v>
      </c>
      <c r="K544" s="7" t="s">
        <v>7145</v>
      </c>
      <c r="L544" s="7" t="s">
        <v>1332</v>
      </c>
      <c r="M544" s="7"/>
      <c r="N544" s="7" t="s">
        <v>7146</v>
      </c>
      <c r="O544" s="7" t="s">
        <v>1464</v>
      </c>
    </row>
    <row r="545" customFormat="false" ht="15" hidden="false" customHeight="false" outlineLevel="0" collapsed="false">
      <c r="A545" s="7" t="s">
        <v>7147</v>
      </c>
      <c r="B545" s="7" t="s">
        <v>32</v>
      </c>
      <c r="C545" s="7" t="s">
        <v>7148</v>
      </c>
      <c r="D545" s="7" t="s">
        <v>6949</v>
      </c>
      <c r="E545" s="7" t="s">
        <v>348</v>
      </c>
      <c r="F545" s="7" t="s">
        <v>7149</v>
      </c>
      <c r="G545" s="7" t="s">
        <v>149</v>
      </c>
      <c r="H545" s="10" t="n">
        <v>900</v>
      </c>
      <c r="I545" s="7" t="s">
        <v>69</v>
      </c>
      <c r="J545" s="7" t="s">
        <v>1351</v>
      </c>
      <c r="K545" s="7" t="s">
        <v>7150</v>
      </c>
      <c r="L545" s="7" t="s">
        <v>1332</v>
      </c>
      <c r="M545" s="7"/>
      <c r="N545" s="7" t="s">
        <v>7151</v>
      </c>
      <c r="O545" s="7" t="s">
        <v>1356</v>
      </c>
    </row>
    <row r="546" customFormat="false" ht="15" hidden="false" customHeight="false" outlineLevel="0" collapsed="false">
      <c r="A546" s="7" t="s">
        <v>7152</v>
      </c>
      <c r="B546" s="7" t="s">
        <v>32</v>
      </c>
      <c r="C546" s="7" t="s">
        <v>7153</v>
      </c>
      <c r="D546" s="7" t="s">
        <v>7154</v>
      </c>
      <c r="E546" s="7" t="s">
        <v>1081</v>
      </c>
      <c r="F546" s="7" t="s">
        <v>7155</v>
      </c>
      <c r="G546" s="7" t="s">
        <v>149</v>
      </c>
      <c r="H546" s="10" t="n">
        <v>1500</v>
      </c>
      <c r="I546" s="7" t="s">
        <v>69</v>
      </c>
      <c r="J546" s="7" t="s">
        <v>964</v>
      </c>
      <c r="K546" s="7"/>
      <c r="L546" s="7" t="s">
        <v>1491</v>
      </c>
      <c r="M546" s="7"/>
      <c r="N546" s="7" t="s">
        <v>1334</v>
      </c>
      <c r="O546" s="7" t="s">
        <v>1478</v>
      </c>
    </row>
    <row r="547" customFormat="false" ht="15" hidden="false" customHeight="false" outlineLevel="0" collapsed="false">
      <c r="A547" s="7" t="s">
        <v>7156</v>
      </c>
      <c r="B547" s="7" t="s">
        <v>32</v>
      </c>
      <c r="C547" s="7" t="s">
        <v>7157</v>
      </c>
      <c r="D547" s="7" t="s">
        <v>913</v>
      </c>
      <c r="E547" s="7" t="s">
        <v>455</v>
      </c>
      <c r="F547" s="7" t="s">
        <v>7158</v>
      </c>
      <c r="G547" s="7" t="s">
        <v>149</v>
      </c>
      <c r="H547" s="10" t="n">
        <v>1500</v>
      </c>
      <c r="I547" s="7" t="s">
        <v>69</v>
      </c>
      <c r="J547" s="7" t="s">
        <v>1368</v>
      </c>
      <c r="K547" s="7"/>
      <c r="L547" s="7" t="s">
        <v>1491</v>
      </c>
      <c r="M547" s="7"/>
      <c r="N547" s="7" t="s">
        <v>1334</v>
      </c>
      <c r="O547" s="7" t="s">
        <v>1373</v>
      </c>
    </row>
    <row r="548" customFormat="false" ht="15" hidden="false" customHeight="false" outlineLevel="0" collapsed="false">
      <c r="A548" s="7" t="s">
        <v>7159</v>
      </c>
      <c r="B548" s="7" t="s">
        <v>32</v>
      </c>
      <c r="C548" s="7" t="s">
        <v>7160</v>
      </c>
      <c r="D548" s="7" t="s">
        <v>7161</v>
      </c>
      <c r="E548" s="7" t="s">
        <v>97</v>
      </c>
      <c r="F548" s="7" t="s">
        <v>7162</v>
      </c>
      <c r="G548" s="7" t="s">
        <v>149</v>
      </c>
      <c r="H548" s="10" t="n">
        <v>1500</v>
      </c>
      <c r="I548" s="7" t="s">
        <v>69</v>
      </c>
      <c r="J548" s="7" t="s">
        <v>964</v>
      </c>
      <c r="K548" s="7"/>
      <c r="L548" s="7" t="s">
        <v>5461</v>
      </c>
      <c r="M548" s="7"/>
      <c r="N548" s="7" t="s">
        <v>1334</v>
      </c>
      <c r="O548" s="7" t="s">
        <v>1478</v>
      </c>
    </row>
    <row r="549" customFormat="false" ht="15" hidden="false" customHeight="false" outlineLevel="0" collapsed="false">
      <c r="A549" s="7" t="s">
        <v>7163</v>
      </c>
      <c r="B549" s="7" t="s">
        <v>32</v>
      </c>
      <c r="C549" s="7" t="s">
        <v>7164</v>
      </c>
      <c r="D549" s="7" t="s">
        <v>3545</v>
      </c>
      <c r="E549" s="7" t="s">
        <v>78</v>
      </c>
      <c r="F549" s="7" t="s">
        <v>7165</v>
      </c>
      <c r="G549" s="7" t="s">
        <v>149</v>
      </c>
      <c r="H549" s="10" t="n">
        <v>1200</v>
      </c>
      <c r="I549" s="7" t="s">
        <v>69</v>
      </c>
      <c r="J549" s="7" t="s">
        <v>627</v>
      </c>
      <c r="K549" s="7"/>
      <c r="L549" s="7" t="s">
        <v>5461</v>
      </c>
      <c r="M549" s="7"/>
      <c r="N549" s="7" t="s">
        <v>7166</v>
      </c>
      <c r="O549" s="7" t="s">
        <v>6959</v>
      </c>
    </row>
    <row r="550" customFormat="false" ht="15" hidden="false" customHeight="false" outlineLevel="0" collapsed="false">
      <c r="A550" s="7" t="s">
        <v>7167</v>
      </c>
      <c r="B550" s="7" t="s">
        <v>32</v>
      </c>
      <c r="C550" s="7" t="s">
        <v>7168</v>
      </c>
      <c r="D550" s="7" t="s">
        <v>6313</v>
      </c>
      <c r="E550" s="7" t="s">
        <v>137</v>
      </c>
      <c r="F550" s="7" t="s">
        <v>7169</v>
      </c>
      <c r="G550" s="7" t="s">
        <v>149</v>
      </c>
      <c r="H550" s="10" t="n">
        <v>2500</v>
      </c>
      <c r="I550" s="7" t="s">
        <v>69</v>
      </c>
      <c r="J550" s="7" t="s">
        <v>1489</v>
      </c>
      <c r="K550" s="7"/>
      <c r="L550" s="7" t="s">
        <v>1491</v>
      </c>
      <c r="M550" s="7"/>
      <c r="N550" s="7" t="s">
        <v>1334</v>
      </c>
      <c r="O550" s="7" t="s">
        <v>1493</v>
      </c>
    </row>
    <row r="551" customFormat="false" ht="15" hidden="false" customHeight="false" outlineLevel="0" collapsed="false">
      <c r="A551" s="7" t="s">
        <v>7170</v>
      </c>
      <c r="B551" s="7" t="s">
        <v>32</v>
      </c>
      <c r="C551" s="7" t="s">
        <v>7171</v>
      </c>
      <c r="D551" s="7" t="s">
        <v>1612</v>
      </c>
      <c r="E551" s="7" t="s">
        <v>147</v>
      </c>
      <c r="F551" s="7" t="s">
        <v>7172</v>
      </c>
      <c r="G551" s="7" t="s">
        <v>149</v>
      </c>
      <c r="H551" s="10" t="n">
        <v>800</v>
      </c>
      <c r="I551" s="7" t="s">
        <v>69</v>
      </c>
      <c r="J551" s="7" t="s">
        <v>457</v>
      </c>
      <c r="K551" s="7"/>
      <c r="L551" s="7" t="s">
        <v>1438</v>
      </c>
      <c r="M551" s="7"/>
      <c r="N551" s="7" t="s">
        <v>7173</v>
      </c>
      <c r="O551" s="7" t="s">
        <v>7097</v>
      </c>
    </row>
    <row r="552" customFormat="false" ht="15" hidden="false" customHeight="false" outlineLevel="0" collapsed="false">
      <c r="A552" s="7" t="s">
        <v>7174</v>
      </c>
      <c r="B552" s="7" t="s">
        <v>32</v>
      </c>
      <c r="C552" s="7" t="s">
        <v>7175</v>
      </c>
      <c r="D552" s="7" t="s">
        <v>445</v>
      </c>
      <c r="E552" s="7" t="s">
        <v>250</v>
      </c>
      <c r="F552" s="7" t="s">
        <v>7176</v>
      </c>
      <c r="G552" s="7" t="s">
        <v>149</v>
      </c>
      <c r="H552" s="10" t="n">
        <v>4000</v>
      </c>
      <c r="I552" s="7" t="s">
        <v>69</v>
      </c>
      <c r="J552" s="7" t="s">
        <v>964</v>
      </c>
      <c r="K552" s="7" t="s">
        <v>7177</v>
      </c>
      <c r="L552" s="7" t="s">
        <v>1491</v>
      </c>
      <c r="M552" s="7"/>
      <c r="N552" s="7" t="s">
        <v>1334</v>
      </c>
      <c r="O552" s="7" t="s">
        <v>1478</v>
      </c>
    </row>
    <row r="553" customFormat="false" ht="15" hidden="false" customHeight="false" outlineLevel="0" collapsed="false">
      <c r="A553" s="7" t="s">
        <v>7178</v>
      </c>
      <c r="B553" s="7" t="s">
        <v>32</v>
      </c>
      <c r="C553" s="7" t="s">
        <v>7179</v>
      </c>
      <c r="D553" s="7" t="s">
        <v>7180</v>
      </c>
      <c r="E553" s="7" t="s">
        <v>155</v>
      </c>
      <c r="F553" s="7" t="s">
        <v>7181</v>
      </c>
      <c r="G553" s="7" t="s">
        <v>149</v>
      </c>
      <c r="H553" s="10" t="n">
        <v>800</v>
      </c>
      <c r="I553" s="7" t="s">
        <v>69</v>
      </c>
      <c r="J553" s="7" t="s">
        <v>1427</v>
      </c>
      <c r="K553" s="7"/>
      <c r="L553" s="7" t="s">
        <v>1109</v>
      </c>
      <c r="M553" s="7"/>
      <c r="N553" s="7" t="s">
        <v>7182</v>
      </c>
      <c r="O553" s="7" t="s">
        <v>1603</v>
      </c>
    </row>
    <row r="554" customFormat="false" ht="15" hidden="false" customHeight="false" outlineLevel="0" collapsed="false">
      <c r="A554" s="7" t="s">
        <v>7183</v>
      </c>
      <c r="B554" s="7" t="s">
        <v>32</v>
      </c>
      <c r="C554" s="7" t="s">
        <v>7184</v>
      </c>
      <c r="D554" s="7" t="s">
        <v>214</v>
      </c>
      <c r="E554" s="7" t="s">
        <v>222</v>
      </c>
      <c r="F554" s="7" t="s">
        <v>7185</v>
      </c>
      <c r="G554" s="7" t="s">
        <v>149</v>
      </c>
      <c r="H554" s="10" t="n">
        <v>700</v>
      </c>
      <c r="I554" s="7" t="s">
        <v>69</v>
      </c>
      <c r="J554" s="7" t="s">
        <v>457</v>
      </c>
      <c r="K554" s="7" t="s">
        <v>7186</v>
      </c>
      <c r="L554" s="7" t="s">
        <v>1109</v>
      </c>
      <c r="M554" s="7"/>
      <c r="N554" s="7" t="s">
        <v>7187</v>
      </c>
      <c r="O554" s="7" t="s">
        <v>1576</v>
      </c>
    </row>
    <row r="555" customFormat="false" ht="15" hidden="false" customHeight="false" outlineLevel="0" collapsed="false">
      <c r="A555" s="7" t="s">
        <v>7188</v>
      </c>
      <c r="B555" s="7" t="s">
        <v>32</v>
      </c>
      <c r="C555" s="7" t="s">
        <v>7189</v>
      </c>
      <c r="D555" s="7" t="s">
        <v>7190</v>
      </c>
      <c r="E555" s="7" t="s">
        <v>155</v>
      </c>
      <c r="F555" s="7" t="s">
        <v>7191</v>
      </c>
      <c r="G555" s="7" t="s">
        <v>149</v>
      </c>
      <c r="H555" s="10" t="n">
        <v>1200</v>
      </c>
      <c r="I555" s="7" t="s">
        <v>69</v>
      </c>
      <c r="J555" s="7" t="s">
        <v>1436</v>
      </c>
      <c r="K555" s="7"/>
      <c r="L555" s="7" t="s">
        <v>1491</v>
      </c>
      <c r="M555" s="7"/>
      <c r="N555" s="7" t="s">
        <v>7192</v>
      </c>
      <c r="O555" s="7" t="s">
        <v>1440</v>
      </c>
    </row>
    <row r="556" customFormat="false" ht="15" hidden="false" customHeight="false" outlineLevel="0" collapsed="false">
      <c r="A556" s="7" t="s">
        <v>7193</v>
      </c>
      <c r="B556" s="7" t="s">
        <v>32</v>
      </c>
      <c r="C556" s="7" t="s">
        <v>7194</v>
      </c>
      <c r="D556" s="7" t="s">
        <v>3073</v>
      </c>
      <c r="E556" s="7" t="s">
        <v>172</v>
      </c>
      <c r="F556" s="7" t="s">
        <v>7195</v>
      </c>
      <c r="G556" s="7" t="s">
        <v>149</v>
      </c>
      <c r="H556" s="10" t="n">
        <v>2000</v>
      </c>
      <c r="I556" s="7" t="s">
        <v>69</v>
      </c>
      <c r="J556" s="7" t="s">
        <v>1330</v>
      </c>
      <c r="K556" s="7" t="s">
        <v>7196</v>
      </c>
      <c r="L556" s="7" t="s">
        <v>1491</v>
      </c>
      <c r="M556" s="7"/>
      <c r="N556" s="7" t="s">
        <v>1334</v>
      </c>
      <c r="O556" s="7" t="s">
        <v>1335</v>
      </c>
    </row>
    <row r="557" customFormat="false" ht="15" hidden="false" customHeight="false" outlineLevel="0" collapsed="false">
      <c r="A557" s="7" t="s">
        <v>7197</v>
      </c>
      <c r="B557" s="7" t="s">
        <v>32</v>
      </c>
      <c r="C557" s="7" t="s">
        <v>7198</v>
      </c>
      <c r="D557" s="7" t="s">
        <v>7199</v>
      </c>
      <c r="E557" s="7" t="s">
        <v>250</v>
      </c>
      <c r="F557" s="7" t="s">
        <v>7200</v>
      </c>
      <c r="G557" s="7" t="s">
        <v>149</v>
      </c>
      <c r="H557" s="10" t="n">
        <v>400</v>
      </c>
      <c r="I557" s="7" t="s">
        <v>69</v>
      </c>
      <c r="J557" s="7" t="s">
        <v>1489</v>
      </c>
      <c r="K557" s="7"/>
      <c r="L557" s="7" t="s">
        <v>1438</v>
      </c>
      <c r="M557" s="7"/>
      <c r="N557" s="7" t="s">
        <v>1334</v>
      </c>
      <c r="O557" s="7" t="s">
        <v>1493</v>
      </c>
    </row>
    <row r="558" customFormat="false" ht="15" hidden="false" customHeight="false" outlineLevel="0" collapsed="false">
      <c r="A558" s="7" t="s">
        <v>7201</v>
      </c>
      <c r="B558" s="7" t="s">
        <v>32</v>
      </c>
      <c r="C558" s="7" t="s">
        <v>7202</v>
      </c>
      <c r="D558" s="7" t="s">
        <v>970</v>
      </c>
      <c r="E558" s="7" t="s">
        <v>250</v>
      </c>
      <c r="F558" s="7" t="s">
        <v>7203</v>
      </c>
      <c r="G558" s="7" t="s">
        <v>149</v>
      </c>
      <c r="H558" s="10" t="n">
        <v>1500</v>
      </c>
      <c r="I558" s="7" t="s">
        <v>69</v>
      </c>
      <c r="J558" s="7" t="s">
        <v>1351</v>
      </c>
      <c r="K558" s="7" t="s">
        <v>7204</v>
      </c>
      <c r="L558" s="7" t="s">
        <v>1491</v>
      </c>
      <c r="M558" s="7"/>
      <c r="N558" s="7" t="s">
        <v>7205</v>
      </c>
      <c r="O558" s="7" t="s">
        <v>1356</v>
      </c>
    </row>
    <row r="559" customFormat="false" ht="15" hidden="false" customHeight="false" outlineLevel="0" collapsed="false">
      <c r="A559" s="7" t="s">
        <v>7206</v>
      </c>
      <c r="B559" s="7" t="s">
        <v>32</v>
      </c>
      <c r="C559" s="7" t="s">
        <v>7207</v>
      </c>
      <c r="D559" s="7" t="s">
        <v>7208</v>
      </c>
      <c r="E559" s="7" t="s">
        <v>779</v>
      </c>
      <c r="F559" s="7" t="s">
        <v>7209</v>
      </c>
      <c r="G559" s="7" t="s">
        <v>149</v>
      </c>
      <c r="H559" s="10" t="n">
        <v>1000</v>
      </c>
      <c r="I559" s="7" t="s">
        <v>69</v>
      </c>
      <c r="J559" s="7" t="s">
        <v>1436</v>
      </c>
      <c r="K559" s="7" t="s">
        <v>7210</v>
      </c>
      <c r="L559" s="7" t="s">
        <v>1438</v>
      </c>
      <c r="M559" s="7"/>
      <c r="N559" s="7" t="s">
        <v>1334</v>
      </c>
      <c r="O559" s="7" t="s">
        <v>1440</v>
      </c>
    </row>
    <row r="560" customFormat="false" ht="15" hidden="false" customHeight="false" outlineLevel="0" collapsed="false">
      <c r="A560" s="7" t="s">
        <v>7211</v>
      </c>
      <c r="B560" s="7" t="s">
        <v>32</v>
      </c>
      <c r="C560" s="7" t="s">
        <v>7212</v>
      </c>
      <c r="D560" s="7" t="s">
        <v>1434</v>
      </c>
      <c r="E560" s="7" t="s">
        <v>250</v>
      </c>
      <c r="F560" s="7" t="s">
        <v>7213</v>
      </c>
      <c r="G560" s="7" t="s">
        <v>149</v>
      </c>
      <c r="H560" s="10" t="n">
        <v>1500</v>
      </c>
      <c r="I560" s="7" t="s">
        <v>69</v>
      </c>
      <c r="J560" s="7" t="s">
        <v>1397</v>
      </c>
      <c r="K560" s="7" t="s">
        <v>7214</v>
      </c>
      <c r="L560" s="7" t="s">
        <v>1491</v>
      </c>
      <c r="M560" s="7"/>
      <c r="N560" s="7" t="s">
        <v>7215</v>
      </c>
      <c r="O560" s="7" t="s">
        <v>1401</v>
      </c>
    </row>
    <row r="561" customFormat="false" ht="15" hidden="false" customHeight="false" outlineLevel="0" collapsed="false">
      <c r="A561" s="7" t="s">
        <v>7216</v>
      </c>
      <c r="B561" s="7" t="s">
        <v>32</v>
      </c>
      <c r="C561" s="7" t="s">
        <v>7217</v>
      </c>
      <c r="D561" s="7" t="s">
        <v>7088</v>
      </c>
      <c r="E561" s="7" t="s">
        <v>78</v>
      </c>
      <c r="F561" s="7" t="s">
        <v>7218</v>
      </c>
      <c r="G561" s="7" t="s">
        <v>149</v>
      </c>
      <c r="H561" s="10" t="n">
        <v>1200</v>
      </c>
      <c r="I561" s="7" t="s">
        <v>69</v>
      </c>
      <c r="J561" s="7" t="s">
        <v>1489</v>
      </c>
      <c r="K561" s="7"/>
      <c r="L561" s="7" t="s">
        <v>5461</v>
      </c>
      <c r="M561" s="7"/>
      <c r="N561" s="7" t="s">
        <v>1334</v>
      </c>
      <c r="O561" s="7" t="s">
        <v>1493</v>
      </c>
    </row>
    <row r="562" customFormat="false" ht="15" hidden="false" customHeight="false" outlineLevel="0" collapsed="false">
      <c r="A562" s="7" t="s">
        <v>7219</v>
      </c>
      <c r="B562" s="7" t="s">
        <v>32</v>
      </c>
      <c r="C562" s="7" t="s">
        <v>7220</v>
      </c>
      <c r="D562" s="7" t="s">
        <v>7221</v>
      </c>
      <c r="E562" s="7" t="s">
        <v>779</v>
      </c>
      <c r="F562" s="7" t="s">
        <v>7222</v>
      </c>
      <c r="G562" s="7" t="s">
        <v>149</v>
      </c>
      <c r="H562" s="10" t="n">
        <v>2000</v>
      </c>
      <c r="I562" s="7" t="s">
        <v>69</v>
      </c>
      <c r="J562" s="7" t="s">
        <v>1330</v>
      </c>
      <c r="K562" s="7"/>
      <c r="L562" s="7" t="s">
        <v>1491</v>
      </c>
      <c r="M562" s="7"/>
      <c r="N562" s="7" t="s">
        <v>1334</v>
      </c>
      <c r="O562" s="7" t="s">
        <v>1335</v>
      </c>
    </row>
    <row r="563" customFormat="false" ht="15" hidden="false" customHeight="false" outlineLevel="0" collapsed="false">
      <c r="A563" s="7" t="s">
        <v>7223</v>
      </c>
      <c r="B563" s="7" t="s">
        <v>32</v>
      </c>
      <c r="C563" s="7" t="s">
        <v>7224</v>
      </c>
      <c r="D563" s="7" t="s">
        <v>6276</v>
      </c>
      <c r="E563" s="7" t="s">
        <v>779</v>
      </c>
      <c r="F563" s="7" t="s">
        <v>7225</v>
      </c>
      <c r="G563" s="7" t="s">
        <v>149</v>
      </c>
      <c r="H563" s="10" t="n">
        <v>800</v>
      </c>
      <c r="I563" s="7" t="s">
        <v>69</v>
      </c>
      <c r="J563" s="7" t="s">
        <v>1397</v>
      </c>
      <c r="K563" s="7" t="s">
        <v>7226</v>
      </c>
      <c r="L563" s="7" t="s">
        <v>1491</v>
      </c>
      <c r="M563" s="7"/>
      <c r="N563" s="7" t="s">
        <v>7141</v>
      </c>
      <c r="O563" s="7" t="s">
        <v>1401</v>
      </c>
    </row>
    <row r="564" customFormat="false" ht="15" hidden="false" customHeight="false" outlineLevel="0" collapsed="false">
      <c r="A564" s="7" t="s">
        <v>7227</v>
      </c>
      <c r="B564" s="7" t="s">
        <v>32</v>
      </c>
      <c r="C564" s="7" t="s">
        <v>7228</v>
      </c>
      <c r="D564" s="7" t="s">
        <v>6695</v>
      </c>
      <c r="E564" s="7" t="s">
        <v>854</v>
      </c>
      <c r="F564" s="7" t="s">
        <v>7229</v>
      </c>
      <c r="G564" s="7" t="s">
        <v>149</v>
      </c>
      <c r="H564" s="10" t="n">
        <v>500</v>
      </c>
      <c r="I564" s="7" t="s">
        <v>69</v>
      </c>
      <c r="J564" s="7" t="s">
        <v>1397</v>
      </c>
      <c r="K564" s="7" t="s">
        <v>7230</v>
      </c>
      <c r="L564" s="7" t="s">
        <v>5461</v>
      </c>
      <c r="M564" s="7"/>
      <c r="N564" s="7" t="s">
        <v>7231</v>
      </c>
      <c r="O564" s="7" t="s">
        <v>1401</v>
      </c>
    </row>
    <row r="565" customFormat="false" ht="15" hidden="false" customHeight="false" outlineLevel="0" collapsed="false">
      <c r="A565" s="7" t="s">
        <v>7232</v>
      </c>
      <c r="B565" s="7" t="s">
        <v>32</v>
      </c>
      <c r="C565" s="7" t="s">
        <v>7233</v>
      </c>
      <c r="D565" s="7" t="s">
        <v>1565</v>
      </c>
      <c r="E565" s="7" t="s">
        <v>455</v>
      </c>
      <c r="F565" s="7" t="s">
        <v>7234</v>
      </c>
      <c r="G565" s="7" t="s">
        <v>149</v>
      </c>
      <c r="H565" s="10" t="n">
        <v>1200</v>
      </c>
      <c r="I565" s="7" t="s">
        <v>69</v>
      </c>
      <c r="J565" s="7" t="s">
        <v>964</v>
      </c>
      <c r="K565" s="7"/>
      <c r="L565" s="7" t="s">
        <v>7235</v>
      </c>
      <c r="M565" s="7"/>
      <c r="N565" s="7" t="s">
        <v>1334</v>
      </c>
      <c r="O565" s="7" t="s">
        <v>1478</v>
      </c>
    </row>
    <row r="566" customFormat="false" ht="15" hidden="false" customHeight="false" outlineLevel="0" collapsed="false">
      <c r="A566" s="7" t="s">
        <v>7236</v>
      </c>
      <c r="B566" s="7" t="s">
        <v>32</v>
      </c>
      <c r="C566" s="7" t="s">
        <v>7237</v>
      </c>
      <c r="D566" s="7" t="s">
        <v>7238</v>
      </c>
      <c r="E566" s="7" t="s">
        <v>78</v>
      </c>
      <c r="F566" s="7" t="s">
        <v>7239</v>
      </c>
      <c r="G566" s="7" t="s">
        <v>149</v>
      </c>
      <c r="H566" s="10" t="n">
        <v>400</v>
      </c>
      <c r="I566" s="7" t="s">
        <v>69</v>
      </c>
      <c r="J566" s="7" t="s">
        <v>1368</v>
      </c>
      <c r="K566" s="7"/>
      <c r="L566" s="7" t="s">
        <v>1109</v>
      </c>
      <c r="M566" s="7"/>
      <c r="N566" s="7" t="s">
        <v>1334</v>
      </c>
      <c r="O566" s="7" t="s">
        <v>1373</v>
      </c>
    </row>
    <row r="567" customFormat="false" ht="15" hidden="false" customHeight="false" outlineLevel="0" collapsed="false">
      <c r="A567" s="7" t="s">
        <v>7240</v>
      </c>
      <c r="B567" s="7" t="s">
        <v>32</v>
      </c>
      <c r="C567" s="7" t="s">
        <v>7241</v>
      </c>
      <c r="D567" s="7" t="s">
        <v>1612</v>
      </c>
      <c r="E567" s="7" t="s">
        <v>147</v>
      </c>
      <c r="F567" s="7" t="s">
        <v>7242</v>
      </c>
      <c r="G567" s="7" t="s">
        <v>174</v>
      </c>
      <c r="H567" s="10" t="n">
        <v>500</v>
      </c>
      <c r="I567" s="7" t="s">
        <v>69</v>
      </c>
      <c r="J567" s="7" t="s">
        <v>1452</v>
      </c>
      <c r="K567" s="7"/>
      <c r="L567" s="7" t="s">
        <v>5461</v>
      </c>
      <c r="M567" s="7"/>
      <c r="N567" s="7" t="s">
        <v>7243</v>
      </c>
      <c r="O567" s="7" t="s">
        <v>1456</v>
      </c>
    </row>
    <row r="568" customFormat="false" ht="15" hidden="false" customHeight="false" outlineLevel="0" collapsed="false">
      <c r="A568" s="7" t="s">
        <v>7244</v>
      </c>
      <c r="B568" s="7" t="s">
        <v>32</v>
      </c>
      <c r="C568" s="7" t="s">
        <v>7245</v>
      </c>
      <c r="D568" s="7" t="s">
        <v>986</v>
      </c>
      <c r="E568" s="7" t="s">
        <v>215</v>
      </c>
      <c r="F568" s="7" t="s">
        <v>7246</v>
      </c>
      <c r="G568" s="7" t="s">
        <v>174</v>
      </c>
      <c r="H568" s="10" t="n">
        <v>600</v>
      </c>
      <c r="I568" s="7" t="s">
        <v>69</v>
      </c>
      <c r="J568" s="7" t="s">
        <v>457</v>
      </c>
      <c r="K568" s="7"/>
      <c r="L568" s="7" t="s">
        <v>1491</v>
      </c>
      <c r="M568" s="7"/>
      <c r="N568" s="7" t="s">
        <v>7247</v>
      </c>
      <c r="O568" s="7" t="s">
        <v>1576</v>
      </c>
    </row>
    <row r="569" customFormat="false" ht="15" hidden="false" customHeight="false" outlineLevel="0" collapsed="false">
      <c r="A569" s="7" t="s">
        <v>7248</v>
      </c>
      <c r="B569" s="7" t="s">
        <v>32</v>
      </c>
      <c r="C569" s="7" t="s">
        <v>7249</v>
      </c>
      <c r="D569" s="7" t="s">
        <v>2440</v>
      </c>
      <c r="E569" s="7" t="s">
        <v>97</v>
      </c>
      <c r="F569" s="7" t="s">
        <v>7250</v>
      </c>
      <c r="G569" s="7" t="s">
        <v>174</v>
      </c>
      <c r="H569" s="10" t="n">
        <v>800</v>
      </c>
      <c r="I569" s="7" t="s">
        <v>69</v>
      </c>
      <c r="J569" s="7" t="s">
        <v>1361</v>
      </c>
      <c r="K569" s="7" t="s">
        <v>7251</v>
      </c>
      <c r="L569" s="7" t="s">
        <v>1332</v>
      </c>
      <c r="M569" s="7"/>
      <c r="N569" s="7" t="s">
        <v>1334</v>
      </c>
      <c r="O569" s="7" t="s">
        <v>1364</v>
      </c>
    </row>
    <row r="570" customFormat="false" ht="15" hidden="false" customHeight="false" outlineLevel="0" collapsed="false">
      <c r="A570" s="7" t="s">
        <v>7252</v>
      </c>
      <c r="B570" s="7" t="s">
        <v>32</v>
      </c>
      <c r="C570" s="7" t="s">
        <v>7009</v>
      </c>
      <c r="D570" s="7" t="s">
        <v>7253</v>
      </c>
      <c r="E570" s="7" t="s">
        <v>206</v>
      </c>
      <c r="F570" s="7" t="s">
        <v>7254</v>
      </c>
      <c r="G570" s="7" t="s">
        <v>174</v>
      </c>
      <c r="H570" s="10" t="n">
        <v>1200</v>
      </c>
      <c r="I570" s="7" t="s">
        <v>69</v>
      </c>
      <c r="J570" s="7" t="s">
        <v>1351</v>
      </c>
      <c r="K570" s="7"/>
      <c r="L570" s="7" t="s">
        <v>1491</v>
      </c>
      <c r="M570" s="7"/>
      <c r="N570" s="7" t="s">
        <v>7255</v>
      </c>
      <c r="O570" s="7" t="s">
        <v>1356</v>
      </c>
    </row>
    <row r="571" customFormat="false" ht="15" hidden="false" customHeight="false" outlineLevel="0" collapsed="false">
      <c r="A571" s="7" t="s">
        <v>7256</v>
      </c>
      <c r="B571" s="7" t="s">
        <v>32</v>
      </c>
      <c r="C571" s="7" t="s">
        <v>7257</v>
      </c>
      <c r="D571" s="7" t="s">
        <v>65</v>
      </c>
      <c r="E571" s="7" t="s">
        <v>66</v>
      </c>
      <c r="F571" s="7" t="s">
        <v>7258</v>
      </c>
      <c r="G571" s="7" t="s">
        <v>174</v>
      </c>
      <c r="H571" s="10" t="n">
        <v>900</v>
      </c>
      <c r="I571" s="7" t="s">
        <v>69</v>
      </c>
      <c r="J571" s="7" t="s">
        <v>1361</v>
      </c>
      <c r="K571" s="7" t="s">
        <v>7259</v>
      </c>
      <c r="L571" s="7" t="s">
        <v>1332</v>
      </c>
      <c r="M571" s="7"/>
      <c r="N571" s="7" t="s">
        <v>7260</v>
      </c>
      <c r="O571" s="7" t="s">
        <v>1364</v>
      </c>
    </row>
    <row r="572" customFormat="false" ht="15" hidden="false" customHeight="false" outlineLevel="0" collapsed="false">
      <c r="A572" s="7" t="s">
        <v>7261</v>
      </c>
      <c r="B572" s="7" t="s">
        <v>32</v>
      </c>
      <c r="C572" s="7" t="s">
        <v>7262</v>
      </c>
      <c r="D572" s="7" t="s">
        <v>986</v>
      </c>
      <c r="E572" s="7" t="s">
        <v>215</v>
      </c>
      <c r="F572" s="7" t="s">
        <v>7263</v>
      </c>
      <c r="G572" s="7" t="s">
        <v>174</v>
      </c>
      <c r="H572" s="10" t="n">
        <v>700</v>
      </c>
      <c r="I572" s="7" t="s">
        <v>69</v>
      </c>
      <c r="J572" s="7" t="s">
        <v>457</v>
      </c>
      <c r="K572" s="7"/>
      <c r="L572" s="7" t="s">
        <v>1491</v>
      </c>
      <c r="M572" s="7"/>
      <c r="N572" s="7" t="s">
        <v>7247</v>
      </c>
      <c r="O572" s="7" t="s">
        <v>1576</v>
      </c>
    </row>
    <row r="573" customFormat="false" ht="15" hidden="false" customHeight="false" outlineLevel="0" collapsed="false">
      <c r="A573" s="7" t="s">
        <v>7264</v>
      </c>
      <c r="B573" s="7" t="s">
        <v>32</v>
      </c>
      <c r="C573" s="7" t="s">
        <v>7265</v>
      </c>
      <c r="D573" s="7" t="s">
        <v>7266</v>
      </c>
      <c r="E573" s="7" t="s">
        <v>206</v>
      </c>
      <c r="F573" s="7" t="s">
        <v>7267</v>
      </c>
      <c r="G573" s="7" t="s">
        <v>174</v>
      </c>
      <c r="H573" s="10" t="n">
        <v>1200</v>
      </c>
      <c r="I573" s="7" t="s">
        <v>69</v>
      </c>
      <c r="J573" s="7" t="s">
        <v>1436</v>
      </c>
      <c r="K573" s="7"/>
      <c r="L573" s="7" t="s">
        <v>5461</v>
      </c>
      <c r="M573" s="7"/>
      <c r="N573" s="7" t="s">
        <v>7268</v>
      </c>
      <c r="O573" s="7" t="s">
        <v>1440</v>
      </c>
    </row>
    <row r="574" customFormat="false" ht="15" hidden="false" customHeight="false" outlineLevel="0" collapsed="false">
      <c r="A574" s="7" t="s">
        <v>7269</v>
      </c>
      <c r="B574" s="7" t="s">
        <v>32</v>
      </c>
      <c r="C574" s="7" t="s">
        <v>7270</v>
      </c>
      <c r="D574" s="7" t="s">
        <v>3959</v>
      </c>
      <c r="E574" s="7" t="s">
        <v>338</v>
      </c>
      <c r="F574" s="7" t="s">
        <v>7271</v>
      </c>
      <c r="G574" s="7" t="s">
        <v>174</v>
      </c>
      <c r="H574" s="10" t="n">
        <v>500</v>
      </c>
      <c r="I574" s="7" t="s">
        <v>69</v>
      </c>
      <c r="J574" s="7" t="s">
        <v>1361</v>
      </c>
      <c r="K574" s="7"/>
      <c r="L574" s="7" t="s">
        <v>1332</v>
      </c>
      <c r="M574" s="7"/>
      <c r="N574" s="7" t="s">
        <v>7272</v>
      </c>
      <c r="O574" s="7" t="s">
        <v>1364</v>
      </c>
    </row>
    <row r="575" customFormat="false" ht="15" hidden="false" customHeight="false" outlineLevel="0" collapsed="false">
      <c r="A575" s="7" t="s">
        <v>7273</v>
      </c>
      <c r="B575" s="7" t="s">
        <v>32</v>
      </c>
      <c r="C575" s="7" t="s">
        <v>7274</v>
      </c>
      <c r="D575" s="7" t="s">
        <v>7275</v>
      </c>
      <c r="E575" s="7" t="s">
        <v>78</v>
      </c>
      <c r="F575" s="7" t="s">
        <v>7276</v>
      </c>
      <c r="G575" s="7" t="s">
        <v>174</v>
      </c>
      <c r="H575" s="10" t="n">
        <v>500</v>
      </c>
      <c r="I575" s="7" t="s">
        <v>69</v>
      </c>
      <c r="J575" s="7" t="s">
        <v>1489</v>
      </c>
      <c r="K575" s="7"/>
      <c r="L575" s="7" t="s">
        <v>5461</v>
      </c>
      <c r="M575" s="7"/>
      <c r="N575" s="7" t="s">
        <v>7277</v>
      </c>
      <c r="O575" s="7" t="s">
        <v>1493</v>
      </c>
    </row>
    <row r="576" customFormat="false" ht="15" hidden="false" customHeight="false" outlineLevel="0" collapsed="false">
      <c r="A576" s="7" t="s">
        <v>7278</v>
      </c>
      <c r="B576" s="7" t="s">
        <v>32</v>
      </c>
      <c r="C576" s="7" t="s">
        <v>7279</v>
      </c>
      <c r="D576" s="7" t="s">
        <v>7280</v>
      </c>
      <c r="E576" s="7" t="s">
        <v>779</v>
      </c>
      <c r="F576" s="7" t="s">
        <v>7281</v>
      </c>
      <c r="G576" s="7" t="s">
        <v>174</v>
      </c>
      <c r="H576" s="10" t="n">
        <v>1200</v>
      </c>
      <c r="I576" s="7" t="s">
        <v>69</v>
      </c>
      <c r="J576" s="7" t="s">
        <v>1489</v>
      </c>
      <c r="K576" s="7"/>
      <c r="L576" s="7" t="s">
        <v>5461</v>
      </c>
      <c r="M576" s="7"/>
      <c r="N576" s="7" t="s">
        <v>1334</v>
      </c>
      <c r="O576" s="7" t="s">
        <v>1493</v>
      </c>
    </row>
    <row r="577" customFormat="false" ht="15" hidden="false" customHeight="false" outlineLevel="0" collapsed="false">
      <c r="A577" s="7" t="s">
        <v>7282</v>
      </c>
      <c r="B577" s="7" t="s">
        <v>32</v>
      </c>
      <c r="C577" s="7" t="s">
        <v>7283</v>
      </c>
      <c r="D577" s="7" t="s">
        <v>7053</v>
      </c>
      <c r="E577" s="7" t="s">
        <v>206</v>
      </c>
      <c r="F577" s="7" t="s">
        <v>7284</v>
      </c>
      <c r="G577" s="7" t="s">
        <v>174</v>
      </c>
      <c r="H577" s="10" t="n">
        <v>700</v>
      </c>
      <c r="I577" s="7" t="s">
        <v>69</v>
      </c>
      <c r="J577" s="7" t="s">
        <v>457</v>
      </c>
      <c r="K577" s="7"/>
      <c r="L577" s="7" t="s">
        <v>5461</v>
      </c>
      <c r="M577" s="7"/>
      <c r="N577" s="7" t="s">
        <v>7285</v>
      </c>
      <c r="O577" s="7" t="s">
        <v>1576</v>
      </c>
    </row>
    <row r="578" customFormat="false" ht="15" hidden="false" customHeight="false" outlineLevel="0" collapsed="false">
      <c r="A578" s="7" t="s">
        <v>7286</v>
      </c>
      <c r="B578" s="7" t="s">
        <v>32</v>
      </c>
      <c r="C578" s="7" t="s">
        <v>7287</v>
      </c>
      <c r="D578" s="7" t="s">
        <v>7288</v>
      </c>
      <c r="E578" s="7" t="s">
        <v>147</v>
      </c>
      <c r="F578" s="7" t="s">
        <v>7289</v>
      </c>
      <c r="G578" s="7" t="s">
        <v>174</v>
      </c>
      <c r="H578" s="10" t="n">
        <v>400</v>
      </c>
      <c r="I578" s="7" t="s">
        <v>69</v>
      </c>
      <c r="J578" s="7" t="s">
        <v>1368</v>
      </c>
      <c r="K578" s="7" t="s">
        <v>7290</v>
      </c>
      <c r="L578" s="7" t="s">
        <v>1491</v>
      </c>
      <c r="M578" s="7"/>
      <c r="N578" s="7" t="s">
        <v>7291</v>
      </c>
      <c r="O578" s="7" t="s">
        <v>1373</v>
      </c>
    </row>
    <row r="579" customFormat="false" ht="15" hidden="false" customHeight="false" outlineLevel="0" collapsed="false">
      <c r="A579" s="7" t="s">
        <v>7292</v>
      </c>
      <c r="B579" s="7" t="s">
        <v>32</v>
      </c>
      <c r="C579" s="7" t="s">
        <v>7293</v>
      </c>
      <c r="D579" s="7" t="s">
        <v>249</v>
      </c>
      <c r="E579" s="7" t="s">
        <v>250</v>
      </c>
      <c r="F579" s="7" t="s">
        <v>7294</v>
      </c>
      <c r="G579" s="7" t="s">
        <v>174</v>
      </c>
      <c r="H579" s="10" t="n">
        <v>700</v>
      </c>
      <c r="I579" s="7" t="s">
        <v>69</v>
      </c>
      <c r="J579" s="7" t="s">
        <v>1460</v>
      </c>
      <c r="K579" s="7"/>
      <c r="L579" s="7" t="s">
        <v>1332</v>
      </c>
      <c r="M579" s="7"/>
      <c r="N579" s="7" t="s">
        <v>7295</v>
      </c>
      <c r="O579" s="7" t="s">
        <v>1464</v>
      </c>
    </row>
    <row r="580" customFormat="false" ht="15" hidden="false" customHeight="false" outlineLevel="0" collapsed="false">
      <c r="A580" s="7" t="s">
        <v>7296</v>
      </c>
      <c r="B580" s="7" t="s">
        <v>32</v>
      </c>
      <c r="C580" s="7" t="s">
        <v>7297</v>
      </c>
      <c r="D580" s="7" t="s">
        <v>7298</v>
      </c>
      <c r="E580" s="7" t="s">
        <v>480</v>
      </c>
      <c r="F580" s="7" t="s">
        <v>7299</v>
      </c>
      <c r="G580" s="7" t="s">
        <v>174</v>
      </c>
      <c r="H580" s="10" t="n">
        <v>1200</v>
      </c>
      <c r="I580" s="7" t="s">
        <v>69</v>
      </c>
      <c r="J580" s="7" t="s">
        <v>1351</v>
      </c>
      <c r="K580" s="7"/>
      <c r="L580" s="7" t="s">
        <v>5461</v>
      </c>
      <c r="M580" s="7"/>
      <c r="N580" s="7" t="s">
        <v>7300</v>
      </c>
      <c r="O580" s="7" t="s">
        <v>1356</v>
      </c>
    </row>
    <row r="581" customFormat="false" ht="15" hidden="false" customHeight="false" outlineLevel="0" collapsed="false">
      <c r="A581" s="7" t="s">
        <v>7301</v>
      </c>
      <c r="B581" s="7" t="s">
        <v>32</v>
      </c>
      <c r="C581" s="7" t="s">
        <v>7302</v>
      </c>
      <c r="D581" s="7" t="s">
        <v>1599</v>
      </c>
      <c r="E581" s="7" t="s">
        <v>78</v>
      </c>
      <c r="F581" s="7" t="s">
        <v>7303</v>
      </c>
      <c r="G581" s="7" t="s">
        <v>174</v>
      </c>
      <c r="H581" s="10" t="n">
        <v>200</v>
      </c>
      <c r="I581" s="7" t="s">
        <v>69</v>
      </c>
      <c r="J581" s="7" t="s">
        <v>1397</v>
      </c>
      <c r="K581" s="7"/>
      <c r="L581" s="7" t="s">
        <v>5600</v>
      </c>
      <c r="M581" s="7"/>
      <c r="N581" s="7" t="s">
        <v>7304</v>
      </c>
      <c r="O581" s="7" t="s">
        <v>1401</v>
      </c>
    </row>
    <row r="582" customFormat="false" ht="15" hidden="false" customHeight="false" outlineLevel="0" collapsed="false">
      <c r="A582" s="7" t="s">
        <v>7305</v>
      </c>
      <c r="B582" s="7" t="s">
        <v>32</v>
      </c>
      <c r="C582" s="7" t="s">
        <v>7306</v>
      </c>
      <c r="D582" s="7" t="s">
        <v>6561</v>
      </c>
      <c r="E582" s="7" t="s">
        <v>338</v>
      </c>
      <c r="F582" s="7" t="s">
        <v>7307</v>
      </c>
      <c r="G582" s="7" t="s">
        <v>174</v>
      </c>
      <c r="H582" s="10" t="n">
        <v>400</v>
      </c>
      <c r="I582" s="7" t="s">
        <v>69</v>
      </c>
      <c r="J582" s="7" t="s">
        <v>627</v>
      </c>
      <c r="K582" s="7"/>
      <c r="L582" s="7" t="s">
        <v>5461</v>
      </c>
      <c r="M582" s="7"/>
      <c r="N582" s="7" t="s">
        <v>7308</v>
      </c>
      <c r="O582" s="7" t="s">
        <v>7309</v>
      </c>
    </row>
    <row r="583" customFormat="false" ht="15" hidden="false" customHeight="false" outlineLevel="0" collapsed="false">
      <c r="A583" s="7" t="s">
        <v>7310</v>
      </c>
      <c r="B583" s="7" t="s">
        <v>32</v>
      </c>
      <c r="C583" s="7" t="s">
        <v>1403</v>
      </c>
      <c r="D583" s="7" t="s">
        <v>7311</v>
      </c>
      <c r="E583" s="7" t="s">
        <v>66</v>
      </c>
      <c r="F583" s="7" t="s">
        <v>7312</v>
      </c>
      <c r="G583" s="7" t="s">
        <v>174</v>
      </c>
      <c r="H583" s="10" t="n">
        <v>600</v>
      </c>
      <c r="I583" s="7" t="s">
        <v>69</v>
      </c>
      <c r="J583" s="7" t="s">
        <v>184</v>
      </c>
      <c r="K583" s="7" t="s">
        <v>7313</v>
      </c>
      <c r="L583" s="7" t="s">
        <v>7314</v>
      </c>
      <c r="M583" s="7"/>
      <c r="N583" s="7" t="s">
        <v>7315</v>
      </c>
      <c r="O583" s="7" t="s">
        <v>1545</v>
      </c>
    </row>
    <row r="584" customFormat="false" ht="15" hidden="false" customHeight="false" outlineLevel="0" collapsed="false">
      <c r="A584" s="7" t="s">
        <v>7316</v>
      </c>
      <c r="B584" s="7" t="s">
        <v>32</v>
      </c>
      <c r="C584" s="7" t="s">
        <v>7317</v>
      </c>
      <c r="D584" s="7" t="s">
        <v>479</v>
      </c>
      <c r="E584" s="7" t="s">
        <v>480</v>
      </c>
      <c r="F584" s="7" t="s">
        <v>7318</v>
      </c>
      <c r="G584" s="7" t="s">
        <v>174</v>
      </c>
      <c r="H584" s="10" t="n">
        <v>600</v>
      </c>
      <c r="I584" s="7" t="s">
        <v>69</v>
      </c>
      <c r="J584" s="7" t="s">
        <v>1397</v>
      </c>
      <c r="K584" s="7"/>
      <c r="L584" s="7" t="s">
        <v>1491</v>
      </c>
      <c r="M584" s="7"/>
      <c r="N584" s="7" t="s">
        <v>7319</v>
      </c>
      <c r="O584" s="7" t="s">
        <v>1401</v>
      </c>
    </row>
    <row r="585" customFormat="false" ht="15" hidden="false" customHeight="false" outlineLevel="0" collapsed="false">
      <c r="A585" s="7" t="s">
        <v>7320</v>
      </c>
      <c r="B585" s="7" t="s">
        <v>32</v>
      </c>
      <c r="C585" s="7" t="s">
        <v>6965</v>
      </c>
      <c r="D585" s="7" t="s">
        <v>1667</v>
      </c>
      <c r="E585" s="7" t="s">
        <v>172</v>
      </c>
      <c r="F585" s="7" t="s">
        <v>7321</v>
      </c>
      <c r="G585" s="7" t="s">
        <v>174</v>
      </c>
      <c r="H585" s="10" t="n">
        <v>500</v>
      </c>
      <c r="I585" s="7" t="s">
        <v>69</v>
      </c>
      <c r="J585" s="7" t="s">
        <v>1614</v>
      </c>
      <c r="K585" s="7"/>
      <c r="L585" s="7" t="s">
        <v>5461</v>
      </c>
      <c r="M585" s="7"/>
      <c r="N585" s="7" t="s">
        <v>1617</v>
      </c>
      <c r="O585" s="7" t="s">
        <v>1618</v>
      </c>
    </row>
    <row r="586" customFormat="false" ht="15" hidden="false" customHeight="false" outlineLevel="0" collapsed="false">
      <c r="A586" s="7" t="s">
        <v>7322</v>
      </c>
      <c r="B586" s="7" t="s">
        <v>32</v>
      </c>
      <c r="C586" s="7" t="s">
        <v>7323</v>
      </c>
      <c r="D586" s="7" t="s">
        <v>1237</v>
      </c>
      <c r="E586" s="7" t="s">
        <v>105</v>
      </c>
      <c r="F586" s="7" t="s">
        <v>7324</v>
      </c>
      <c r="G586" s="7" t="s">
        <v>174</v>
      </c>
      <c r="H586" s="10" t="n">
        <v>2000</v>
      </c>
      <c r="I586" s="7" t="s">
        <v>69</v>
      </c>
      <c r="J586" s="7" t="s">
        <v>184</v>
      </c>
      <c r="K586" s="7" t="s">
        <v>7325</v>
      </c>
      <c r="L586" s="7" t="s">
        <v>5461</v>
      </c>
      <c r="M586" s="7"/>
      <c r="N586" s="7" t="s">
        <v>7326</v>
      </c>
      <c r="O586" s="7" t="s">
        <v>1545</v>
      </c>
    </row>
    <row r="587" customFormat="false" ht="15" hidden="false" customHeight="false" outlineLevel="0" collapsed="false">
      <c r="A587" s="7" t="s">
        <v>7327</v>
      </c>
      <c r="B587" s="7" t="s">
        <v>32</v>
      </c>
      <c r="C587" s="7" t="s">
        <v>7328</v>
      </c>
      <c r="D587" s="7" t="s">
        <v>7329</v>
      </c>
      <c r="E587" s="7" t="s">
        <v>455</v>
      </c>
      <c r="F587" s="7" t="s">
        <v>7330</v>
      </c>
      <c r="G587" s="7" t="s">
        <v>174</v>
      </c>
      <c r="H587" s="10" t="n">
        <v>1000</v>
      </c>
      <c r="I587" s="7" t="s">
        <v>69</v>
      </c>
      <c r="J587" s="7" t="s">
        <v>1397</v>
      </c>
      <c r="K587" s="7"/>
      <c r="L587" s="7" t="s">
        <v>1491</v>
      </c>
      <c r="M587" s="7"/>
      <c r="N587" s="7" t="s">
        <v>7331</v>
      </c>
      <c r="O587" s="7" t="s">
        <v>1401</v>
      </c>
    </row>
    <row r="588" customFormat="false" ht="15" hidden="false" customHeight="false" outlineLevel="0" collapsed="false">
      <c r="A588" s="7" t="s">
        <v>7332</v>
      </c>
      <c r="B588" s="7" t="s">
        <v>32</v>
      </c>
      <c r="C588" s="7" t="s">
        <v>7333</v>
      </c>
      <c r="D588" s="7" t="s">
        <v>525</v>
      </c>
      <c r="E588" s="7" t="s">
        <v>348</v>
      </c>
      <c r="F588" s="7" t="s">
        <v>7334</v>
      </c>
      <c r="G588" s="7" t="s">
        <v>174</v>
      </c>
      <c r="H588" s="10" t="n">
        <v>900</v>
      </c>
      <c r="I588" s="7" t="s">
        <v>69</v>
      </c>
      <c r="J588" s="7" t="s">
        <v>1397</v>
      </c>
      <c r="K588" s="7" t="s">
        <v>7335</v>
      </c>
      <c r="L588" s="7" t="s">
        <v>1491</v>
      </c>
      <c r="M588" s="7"/>
      <c r="N588" s="7" t="s">
        <v>7336</v>
      </c>
      <c r="O588" s="7" t="s">
        <v>1401</v>
      </c>
    </row>
    <row r="589" customFormat="false" ht="15" hidden="false" customHeight="false" outlineLevel="0" collapsed="false">
      <c r="A589" s="7" t="s">
        <v>7337</v>
      </c>
      <c r="B589" s="7" t="s">
        <v>32</v>
      </c>
      <c r="C589" s="7" t="s">
        <v>7338</v>
      </c>
      <c r="D589" s="7" t="s">
        <v>146</v>
      </c>
      <c r="E589" s="7" t="s">
        <v>147</v>
      </c>
      <c r="F589" s="7" t="s">
        <v>7339</v>
      </c>
      <c r="G589" s="7" t="s">
        <v>174</v>
      </c>
      <c r="H589" s="10" t="n">
        <v>1500</v>
      </c>
      <c r="I589" s="7" t="s">
        <v>69</v>
      </c>
      <c r="J589" s="7" t="s">
        <v>457</v>
      </c>
      <c r="K589" s="7"/>
      <c r="L589" s="7" t="s">
        <v>1491</v>
      </c>
      <c r="M589" s="7"/>
      <c r="N589" s="7" t="s">
        <v>7340</v>
      </c>
      <c r="O589" s="7" t="s">
        <v>7097</v>
      </c>
    </row>
    <row r="590" customFormat="false" ht="15" hidden="false" customHeight="false" outlineLevel="0" collapsed="false">
      <c r="A590" s="7" t="s">
        <v>7341</v>
      </c>
      <c r="B590" s="7" t="s">
        <v>32</v>
      </c>
      <c r="C590" s="7" t="s">
        <v>7342</v>
      </c>
      <c r="D590" s="7" t="s">
        <v>65</v>
      </c>
      <c r="E590" s="7" t="s">
        <v>66</v>
      </c>
      <c r="F590" s="7" t="s">
        <v>7343</v>
      </c>
      <c r="G590" s="7" t="s">
        <v>174</v>
      </c>
      <c r="H590" s="10" t="n">
        <v>300</v>
      </c>
      <c r="I590" s="7" t="s">
        <v>69</v>
      </c>
      <c r="J590" s="7" t="s">
        <v>1489</v>
      </c>
      <c r="K590" s="7"/>
      <c r="L590" s="7" t="s">
        <v>5600</v>
      </c>
      <c r="M590" s="7"/>
      <c r="N590" s="7" t="s">
        <v>1334</v>
      </c>
      <c r="O590" s="7" t="s">
        <v>1493</v>
      </c>
    </row>
    <row r="591" customFormat="false" ht="15" hidden="false" customHeight="false" outlineLevel="0" collapsed="false">
      <c r="A591" s="7" t="s">
        <v>7344</v>
      </c>
      <c r="B591" s="7" t="s">
        <v>32</v>
      </c>
      <c r="C591" s="7" t="s">
        <v>7345</v>
      </c>
      <c r="D591" s="7" t="s">
        <v>970</v>
      </c>
      <c r="E591" s="7" t="s">
        <v>250</v>
      </c>
      <c r="F591" s="7" t="s">
        <v>7346</v>
      </c>
      <c r="G591" s="7" t="s">
        <v>258</v>
      </c>
      <c r="H591" s="10" t="n">
        <v>300</v>
      </c>
      <c r="I591" s="7" t="s">
        <v>69</v>
      </c>
      <c r="J591" s="7" t="s">
        <v>1460</v>
      </c>
      <c r="K591" s="7"/>
      <c r="L591" s="7" t="s">
        <v>1332</v>
      </c>
      <c r="M591" s="7"/>
      <c r="N591" s="7" t="s">
        <v>1609</v>
      </c>
      <c r="O591" s="7" t="s">
        <v>1464</v>
      </c>
    </row>
    <row r="592" customFormat="false" ht="15" hidden="false" customHeight="false" outlineLevel="0" collapsed="false">
      <c r="A592" s="7" t="s">
        <v>7347</v>
      </c>
      <c r="B592" s="7" t="s">
        <v>32</v>
      </c>
      <c r="C592" s="7" t="s">
        <v>7265</v>
      </c>
      <c r="D592" s="7" t="s">
        <v>264</v>
      </c>
      <c r="E592" s="7" t="s">
        <v>250</v>
      </c>
      <c r="F592" s="7" t="s">
        <v>7348</v>
      </c>
      <c r="G592" s="7" t="s">
        <v>258</v>
      </c>
      <c r="H592" s="10" t="n">
        <v>600</v>
      </c>
      <c r="I592" s="7" t="s">
        <v>69</v>
      </c>
      <c r="J592" s="7" t="s">
        <v>5090</v>
      </c>
      <c r="K592" s="7"/>
      <c r="L592" s="7" t="s">
        <v>5461</v>
      </c>
      <c r="M592" s="7"/>
      <c r="N592" s="7" t="s">
        <v>7349</v>
      </c>
      <c r="O592" s="7" t="s">
        <v>7350</v>
      </c>
    </row>
    <row r="593" customFormat="false" ht="15" hidden="false" customHeight="false" outlineLevel="0" collapsed="false">
      <c r="A593" s="7" t="s">
        <v>7351</v>
      </c>
      <c r="B593" s="7" t="s">
        <v>32</v>
      </c>
      <c r="C593" s="7" t="s">
        <v>7352</v>
      </c>
      <c r="D593" s="7" t="s">
        <v>986</v>
      </c>
      <c r="E593" s="7" t="s">
        <v>215</v>
      </c>
      <c r="F593" s="7" t="s">
        <v>7353</v>
      </c>
      <c r="G593" s="7" t="s">
        <v>258</v>
      </c>
      <c r="H593" s="10" t="n">
        <v>400</v>
      </c>
      <c r="I593" s="7" t="s">
        <v>69</v>
      </c>
      <c r="J593" s="7" t="s">
        <v>1614</v>
      </c>
      <c r="K593" s="7"/>
      <c r="L593" s="7" t="s">
        <v>5461</v>
      </c>
      <c r="M593" s="7"/>
      <c r="N593" s="7" t="s">
        <v>7354</v>
      </c>
      <c r="O593" s="7" t="s">
        <v>1618</v>
      </c>
    </row>
    <row r="594" customFormat="false" ht="15" hidden="false" customHeight="false" outlineLevel="0" collapsed="false">
      <c r="A594" s="7" t="s">
        <v>7355</v>
      </c>
      <c r="B594" s="7" t="s">
        <v>32</v>
      </c>
      <c r="C594" s="7" t="s">
        <v>7356</v>
      </c>
      <c r="D594" s="7" t="s">
        <v>1029</v>
      </c>
      <c r="E594" s="7" t="s">
        <v>1030</v>
      </c>
      <c r="F594" s="7" t="s">
        <v>7357</v>
      </c>
      <c r="G594" s="7" t="s">
        <v>258</v>
      </c>
      <c r="H594" s="10" t="n">
        <v>500</v>
      </c>
      <c r="I594" s="7" t="s">
        <v>69</v>
      </c>
      <c r="J594" s="7" t="s">
        <v>1614</v>
      </c>
      <c r="K594" s="7"/>
      <c r="L594" s="7" t="s">
        <v>1491</v>
      </c>
      <c r="M594" s="7"/>
      <c r="N594" s="7" t="s">
        <v>1617</v>
      </c>
      <c r="O594" s="7" t="s">
        <v>1618</v>
      </c>
    </row>
    <row r="595" customFormat="false" ht="15" hidden="false" customHeight="false" outlineLevel="0" collapsed="false">
      <c r="A595" s="7" t="s">
        <v>7358</v>
      </c>
      <c r="B595" s="7" t="s">
        <v>32</v>
      </c>
      <c r="C595" s="7" t="s">
        <v>7359</v>
      </c>
      <c r="D595" s="7" t="s">
        <v>154</v>
      </c>
      <c r="E595" s="7" t="s">
        <v>155</v>
      </c>
      <c r="F595" s="7" t="s">
        <v>7360</v>
      </c>
      <c r="G595" s="7" t="s">
        <v>258</v>
      </c>
      <c r="H595" s="10" t="n">
        <v>600</v>
      </c>
      <c r="I595" s="7" t="s">
        <v>69</v>
      </c>
      <c r="J595" s="7" t="s">
        <v>1614</v>
      </c>
      <c r="K595" s="7" t="s">
        <v>7361</v>
      </c>
      <c r="L595" s="7" t="s">
        <v>1491</v>
      </c>
      <c r="M595" s="7"/>
      <c r="N595" s="7" t="s">
        <v>7362</v>
      </c>
      <c r="O595" s="7" t="s">
        <v>1618</v>
      </c>
    </row>
    <row r="596" customFormat="false" ht="15" hidden="false" customHeight="false" outlineLevel="0" collapsed="false">
      <c r="A596" s="7" t="s">
        <v>7363</v>
      </c>
      <c r="B596" s="7" t="s">
        <v>32</v>
      </c>
      <c r="C596" s="7" t="s">
        <v>7364</v>
      </c>
      <c r="D596" s="7" t="s">
        <v>154</v>
      </c>
      <c r="E596" s="7" t="s">
        <v>155</v>
      </c>
      <c r="F596" s="7" t="s">
        <v>7365</v>
      </c>
      <c r="G596" s="7" t="s">
        <v>258</v>
      </c>
      <c r="H596" s="10" t="n">
        <v>700</v>
      </c>
      <c r="I596" s="7" t="s">
        <v>69</v>
      </c>
      <c r="J596" s="7" t="s">
        <v>1614</v>
      </c>
      <c r="K596" s="7"/>
      <c r="L596" s="7" t="s">
        <v>1491</v>
      </c>
      <c r="M596" s="7"/>
      <c r="N596" s="7" t="s">
        <v>7366</v>
      </c>
      <c r="O596" s="7" t="s">
        <v>1618</v>
      </c>
    </row>
    <row r="597" customFormat="false" ht="15" hidden="false" customHeight="false" outlineLevel="0" collapsed="false">
      <c r="A597" s="7" t="s">
        <v>7367</v>
      </c>
      <c r="B597" s="7" t="s">
        <v>33</v>
      </c>
      <c r="C597" s="7" t="s">
        <v>1689</v>
      </c>
      <c r="D597" s="7" t="s">
        <v>154</v>
      </c>
      <c r="E597" s="7" t="s">
        <v>155</v>
      </c>
      <c r="F597" s="7" t="s">
        <v>7368</v>
      </c>
      <c r="G597" s="7" t="s">
        <v>68</v>
      </c>
      <c r="H597" s="10" t="n">
        <v>900</v>
      </c>
      <c r="I597" s="7" t="s">
        <v>69</v>
      </c>
      <c r="J597" s="7" t="s">
        <v>7369</v>
      </c>
      <c r="K597" s="7" t="s">
        <v>7370</v>
      </c>
      <c r="L597" s="7" t="s">
        <v>1693</v>
      </c>
      <c r="M597" s="7"/>
      <c r="N597" s="7" t="s">
        <v>3485</v>
      </c>
      <c r="O597" s="7" t="s">
        <v>3486</v>
      </c>
    </row>
    <row r="598" customFormat="false" ht="15" hidden="false" customHeight="false" outlineLevel="0" collapsed="false">
      <c r="A598" s="7" t="s">
        <v>7371</v>
      </c>
      <c r="B598" s="7" t="s">
        <v>33</v>
      </c>
      <c r="C598" s="7" t="s">
        <v>1634</v>
      </c>
      <c r="D598" s="7" t="s">
        <v>986</v>
      </c>
      <c r="E598" s="7" t="s">
        <v>215</v>
      </c>
      <c r="F598" s="7" t="s">
        <v>7372</v>
      </c>
      <c r="G598" s="7" t="s">
        <v>68</v>
      </c>
      <c r="H598" s="10" t="n">
        <v>3500</v>
      </c>
      <c r="I598" s="7" t="s">
        <v>69</v>
      </c>
      <c r="J598" s="7" t="s">
        <v>7373</v>
      </c>
      <c r="K598" s="7" t="s">
        <v>7374</v>
      </c>
      <c r="L598" s="7" t="s">
        <v>1491</v>
      </c>
      <c r="M598" s="7"/>
      <c r="N598" s="7" t="s">
        <v>7375</v>
      </c>
      <c r="O598" s="7" t="s">
        <v>1641</v>
      </c>
    </row>
    <row r="599" customFormat="false" ht="15" hidden="false" customHeight="false" outlineLevel="0" collapsed="false">
      <c r="A599" s="7" t="s">
        <v>7376</v>
      </c>
      <c r="B599" s="7" t="s">
        <v>33</v>
      </c>
      <c r="C599" s="7" t="s">
        <v>3475</v>
      </c>
      <c r="D599" s="7" t="s">
        <v>112</v>
      </c>
      <c r="E599" s="7" t="s">
        <v>113</v>
      </c>
      <c r="F599" s="7" t="s">
        <v>7377</v>
      </c>
      <c r="G599" s="7" t="s">
        <v>68</v>
      </c>
      <c r="H599" s="10" t="n">
        <v>900</v>
      </c>
      <c r="I599" s="7" t="s">
        <v>377</v>
      </c>
      <c r="J599" s="7"/>
      <c r="K599" s="7" t="s">
        <v>7378</v>
      </c>
      <c r="L599" s="7" t="s">
        <v>1693</v>
      </c>
      <c r="M599" s="7"/>
      <c r="N599" s="7" t="s">
        <v>7379</v>
      </c>
      <c r="O599" s="7" t="s">
        <v>7380</v>
      </c>
    </row>
    <row r="600" customFormat="false" ht="15" hidden="false" customHeight="false" outlineLevel="0" collapsed="false">
      <c r="A600" s="7" t="s">
        <v>7381</v>
      </c>
      <c r="B600" s="7" t="s">
        <v>33</v>
      </c>
      <c r="C600" s="7" t="s">
        <v>3512</v>
      </c>
      <c r="D600" s="7" t="s">
        <v>7382</v>
      </c>
      <c r="E600" s="7" t="s">
        <v>147</v>
      </c>
      <c r="F600" s="7" t="s">
        <v>7383</v>
      </c>
      <c r="G600" s="7" t="s">
        <v>68</v>
      </c>
      <c r="H600" s="10" t="n">
        <v>2500</v>
      </c>
      <c r="I600" s="7" t="s">
        <v>69</v>
      </c>
      <c r="J600" s="7" t="s">
        <v>7384</v>
      </c>
      <c r="K600" s="7" t="s">
        <v>7385</v>
      </c>
      <c r="L600" s="7" t="s">
        <v>1491</v>
      </c>
      <c r="M600" s="7"/>
      <c r="N600" s="7" t="s">
        <v>7386</v>
      </c>
      <c r="O600" s="7" t="s">
        <v>3517</v>
      </c>
    </row>
    <row r="601" customFormat="false" ht="15" hidden="false" customHeight="false" outlineLevel="0" collapsed="false">
      <c r="A601" s="7" t="s">
        <v>7387</v>
      </c>
      <c r="B601" s="7" t="s">
        <v>33</v>
      </c>
      <c r="C601" s="7" t="s">
        <v>1643</v>
      </c>
      <c r="D601" s="7" t="s">
        <v>1467</v>
      </c>
      <c r="E601" s="7" t="s">
        <v>147</v>
      </c>
      <c r="F601" s="7" t="s">
        <v>7388</v>
      </c>
      <c r="G601" s="7" t="s">
        <v>68</v>
      </c>
      <c r="H601" s="10" t="n">
        <v>2500</v>
      </c>
      <c r="I601" s="7" t="s">
        <v>69</v>
      </c>
      <c r="J601" s="7" t="s">
        <v>7389</v>
      </c>
      <c r="K601" s="7" t="s">
        <v>7390</v>
      </c>
      <c r="L601" s="7" t="s">
        <v>1491</v>
      </c>
      <c r="M601" s="7"/>
      <c r="N601" s="7" t="s">
        <v>7391</v>
      </c>
      <c r="O601" s="7" t="s">
        <v>1641</v>
      </c>
    </row>
    <row r="602" customFormat="false" ht="15" hidden="false" customHeight="false" outlineLevel="0" collapsed="false">
      <c r="A602" s="7" t="s">
        <v>7392</v>
      </c>
      <c r="B602" s="7" t="s">
        <v>33</v>
      </c>
      <c r="C602" s="7" t="s">
        <v>3512</v>
      </c>
      <c r="D602" s="7" t="s">
        <v>1881</v>
      </c>
      <c r="E602" s="7" t="s">
        <v>250</v>
      </c>
      <c r="F602" s="7" t="s">
        <v>7393</v>
      </c>
      <c r="G602" s="7" t="s">
        <v>68</v>
      </c>
      <c r="H602" s="10" t="n">
        <v>3200</v>
      </c>
      <c r="I602" s="7" t="s">
        <v>517</v>
      </c>
      <c r="J602" s="7"/>
      <c r="K602" s="7" t="s">
        <v>7394</v>
      </c>
      <c r="L602" s="7" t="s">
        <v>1491</v>
      </c>
      <c r="M602" s="7"/>
      <c r="N602" s="7" t="s">
        <v>7395</v>
      </c>
      <c r="O602" s="7" t="s">
        <v>3517</v>
      </c>
    </row>
    <row r="603" customFormat="false" ht="15" hidden="false" customHeight="false" outlineLevel="0" collapsed="false">
      <c r="A603" s="7" t="s">
        <v>7396</v>
      </c>
      <c r="B603" s="7" t="s">
        <v>33</v>
      </c>
      <c r="C603" s="7" t="s">
        <v>3512</v>
      </c>
      <c r="D603" s="7" t="s">
        <v>7397</v>
      </c>
      <c r="E603" s="7" t="s">
        <v>163</v>
      </c>
      <c r="F603" s="7" t="s">
        <v>7398</v>
      </c>
      <c r="G603" s="7" t="s">
        <v>68</v>
      </c>
      <c r="H603" s="10" t="n">
        <v>2500</v>
      </c>
      <c r="I603" s="7" t="s">
        <v>69</v>
      </c>
      <c r="J603" s="7" t="s">
        <v>995</v>
      </c>
      <c r="K603" s="7" t="s">
        <v>7399</v>
      </c>
      <c r="L603" s="7" t="s">
        <v>1491</v>
      </c>
      <c r="M603" s="7"/>
      <c r="N603" s="7" t="s">
        <v>7400</v>
      </c>
      <c r="O603" s="7" t="s">
        <v>3517</v>
      </c>
    </row>
    <row r="604" customFormat="false" ht="15" hidden="false" customHeight="false" outlineLevel="0" collapsed="false">
      <c r="A604" s="7" t="s">
        <v>7401</v>
      </c>
      <c r="B604" s="7" t="s">
        <v>33</v>
      </c>
      <c r="C604" s="7" t="s">
        <v>3475</v>
      </c>
      <c r="D604" s="7" t="s">
        <v>337</v>
      </c>
      <c r="E604" s="7" t="s">
        <v>338</v>
      </c>
      <c r="F604" s="7" t="s">
        <v>7402</v>
      </c>
      <c r="G604" s="7" t="s">
        <v>68</v>
      </c>
      <c r="H604" s="10" t="n">
        <v>3000</v>
      </c>
      <c r="I604" s="7" t="s">
        <v>3239</v>
      </c>
      <c r="J604" s="7"/>
      <c r="K604" s="7" t="s">
        <v>7403</v>
      </c>
      <c r="L604" s="7" t="s">
        <v>1693</v>
      </c>
      <c r="M604" s="7"/>
      <c r="N604" s="7" t="s">
        <v>7404</v>
      </c>
      <c r="O604" s="7" t="s">
        <v>7405</v>
      </c>
    </row>
    <row r="605" customFormat="false" ht="15" hidden="false" customHeight="false" outlineLevel="0" collapsed="false">
      <c r="A605" s="7" t="s">
        <v>7406</v>
      </c>
      <c r="B605" s="7" t="s">
        <v>33</v>
      </c>
      <c r="C605" s="7" t="s">
        <v>1634</v>
      </c>
      <c r="D605" s="7" t="s">
        <v>1321</v>
      </c>
      <c r="E605" s="7" t="s">
        <v>78</v>
      </c>
      <c r="F605" s="7" t="s">
        <v>7407</v>
      </c>
      <c r="G605" s="7" t="s">
        <v>68</v>
      </c>
      <c r="H605" s="10" t="n">
        <v>3000</v>
      </c>
      <c r="I605" s="7" t="s">
        <v>69</v>
      </c>
      <c r="J605" s="7" t="s">
        <v>7408</v>
      </c>
      <c r="K605" s="7" t="s">
        <v>7409</v>
      </c>
      <c r="L605" s="7" t="s">
        <v>1491</v>
      </c>
      <c r="M605" s="7"/>
      <c r="N605" s="7" t="s">
        <v>7410</v>
      </c>
      <c r="O605" s="7" t="s">
        <v>1641</v>
      </c>
    </row>
    <row r="606" customFormat="false" ht="15" hidden="false" customHeight="false" outlineLevel="0" collapsed="false">
      <c r="A606" s="7" t="s">
        <v>7411</v>
      </c>
      <c r="B606" s="7" t="s">
        <v>33</v>
      </c>
      <c r="C606" s="7" t="s">
        <v>3512</v>
      </c>
      <c r="D606" s="7" t="s">
        <v>7412</v>
      </c>
      <c r="E606" s="7" t="s">
        <v>206</v>
      </c>
      <c r="F606" s="7" t="s">
        <v>7413</v>
      </c>
      <c r="G606" s="7" t="s">
        <v>68</v>
      </c>
      <c r="H606" s="10" t="n">
        <v>2500</v>
      </c>
      <c r="I606" s="7" t="s">
        <v>3239</v>
      </c>
      <c r="J606" s="7"/>
      <c r="K606" s="7" t="s">
        <v>7414</v>
      </c>
      <c r="L606" s="7" t="s">
        <v>1491</v>
      </c>
      <c r="M606" s="7"/>
      <c r="N606" s="7" t="s">
        <v>7415</v>
      </c>
      <c r="O606" s="7" t="s">
        <v>3517</v>
      </c>
    </row>
    <row r="607" customFormat="false" ht="15" hidden="false" customHeight="false" outlineLevel="0" collapsed="false">
      <c r="A607" s="7" t="s">
        <v>7416</v>
      </c>
      <c r="B607" s="7" t="s">
        <v>33</v>
      </c>
      <c r="C607" s="7" t="s">
        <v>1689</v>
      </c>
      <c r="D607" s="7" t="s">
        <v>347</v>
      </c>
      <c r="E607" s="7" t="s">
        <v>348</v>
      </c>
      <c r="F607" s="7" t="s">
        <v>7417</v>
      </c>
      <c r="G607" s="7" t="s">
        <v>68</v>
      </c>
      <c r="H607" s="10" t="n">
        <v>1000</v>
      </c>
      <c r="I607" s="7" t="s">
        <v>350</v>
      </c>
      <c r="J607" s="7"/>
      <c r="K607" s="7" t="s">
        <v>7418</v>
      </c>
      <c r="L607" s="7" t="s">
        <v>1693</v>
      </c>
      <c r="M607" s="7"/>
      <c r="N607" s="7" t="s">
        <v>7419</v>
      </c>
      <c r="O607" s="7" t="s">
        <v>7420</v>
      </c>
    </row>
    <row r="608" customFormat="false" ht="15" hidden="false" customHeight="false" outlineLevel="0" collapsed="false">
      <c r="A608" s="7" t="s">
        <v>7421</v>
      </c>
      <c r="B608" s="7" t="s">
        <v>33</v>
      </c>
      <c r="C608" s="7" t="s">
        <v>3512</v>
      </c>
      <c r="D608" s="7" t="s">
        <v>7422</v>
      </c>
      <c r="E608" s="7" t="s">
        <v>338</v>
      </c>
      <c r="F608" s="7" t="s">
        <v>7423</v>
      </c>
      <c r="G608" s="7" t="s">
        <v>68</v>
      </c>
      <c r="H608" s="10" t="n">
        <v>2200</v>
      </c>
      <c r="I608" s="7" t="s">
        <v>69</v>
      </c>
      <c r="J608" s="7" t="s">
        <v>7424</v>
      </c>
      <c r="K608" s="7" t="s">
        <v>7425</v>
      </c>
      <c r="L608" s="7" t="s">
        <v>1491</v>
      </c>
      <c r="M608" s="7"/>
      <c r="N608" s="7" t="s">
        <v>7426</v>
      </c>
      <c r="O608" s="7" t="s">
        <v>3517</v>
      </c>
    </row>
    <row r="609" customFormat="false" ht="15" hidden="false" customHeight="false" outlineLevel="0" collapsed="false">
      <c r="A609" s="7" t="s">
        <v>7427</v>
      </c>
      <c r="B609" s="7" t="s">
        <v>33</v>
      </c>
      <c r="C609" s="7" t="s">
        <v>1634</v>
      </c>
      <c r="D609" s="7" t="s">
        <v>112</v>
      </c>
      <c r="E609" s="7" t="s">
        <v>113</v>
      </c>
      <c r="F609" s="7" t="s">
        <v>7428</v>
      </c>
      <c r="G609" s="7" t="s">
        <v>68</v>
      </c>
      <c r="H609" s="10" t="n">
        <v>3000</v>
      </c>
      <c r="I609" s="7" t="s">
        <v>69</v>
      </c>
      <c r="J609" s="7" t="s">
        <v>7429</v>
      </c>
      <c r="K609" s="7" t="s">
        <v>7430</v>
      </c>
      <c r="L609" s="7" t="s">
        <v>1693</v>
      </c>
      <c r="M609" s="7"/>
      <c r="N609" s="7" t="s">
        <v>7431</v>
      </c>
      <c r="O609" s="7" t="s">
        <v>1641</v>
      </c>
    </row>
    <row r="610" customFormat="false" ht="15" hidden="false" customHeight="false" outlineLevel="0" collapsed="false">
      <c r="A610" s="7" t="s">
        <v>7432</v>
      </c>
      <c r="B610" s="7" t="s">
        <v>33</v>
      </c>
      <c r="C610" s="7" t="s">
        <v>1689</v>
      </c>
      <c r="D610" s="7" t="s">
        <v>337</v>
      </c>
      <c r="E610" s="7" t="s">
        <v>338</v>
      </c>
      <c r="F610" s="7" t="s">
        <v>7433</v>
      </c>
      <c r="G610" s="7" t="s">
        <v>68</v>
      </c>
      <c r="H610" s="10" t="n">
        <v>1200</v>
      </c>
      <c r="I610" s="7" t="s">
        <v>69</v>
      </c>
      <c r="J610" s="7" t="s">
        <v>7434</v>
      </c>
      <c r="K610" s="7" t="s">
        <v>7435</v>
      </c>
      <c r="L610" s="7" t="s">
        <v>1693</v>
      </c>
      <c r="M610" s="7"/>
      <c r="N610" s="7" t="s">
        <v>3485</v>
      </c>
      <c r="O610" s="7" t="s">
        <v>3486</v>
      </c>
    </row>
    <row r="611" customFormat="false" ht="15" hidden="false" customHeight="false" outlineLevel="0" collapsed="false">
      <c r="A611" s="7" t="s">
        <v>7436</v>
      </c>
      <c r="B611" s="7" t="s">
        <v>33</v>
      </c>
      <c r="C611" s="7" t="s">
        <v>3512</v>
      </c>
      <c r="D611" s="7" t="s">
        <v>5523</v>
      </c>
      <c r="E611" s="7" t="s">
        <v>88</v>
      </c>
      <c r="F611" s="7" t="s">
        <v>7437</v>
      </c>
      <c r="G611" s="7" t="s">
        <v>68</v>
      </c>
      <c r="H611" s="10" t="n">
        <v>2500</v>
      </c>
      <c r="I611" s="7" t="s">
        <v>69</v>
      </c>
      <c r="J611" s="7" t="s">
        <v>1229</v>
      </c>
      <c r="K611" s="7" t="s">
        <v>7438</v>
      </c>
      <c r="L611" s="7" t="s">
        <v>1491</v>
      </c>
      <c r="M611" s="7"/>
      <c r="N611" s="7" t="s">
        <v>7439</v>
      </c>
      <c r="O611" s="7" t="s">
        <v>3517</v>
      </c>
    </row>
    <row r="612" customFormat="false" ht="15" hidden="false" customHeight="false" outlineLevel="0" collapsed="false">
      <c r="A612" s="7" t="s">
        <v>7440</v>
      </c>
      <c r="B612" s="7" t="s">
        <v>33</v>
      </c>
      <c r="C612" s="7" t="s">
        <v>7441</v>
      </c>
      <c r="D612" s="7" t="s">
        <v>5205</v>
      </c>
      <c r="E612" s="7" t="s">
        <v>296</v>
      </c>
      <c r="F612" s="7" t="s">
        <v>7442</v>
      </c>
      <c r="G612" s="7" t="s">
        <v>68</v>
      </c>
      <c r="H612" s="10" t="n">
        <v>3000</v>
      </c>
      <c r="I612" s="7" t="s">
        <v>69</v>
      </c>
      <c r="J612" s="7" t="s">
        <v>837</v>
      </c>
      <c r="K612" s="7" t="s">
        <v>7443</v>
      </c>
      <c r="L612" s="7" t="s">
        <v>1693</v>
      </c>
      <c r="M612" s="7"/>
      <c r="N612" s="7" t="s">
        <v>7444</v>
      </c>
      <c r="O612" s="7" t="s">
        <v>7445</v>
      </c>
    </row>
    <row r="613" customFormat="false" ht="15" hidden="false" customHeight="false" outlineLevel="0" collapsed="false">
      <c r="A613" s="7" t="s">
        <v>7446</v>
      </c>
      <c r="B613" s="7" t="s">
        <v>33</v>
      </c>
      <c r="C613" s="7" t="s">
        <v>3512</v>
      </c>
      <c r="D613" s="7" t="s">
        <v>4701</v>
      </c>
      <c r="E613" s="7" t="s">
        <v>222</v>
      </c>
      <c r="F613" s="7" t="s">
        <v>7447</v>
      </c>
      <c r="G613" s="7" t="s">
        <v>68</v>
      </c>
      <c r="H613" s="10" t="n">
        <v>2500</v>
      </c>
      <c r="I613" s="7" t="s">
        <v>69</v>
      </c>
      <c r="J613" s="7" t="s">
        <v>7448</v>
      </c>
      <c r="K613" s="7" t="s">
        <v>7449</v>
      </c>
      <c r="L613" s="7" t="s">
        <v>1491</v>
      </c>
      <c r="M613" s="7"/>
      <c r="N613" s="7" t="s">
        <v>7450</v>
      </c>
      <c r="O613" s="7" t="s">
        <v>3517</v>
      </c>
    </row>
    <row r="614" customFormat="false" ht="15" hidden="false" customHeight="false" outlineLevel="0" collapsed="false">
      <c r="A614" s="7" t="s">
        <v>7451</v>
      </c>
      <c r="B614" s="7" t="s">
        <v>33</v>
      </c>
      <c r="C614" s="7" t="s">
        <v>1634</v>
      </c>
      <c r="D614" s="7" t="s">
        <v>7452</v>
      </c>
      <c r="E614" s="7" t="s">
        <v>113</v>
      </c>
      <c r="F614" s="7" t="s">
        <v>7453</v>
      </c>
      <c r="G614" s="7" t="s">
        <v>149</v>
      </c>
      <c r="H614" s="10" t="n">
        <v>1800</v>
      </c>
      <c r="I614" s="7" t="s">
        <v>69</v>
      </c>
      <c r="J614" s="7" t="s">
        <v>865</v>
      </c>
      <c r="K614" s="7" t="s">
        <v>7454</v>
      </c>
      <c r="L614" s="7" t="s">
        <v>1491</v>
      </c>
      <c r="M614" s="7"/>
      <c r="N614" s="7" t="s">
        <v>7455</v>
      </c>
      <c r="O614" s="7" t="s">
        <v>1641</v>
      </c>
    </row>
    <row r="615" customFormat="false" ht="15" hidden="false" customHeight="false" outlineLevel="0" collapsed="false">
      <c r="A615" s="7" t="s">
        <v>7456</v>
      </c>
      <c r="B615" s="7" t="s">
        <v>33</v>
      </c>
      <c r="C615" s="7" t="s">
        <v>3512</v>
      </c>
      <c r="D615" s="7" t="s">
        <v>7457</v>
      </c>
      <c r="E615" s="7" t="s">
        <v>1081</v>
      </c>
      <c r="F615" s="7" t="s">
        <v>7458</v>
      </c>
      <c r="G615" s="7" t="s">
        <v>149</v>
      </c>
      <c r="H615" s="10" t="n">
        <v>1200</v>
      </c>
      <c r="I615" s="7" t="s">
        <v>517</v>
      </c>
      <c r="J615" s="7"/>
      <c r="K615" s="7" t="s">
        <v>7459</v>
      </c>
      <c r="L615" s="7" t="s">
        <v>1491</v>
      </c>
      <c r="M615" s="7"/>
      <c r="N615" s="7" t="s">
        <v>7460</v>
      </c>
      <c r="O615" s="7" t="s">
        <v>3517</v>
      </c>
    </row>
    <row r="616" customFormat="false" ht="15" hidden="false" customHeight="false" outlineLevel="0" collapsed="false">
      <c r="A616" s="7" t="s">
        <v>7461</v>
      </c>
      <c r="B616" s="7" t="s">
        <v>33</v>
      </c>
      <c r="C616" s="7" t="s">
        <v>3475</v>
      </c>
      <c r="D616" s="7" t="s">
        <v>515</v>
      </c>
      <c r="E616" s="7" t="s">
        <v>428</v>
      </c>
      <c r="F616" s="7" t="s">
        <v>7462</v>
      </c>
      <c r="G616" s="7" t="s">
        <v>149</v>
      </c>
      <c r="H616" s="10" t="n">
        <v>900</v>
      </c>
      <c r="I616" s="7" t="s">
        <v>350</v>
      </c>
      <c r="J616" s="7"/>
      <c r="K616" s="7" t="s">
        <v>7463</v>
      </c>
      <c r="L616" s="7" t="s">
        <v>1491</v>
      </c>
      <c r="M616" s="7"/>
      <c r="N616" s="7" t="s">
        <v>7464</v>
      </c>
      <c r="O616" s="7" t="s">
        <v>3492</v>
      </c>
    </row>
    <row r="617" customFormat="false" ht="15" hidden="false" customHeight="false" outlineLevel="0" collapsed="false">
      <c r="A617" s="7" t="s">
        <v>7465</v>
      </c>
      <c r="B617" s="7" t="s">
        <v>33</v>
      </c>
      <c r="C617" s="7" t="s">
        <v>1689</v>
      </c>
      <c r="D617" s="7" t="s">
        <v>154</v>
      </c>
      <c r="E617" s="7" t="s">
        <v>155</v>
      </c>
      <c r="F617" s="7" t="s">
        <v>7466</v>
      </c>
      <c r="G617" s="7" t="s">
        <v>149</v>
      </c>
      <c r="H617" s="10" t="n">
        <v>700</v>
      </c>
      <c r="I617" s="7" t="s">
        <v>350</v>
      </c>
      <c r="J617" s="7"/>
      <c r="K617" s="7" t="s">
        <v>7467</v>
      </c>
      <c r="L617" s="7" t="s">
        <v>1491</v>
      </c>
      <c r="M617" s="7"/>
      <c r="N617" s="7" t="s">
        <v>3485</v>
      </c>
      <c r="O617" s="7" t="s">
        <v>3486</v>
      </c>
    </row>
    <row r="618" customFormat="false" ht="15" hidden="false" customHeight="false" outlineLevel="0" collapsed="false">
      <c r="A618" s="7" t="s">
        <v>7468</v>
      </c>
      <c r="B618" s="7" t="s">
        <v>33</v>
      </c>
      <c r="C618" s="7" t="s">
        <v>3475</v>
      </c>
      <c r="D618" s="7" t="s">
        <v>1579</v>
      </c>
      <c r="E618" s="7" t="s">
        <v>854</v>
      </c>
      <c r="F618" s="7" t="s">
        <v>7469</v>
      </c>
      <c r="G618" s="7" t="s">
        <v>149</v>
      </c>
      <c r="H618" s="10" t="n">
        <v>1100</v>
      </c>
      <c r="I618" s="7" t="s">
        <v>3239</v>
      </c>
      <c r="J618" s="7"/>
      <c r="K618" s="7" t="s">
        <v>7470</v>
      </c>
      <c r="L618" s="7" t="s">
        <v>1693</v>
      </c>
      <c r="M618" s="7"/>
      <c r="N618" s="7" t="s">
        <v>7471</v>
      </c>
      <c r="O618" s="7" t="s">
        <v>3492</v>
      </c>
    </row>
    <row r="619" customFormat="false" ht="15" hidden="false" customHeight="false" outlineLevel="0" collapsed="false">
      <c r="A619" s="7" t="s">
        <v>7472</v>
      </c>
      <c r="B619" s="7" t="s">
        <v>33</v>
      </c>
      <c r="C619" s="7" t="s">
        <v>3512</v>
      </c>
      <c r="D619" s="7" t="s">
        <v>3494</v>
      </c>
      <c r="E619" s="7" t="s">
        <v>78</v>
      </c>
      <c r="F619" s="7" t="s">
        <v>7473</v>
      </c>
      <c r="G619" s="7" t="s">
        <v>149</v>
      </c>
      <c r="H619" s="10" t="n">
        <v>1400</v>
      </c>
      <c r="I619" s="7" t="s">
        <v>69</v>
      </c>
      <c r="J619" s="7" t="s">
        <v>1722</v>
      </c>
      <c r="K619" s="7" t="s">
        <v>7474</v>
      </c>
      <c r="L619" s="7" t="s">
        <v>1491</v>
      </c>
      <c r="M619" s="7"/>
      <c r="N619" s="7" t="s">
        <v>7475</v>
      </c>
      <c r="O619" s="7" t="s">
        <v>3517</v>
      </c>
    </row>
    <row r="620" customFormat="false" ht="15" hidden="false" customHeight="false" outlineLevel="0" collapsed="false">
      <c r="A620" s="7" t="s">
        <v>7476</v>
      </c>
      <c r="B620" s="7" t="s">
        <v>33</v>
      </c>
      <c r="C620" s="7" t="s">
        <v>1689</v>
      </c>
      <c r="D620" s="7" t="s">
        <v>154</v>
      </c>
      <c r="E620" s="7" t="s">
        <v>155</v>
      </c>
      <c r="F620" s="7" t="s">
        <v>7477</v>
      </c>
      <c r="G620" s="7" t="s">
        <v>149</v>
      </c>
      <c r="H620" s="10" t="n">
        <v>600</v>
      </c>
      <c r="I620" s="7" t="s">
        <v>350</v>
      </c>
      <c r="J620" s="7"/>
      <c r="K620" s="7" t="s">
        <v>7478</v>
      </c>
      <c r="L620" s="7" t="s">
        <v>1693</v>
      </c>
      <c r="M620" s="7"/>
      <c r="N620" s="7" t="s">
        <v>3522</v>
      </c>
      <c r="O620" s="7" t="s">
        <v>7479</v>
      </c>
    </row>
    <row r="621" customFormat="false" ht="15" hidden="false" customHeight="false" outlineLevel="0" collapsed="false">
      <c r="A621" s="7" t="s">
        <v>7480</v>
      </c>
      <c r="B621" s="7" t="s">
        <v>33</v>
      </c>
      <c r="C621" s="7" t="s">
        <v>3475</v>
      </c>
      <c r="D621" s="7" t="s">
        <v>970</v>
      </c>
      <c r="E621" s="7" t="s">
        <v>250</v>
      </c>
      <c r="F621" s="7" t="s">
        <v>7481</v>
      </c>
      <c r="G621" s="7" t="s">
        <v>149</v>
      </c>
      <c r="H621" s="10" t="n">
        <v>2000</v>
      </c>
      <c r="I621" s="7" t="s">
        <v>350</v>
      </c>
      <c r="J621" s="7"/>
      <c r="K621" s="7" t="s">
        <v>7482</v>
      </c>
      <c r="L621" s="7" t="s">
        <v>1693</v>
      </c>
      <c r="M621" s="7"/>
      <c r="N621" s="7" t="s">
        <v>1725</v>
      </c>
      <c r="O621" s="7" t="s">
        <v>3492</v>
      </c>
    </row>
    <row r="622" customFormat="false" ht="15" hidden="false" customHeight="false" outlineLevel="0" collapsed="false">
      <c r="A622" s="7" t="s">
        <v>7483</v>
      </c>
      <c r="B622" s="7" t="s">
        <v>33</v>
      </c>
      <c r="C622" s="7" t="s">
        <v>1643</v>
      </c>
      <c r="D622" s="7" t="s">
        <v>146</v>
      </c>
      <c r="E622" s="7" t="s">
        <v>147</v>
      </c>
      <c r="F622" s="7" t="s">
        <v>7484</v>
      </c>
      <c r="G622" s="7" t="s">
        <v>149</v>
      </c>
      <c r="H622" s="10" t="n">
        <v>2000</v>
      </c>
      <c r="I622" s="7" t="s">
        <v>69</v>
      </c>
      <c r="J622" s="7" t="s">
        <v>5036</v>
      </c>
      <c r="K622" s="7" t="s">
        <v>7485</v>
      </c>
      <c r="L622" s="7" t="s">
        <v>1491</v>
      </c>
      <c r="M622" s="7"/>
      <c r="N622" s="7" t="s">
        <v>7486</v>
      </c>
      <c r="O622" s="7" t="s">
        <v>1641</v>
      </c>
    </row>
    <row r="623" customFormat="false" ht="15" hidden="false" customHeight="false" outlineLevel="0" collapsed="false">
      <c r="A623" s="7" t="s">
        <v>7487</v>
      </c>
      <c r="B623" s="7" t="s">
        <v>34</v>
      </c>
      <c r="C623" s="7" t="s">
        <v>7488</v>
      </c>
      <c r="D623" s="7" t="s">
        <v>7489</v>
      </c>
      <c r="E623" s="7" t="s">
        <v>2538</v>
      </c>
      <c r="F623" s="7" t="s">
        <v>7490</v>
      </c>
      <c r="G623" s="7" t="s">
        <v>68</v>
      </c>
      <c r="H623" s="10" t="n">
        <v>400</v>
      </c>
      <c r="I623" s="7" t="s">
        <v>350</v>
      </c>
      <c r="J623" s="7"/>
      <c r="K623" s="7" t="s">
        <v>7491</v>
      </c>
      <c r="L623" s="7" t="s">
        <v>3756</v>
      </c>
      <c r="M623" s="7"/>
      <c r="N623" s="7" t="s">
        <v>7492</v>
      </c>
      <c r="O623" s="7" t="s">
        <v>7493</v>
      </c>
    </row>
    <row r="624" customFormat="false" ht="15" hidden="false" customHeight="false" outlineLevel="0" collapsed="false">
      <c r="A624" s="7" t="s">
        <v>7494</v>
      </c>
      <c r="B624" s="7" t="s">
        <v>34</v>
      </c>
      <c r="C624" s="7" t="s">
        <v>7495</v>
      </c>
      <c r="D624" s="7" t="s">
        <v>112</v>
      </c>
      <c r="E624" s="7" t="s">
        <v>113</v>
      </c>
      <c r="F624" s="7" t="s">
        <v>7496</v>
      </c>
      <c r="G624" s="7" t="s">
        <v>68</v>
      </c>
      <c r="H624" s="10" t="n">
        <v>900</v>
      </c>
      <c r="I624" s="7" t="s">
        <v>3239</v>
      </c>
      <c r="J624" s="7"/>
      <c r="K624" s="7" t="s">
        <v>7497</v>
      </c>
      <c r="L624" s="7" t="s">
        <v>7498</v>
      </c>
      <c r="M624" s="7"/>
      <c r="N624" s="7" t="s">
        <v>7499</v>
      </c>
      <c r="O624" s="7" t="s">
        <v>7500</v>
      </c>
    </row>
    <row r="625" customFormat="false" ht="15" hidden="false" customHeight="false" outlineLevel="0" collapsed="false">
      <c r="A625" s="7" t="s">
        <v>7501</v>
      </c>
      <c r="B625" s="7" t="s">
        <v>34</v>
      </c>
      <c r="C625" s="7" t="s">
        <v>7502</v>
      </c>
      <c r="D625" s="7" t="s">
        <v>7503</v>
      </c>
      <c r="E625" s="7" t="s">
        <v>4764</v>
      </c>
      <c r="F625" s="7" t="s">
        <v>7504</v>
      </c>
      <c r="G625" s="7" t="s">
        <v>68</v>
      </c>
      <c r="H625" s="10" t="n">
        <v>4000</v>
      </c>
      <c r="I625" s="7" t="s">
        <v>69</v>
      </c>
      <c r="J625" s="7" t="s">
        <v>1032</v>
      </c>
      <c r="K625" s="7" t="s">
        <v>7505</v>
      </c>
      <c r="L625" s="7" t="s">
        <v>7506</v>
      </c>
      <c r="M625" s="7"/>
      <c r="N625" s="7" t="s">
        <v>7507</v>
      </c>
      <c r="O625" s="7" t="s">
        <v>7508</v>
      </c>
    </row>
    <row r="626" customFormat="false" ht="15" hidden="false" customHeight="false" outlineLevel="0" collapsed="false">
      <c r="A626" s="7" t="s">
        <v>7509</v>
      </c>
      <c r="B626" s="7" t="s">
        <v>34</v>
      </c>
      <c r="C626" s="7" t="s">
        <v>7510</v>
      </c>
      <c r="D626" s="7" t="s">
        <v>112</v>
      </c>
      <c r="E626" s="7" t="s">
        <v>113</v>
      </c>
      <c r="F626" s="7" t="s">
        <v>7511</v>
      </c>
      <c r="G626" s="7" t="s">
        <v>68</v>
      </c>
      <c r="H626" s="10" t="n">
        <v>900</v>
      </c>
      <c r="I626" s="7" t="s">
        <v>350</v>
      </c>
      <c r="J626" s="7"/>
      <c r="K626" s="7" t="s">
        <v>7512</v>
      </c>
      <c r="L626" s="7" t="s">
        <v>1784</v>
      </c>
      <c r="M626" s="7"/>
      <c r="N626" s="7" t="s">
        <v>7513</v>
      </c>
      <c r="O626" s="7" t="s">
        <v>1752</v>
      </c>
    </row>
    <row r="627" customFormat="false" ht="15" hidden="false" customHeight="false" outlineLevel="0" collapsed="false">
      <c r="A627" s="7" t="s">
        <v>7514</v>
      </c>
      <c r="B627" s="7" t="s">
        <v>34</v>
      </c>
      <c r="C627" s="7" t="s">
        <v>7515</v>
      </c>
      <c r="D627" s="7" t="s">
        <v>65</v>
      </c>
      <c r="E627" s="7" t="s">
        <v>66</v>
      </c>
      <c r="F627" s="7" t="s">
        <v>7516</v>
      </c>
      <c r="G627" s="7" t="s">
        <v>68</v>
      </c>
      <c r="H627" s="10" t="n">
        <v>3300</v>
      </c>
      <c r="I627" s="7" t="s">
        <v>377</v>
      </c>
      <c r="J627" s="7"/>
      <c r="K627" s="7" t="s">
        <v>7517</v>
      </c>
      <c r="L627" s="7" t="s">
        <v>7518</v>
      </c>
      <c r="M627" s="7"/>
      <c r="N627" s="7" t="s">
        <v>7519</v>
      </c>
      <c r="O627" s="7" t="s">
        <v>7520</v>
      </c>
    </row>
    <row r="628" customFormat="false" ht="15" hidden="false" customHeight="false" outlineLevel="0" collapsed="false">
      <c r="A628" s="7" t="s">
        <v>7521</v>
      </c>
      <c r="B628" s="7" t="s">
        <v>34</v>
      </c>
      <c r="C628" s="7" t="s">
        <v>7522</v>
      </c>
      <c r="D628" s="7" t="s">
        <v>7523</v>
      </c>
      <c r="E628" s="7" t="s">
        <v>78</v>
      </c>
      <c r="F628" s="7" t="s">
        <v>7524</v>
      </c>
      <c r="G628" s="7" t="s">
        <v>68</v>
      </c>
      <c r="H628" s="10" t="n">
        <v>10000</v>
      </c>
      <c r="I628" s="7" t="s">
        <v>69</v>
      </c>
      <c r="J628" s="7" t="s">
        <v>7525</v>
      </c>
      <c r="K628" s="7" t="s">
        <v>7526</v>
      </c>
      <c r="L628" s="7" t="s">
        <v>7527</v>
      </c>
      <c r="M628" s="7"/>
      <c r="N628" s="7" t="s">
        <v>7528</v>
      </c>
      <c r="O628" s="7" t="s">
        <v>7529</v>
      </c>
    </row>
    <row r="629" customFormat="false" ht="15" hidden="false" customHeight="false" outlineLevel="0" collapsed="false">
      <c r="A629" s="7" t="s">
        <v>7530</v>
      </c>
      <c r="B629" s="7" t="s">
        <v>34</v>
      </c>
      <c r="C629" s="7" t="s">
        <v>7531</v>
      </c>
      <c r="D629" s="7" t="s">
        <v>7532</v>
      </c>
      <c r="E629" s="7" t="s">
        <v>78</v>
      </c>
      <c r="F629" s="7" t="s">
        <v>7533</v>
      </c>
      <c r="G629" s="7" t="s">
        <v>68</v>
      </c>
      <c r="H629" s="10" t="n">
        <v>3000</v>
      </c>
      <c r="I629" s="7" t="s">
        <v>69</v>
      </c>
      <c r="J629" s="7" t="s">
        <v>1160</v>
      </c>
      <c r="K629" s="7" t="s">
        <v>7534</v>
      </c>
      <c r="L629" s="7" t="s">
        <v>3608</v>
      </c>
      <c r="M629" s="7"/>
      <c r="N629" s="7" t="s">
        <v>7535</v>
      </c>
      <c r="O629" s="7" t="s">
        <v>1742</v>
      </c>
    </row>
    <row r="630" customFormat="false" ht="15" hidden="false" customHeight="false" outlineLevel="0" collapsed="false">
      <c r="A630" s="7" t="s">
        <v>7536</v>
      </c>
      <c r="B630" s="7" t="s">
        <v>34</v>
      </c>
      <c r="C630" s="7" t="s">
        <v>7537</v>
      </c>
      <c r="D630" s="7" t="s">
        <v>7538</v>
      </c>
      <c r="E630" s="7" t="s">
        <v>222</v>
      </c>
      <c r="F630" s="7" t="s">
        <v>7539</v>
      </c>
      <c r="G630" s="7" t="s">
        <v>68</v>
      </c>
      <c r="H630" s="10" t="n">
        <v>1500</v>
      </c>
      <c r="I630" s="7" t="s">
        <v>350</v>
      </c>
      <c r="J630" s="7"/>
      <c r="K630" s="7" t="s">
        <v>7540</v>
      </c>
      <c r="L630" s="7" t="s">
        <v>7541</v>
      </c>
      <c r="M630" s="7"/>
      <c r="N630" s="7" t="s">
        <v>7542</v>
      </c>
      <c r="O630" s="7" t="s">
        <v>7543</v>
      </c>
    </row>
    <row r="631" customFormat="false" ht="15" hidden="false" customHeight="false" outlineLevel="0" collapsed="false">
      <c r="A631" s="7" t="s">
        <v>7544</v>
      </c>
      <c r="B631" s="7" t="s">
        <v>34</v>
      </c>
      <c r="C631" s="7" t="s">
        <v>7545</v>
      </c>
      <c r="D631" s="7" t="s">
        <v>7546</v>
      </c>
      <c r="E631" s="7" t="s">
        <v>4417</v>
      </c>
      <c r="F631" s="7" t="s">
        <v>7547</v>
      </c>
      <c r="G631" s="7" t="s">
        <v>68</v>
      </c>
      <c r="H631" s="10" t="n">
        <v>5500</v>
      </c>
      <c r="I631" s="7" t="s">
        <v>3239</v>
      </c>
      <c r="J631" s="7"/>
      <c r="K631" s="7" t="s">
        <v>7548</v>
      </c>
      <c r="L631" s="7" t="s">
        <v>7549</v>
      </c>
      <c r="M631" s="7"/>
      <c r="N631" s="7" t="s">
        <v>7550</v>
      </c>
      <c r="O631" s="7" t="s">
        <v>7551</v>
      </c>
    </row>
    <row r="632" customFormat="false" ht="15" hidden="false" customHeight="false" outlineLevel="0" collapsed="false">
      <c r="A632" s="7" t="s">
        <v>7552</v>
      </c>
      <c r="B632" s="7" t="s">
        <v>34</v>
      </c>
      <c r="C632" s="7" t="s">
        <v>7553</v>
      </c>
      <c r="D632" s="7" t="s">
        <v>609</v>
      </c>
      <c r="E632" s="7" t="s">
        <v>610</v>
      </c>
      <c r="F632" s="7" t="s">
        <v>7554</v>
      </c>
      <c r="G632" s="7" t="s">
        <v>68</v>
      </c>
      <c r="H632" s="10" t="n">
        <v>400</v>
      </c>
      <c r="I632" s="7" t="s">
        <v>69</v>
      </c>
      <c r="J632" s="7" t="s">
        <v>7555</v>
      </c>
      <c r="K632" s="7" t="s">
        <v>7556</v>
      </c>
      <c r="L632" s="7" t="s">
        <v>7557</v>
      </c>
      <c r="M632" s="7"/>
      <c r="N632" s="7" t="s">
        <v>7558</v>
      </c>
      <c r="O632" s="7" t="s">
        <v>1742</v>
      </c>
    </row>
    <row r="633" customFormat="false" ht="15" hidden="false" customHeight="false" outlineLevel="0" collapsed="false">
      <c r="A633" s="7" t="s">
        <v>7559</v>
      </c>
      <c r="B633" s="7" t="s">
        <v>34</v>
      </c>
      <c r="C633" s="7" t="s">
        <v>7560</v>
      </c>
      <c r="D633" s="7" t="s">
        <v>515</v>
      </c>
      <c r="E633" s="7" t="s">
        <v>428</v>
      </c>
      <c r="F633" s="7" t="s">
        <v>7561</v>
      </c>
      <c r="G633" s="7" t="s">
        <v>68</v>
      </c>
      <c r="H633" s="10" t="n">
        <v>600</v>
      </c>
      <c r="I633" s="7" t="s">
        <v>350</v>
      </c>
      <c r="J633" s="7"/>
      <c r="K633" s="7" t="s">
        <v>7562</v>
      </c>
      <c r="L633" s="7" t="s">
        <v>7563</v>
      </c>
      <c r="M633" s="7"/>
      <c r="N633" s="7" t="s">
        <v>7564</v>
      </c>
      <c r="O633" s="7" t="s">
        <v>7565</v>
      </c>
    </row>
    <row r="634" customFormat="false" ht="15" hidden="false" customHeight="false" outlineLevel="0" collapsed="false">
      <c r="A634" s="7" t="s">
        <v>7566</v>
      </c>
      <c r="B634" s="7" t="s">
        <v>34</v>
      </c>
      <c r="C634" s="7" t="s">
        <v>7567</v>
      </c>
      <c r="D634" s="7" t="s">
        <v>1579</v>
      </c>
      <c r="E634" s="7" t="s">
        <v>854</v>
      </c>
      <c r="F634" s="7" t="s">
        <v>7568</v>
      </c>
      <c r="G634" s="7" t="s">
        <v>68</v>
      </c>
      <c r="H634" s="10" t="n">
        <v>1300</v>
      </c>
      <c r="I634" s="7" t="s">
        <v>517</v>
      </c>
      <c r="J634" s="7"/>
      <c r="K634" s="7" t="s">
        <v>7569</v>
      </c>
      <c r="L634" s="7" t="s">
        <v>7570</v>
      </c>
      <c r="M634" s="7"/>
      <c r="N634" s="7" t="s">
        <v>7571</v>
      </c>
      <c r="O634" s="7" t="s">
        <v>7572</v>
      </c>
    </row>
    <row r="635" customFormat="false" ht="15" hidden="false" customHeight="false" outlineLevel="0" collapsed="false">
      <c r="A635" s="7" t="s">
        <v>7573</v>
      </c>
      <c r="B635" s="7" t="s">
        <v>34</v>
      </c>
      <c r="C635" s="7" t="s">
        <v>7574</v>
      </c>
      <c r="D635" s="7" t="s">
        <v>723</v>
      </c>
      <c r="E635" s="7" t="s">
        <v>105</v>
      </c>
      <c r="F635" s="7" t="s">
        <v>7575</v>
      </c>
      <c r="G635" s="7" t="s">
        <v>68</v>
      </c>
      <c r="H635" s="10" t="n">
        <v>8000</v>
      </c>
      <c r="I635" s="7" t="s">
        <v>377</v>
      </c>
      <c r="J635" s="7"/>
      <c r="K635" s="7" t="s">
        <v>7576</v>
      </c>
      <c r="L635" s="7" t="s">
        <v>7549</v>
      </c>
      <c r="M635" s="7"/>
      <c r="N635" s="7" t="s">
        <v>7577</v>
      </c>
      <c r="O635" s="7" t="s">
        <v>7578</v>
      </c>
    </row>
    <row r="636" customFormat="false" ht="15" hidden="false" customHeight="false" outlineLevel="0" collapsed="false">
      <c r="A636" s="7" t="s">
        <v>7579</v>
      </c>
      <c r="B636" s="7" t="s">
        <v>34</v>
      </c>
      <c r="C636" s="7" t="s">
        <v>7580</v>
      </c>
      <c r="D636" s="7" t="s">
        <v>7581</v>
      </c>
      <c r="E636" s="7" t="s">
        <v>250</v>
      </c>
      <c r="F636" s="7" t="s">
        <v>7582</v>
      </c>
      <c r="G636" s="7" t="s">
        <v>68</v>
      </c>
      <c r="H636" s="10" t="n">
        <v>4500</v>
      </c>
      <c r="I636" s="7" t="s">
        <v>350</v>
      </c>
      <c r="J636" s="7"/>
      <c r="K636" s="7" t="s">
        <v>7583</v>
      </c>
      <c r="L636" s="7" t="s">
        <v>7584</v>
      </c>
      <c r="M636" s="7"/>
      <c r="N636" s="7" t="s">
        <v>7585</v>
      </c>
      <c r="O636" s="7" t="s">
        <v>7586</v>
      </c>
    </row>
    <row r="637" customFormat="false" ht="15" hidden="false" customHeight="false" outlineLevel="0" collapsed="false">
      <c r="A637" s="7" t="s">
        <v>7587</v>
      </c>
      <c r="B637" s="7" t="s">
        <v>34</v>
      </c>
      <c r="C637" s="7" t="s">
        <v>7588</v>
      </c>
      <c r="D637" s="7" t="s">
        <v>112</v>
      </c>
      <c r="E637" s="7" t="s">
        <v>113</v>
      </c>
      <c r="F637" s="7" t="s">
        <v>7589</v>
      </c>
      <c r="G637" s="7" t="s">
        <v>68</v>
      </c>
      <c r="H637" s="10" t="n">
        <v>400</v>
      </c>
      <c r="I637" s="7" t="s">
        <v>377</v>
      </c>
      <c r="J637" s="7"/>
      <c r="K637" s="7" t="s">
        <v>7590</v>
      </c>
      <c r="L637" s="7" t="s">
        <v>7591</v>
      </c>
      <c r="M637" s="7"/>
      <c r="N637" s="7" t="s">
        <v>7592</v>
      </c>
      <c r="O637" s="7" t="s">
        <v>7593</v>
      </c>
    </row>
    <row r="638" customFormat="false" ht="15" hidden="false" customHeight="false" outlineLevel="0" collapsed="false">
      <c r="A638" s="7" t="s">
        <v>7594</v>
      </c>
      <c r="B638" s="7" t="s">
        <v>34</v>
      </c>
      <c r="C638" s="7" t="s">
        <v>7595</v>
      </c>
      <c r="D638" s="7" t="s">
        <v>420</v>
      </c>
      <c r="E638" s="7" t="s">
        <v>78</v>
      </c>
      <c r="F638" s="7" t="s">
        <v>7596</v>
      </c>
      <c r="G638" s="7" t="s">
        <v>68</v>
      </c>
      <c r="H638" s="10" t="n">
        <v>6500</v>
      </c>
      <c r="I638" s="7" t="s">
        <v>377</v>
      </c>
      <c r="J638" s="7"/>
      <c r="K638" s="7" t="s">
        <v>7597</v>
      </c>
      <c r="L638" s="7" t="s">
        <v>7598</v>
      </c>
      <c r="M638" s="7"/>
      <c r="N638" s="7" t="s">
        <v>7599</v>
      </c>
      <c r="O638" s="7" t="s">
        <v>7600</v>
      </c>
    </row>
    <row r="639" customFormat="false" ht="15" hidden="false" customHeight="false" outlineLevel="0" collapsed="false">
      <c r="A639" s="7" t="s">
        <v>7601</v>
      </c>
      <c r="B639" s="7" t="s">
        <v>34</v>
      </c>
      <c r="C639" s="7" t="s">
        <v>7560</v>
      </c>
      <c r="D639" s="7" t="s">
        <v>1195</v>
      </c>
      <c r="E639" s="7" t="s">
        <v>206</v>
      </c>
      <c r="F639" s="7" t="s">
        <v>7602</v>
      </c>
      <c r="G639" s="7" t="s">
        <v>68</v>
      </c>
      <c r="H639" s="10" t="n">
        <v>700</v>
      </c>
      <c r="I639" s="7" t="s">
        <v>350</v>
      </c>
      <c r="J639" s="7"/>
      <c r="K639" s="7" t="s">
        <v>7603</v>
      </c>
      <c r="L639" s="7" t="s">
        <v>7604</v>
      </c>
      <c r="M639" s="7"/>
      <c r="N639" s="7" t="s">
        <v>7605</v>
      </c>
      <c r="O639" s="7" t="s">
        <v>7606</v>
      </c>
    </row>
    <row r="640" customFormat="false" ht="15" hidden="false" customHeight="false" outlineLevel="0" collapsed="false">
      <c r="A640" s="7" t="s">
        <v>7607</v>
      </c>
      <c r="B640" s="7" t="s">
        <v>34</v>
      </c>
      <c r="C640" s="7" t="s">
        <v>7608</v>
      </c>
      <c r="D640" s="7" t="s">
        <v>7609</v>
      </c>
      <c r="E640" s="7" t="s">
        <v>1081</v>
      </c>
      <c r="F640" s="7" t="s">
        <v>7610</v>
      </c>
      <c r="G640" s="7" t="s">
        <v>68</v>
      </c>
      <c r="H640" s="10" t="n">
        <v>5000</v>
      </c>
      <c r="I640" s="7" t="s">
        <v>3239</v>
      </c>
      <c r="J640" s="7"/>
      <c r="K640" s="7" t="s">
        <v>7611</v>
      </c>
      <c r="L640" s="7" t="s">
        <v>7612</v>
      </c>
      <c r="M640" s="7"/>
      <c r="N640" s="7" t="s">
        <v>7613</v>
      </c>
      <c r="O640" s="7" t="s">
        <v>7614</v>
      </c>
    </row>
    <row r="641" customFormat="false" ht="15" hidden="false" customHeight="false" outlineLevel="0" collapsed="false">
      <c r="A641" s="7" t="s">
        <v>7615</v>
      </c>
      <c r="B641" s="7" t="s">
        <v>34</v>
      </c>
      <c r="C641" s="7" t="s">
        <v>7616</v>
      </c>
      <c r="D641" s="7" t="s">
        <v>7617</v>
      </c>
      <c r="E641" s="7" t="s">
        <v>78</v>
      </c>
      <c r="F641" s="7" t="s">
        <v>7618</v>
      </c>
      <c r="G641" s="7" t="s">
        <v>68</v>
      </c>
      <c r="H641" s="10" t="n">
        <v>6000</v>
      </c>
      <c r="I641" s="7" t="s">
        <v>69</v>
      </c>
      <c r="J641" s="7" t="s">
        <v>7619</v>
      </c>
      <c r="K641" s="7"/>
      <c r="L641" s="7" t="s">
        <v>7527</v>
      </c>
      <c r="M641" s="7"/>
      <c r="N641" s="7" t="s">
        <v>7620</v>
      </c>
      <c r="O641" s="7" t="s">
        <v>7621</v>
      </c>
    </row>
    <row r="642" customFormat="false" ht="15" hidden="false" customHeight="false" outlineLevel="0" collapsed="false">
      <c r="A642" s="7" t="s">
        <v>7622</v>
      </c>
      <c r="B642" s="7" t="s">
        <v>34</v>
      </c>
      <c r="C642" s="7" t="s">
        <v>7595</v>
      </c>
      <c r="D642" s="7" t="s">
        <v>7623</v>
      </c>
      <c r="E642" s="7" t="s">
        <v>428</v>
      </c>
      <c r="F642" s="7" t="s">
        <v>7624</v>
      </c>
      <c r="G642" s="7" t="s">
        <v>68</v>
      </c>
      <c r="H642" s="10" t="n">
        <v>7000</v>
      </c>
      <c r="I642" s="7" t="s">
        <v>377</v>
      </c>
      <c r="J642" s="7"/>
      <c r="K642" s="7" t="s">
        <v>7625</v>
      </c>
      <c r="L642" s="7" t="s">
        <v>7527</v>
      </c>
      <c r="M642" s="7"/>
      <c r="N642" s="7" t="s">
        <v>7626</v>
      </c>
      <c r="O642" s="7" t="s">
        <v>7627</v>
      </c>
    </row>
    <row r="643" customFormat="false" ht="15" hidden="false" customHeight="false" outlineLevel="0" collapsed="false">
      <c r="A643" s="7" t="s">
        <v>7628</v>
      </c>
      <c r="B643" s="7" t="s">
        <v>34</v>
      </c>
      <c r="C643" s="7" t="s">
        <v>7629</v>
      </c>
      <c r="D643" s="7" t="s">
        <v>7630</v>
      </c>
      <c r="E643" s="7" t="s">
        <v>779</v>
      </c>
      <c r="F643" s="7" t="s">
        <v>7631</v>
      </c>
      <c r="G643" s="7" t="s">
        <v>149</v>
      </c>
      <c r="H643" s="10" t="n">
        <v>4000</v>
      </c>
      <c r="I643" s="7" t="s">
        <v>350</v>
      </c>
      <c r="J643" s="7"/>
      <c r="K643" s="7" t="s">
        <v>7632</v>
      </c>
      <c r="L643" s="7" t="s">
        <v>7612</v>
      </c>
      <c r="M643" s="7"/>
      <c r="N643" s="7" t="s">
        <v>7633</v>
      </c>
      <c r="O643" s="7" t="s">
        <v>7634</v>
      </c>
    </row>
    <row r="644" customFormat="false" ht="15" hidden="false" customHeight="false" outlineLevel="0" collapsed="false">
      <c r="A644" s="7" t="s">
        <v>7635</v>
      </c>
      <c r="B644" s="7" t="s">
        <v>34</v>
      </c>
      <c r="C644" s="7" t="s">
        <v>7636</v>
      </c>
      <c r="D644" s="7" t="s">
        <v>427</v>
      </c>
      <c r="E644" s="7" t="s">
        <v>600</v>
      </c>
      <c r="F644" s="7" t="s">
        <v>7637</v>
      </c>
      <c r="G644" s="7" t="s">
        <v>149</v>
      </c>
      <c r="H644" s="10" t="n">
        <v>700</v>
      </c>
      <c r="I644" s="7" t="s">
        <v>350</v>
      </c>
      <c r="J644" s="7"/>
      <c r="K644" s="7" t="s">
        <v>7638</v>
      </c>
      <c r="L644" s="7" t="s">
        <v>7639</v>
      </c>
      <c r="M644" s="7"/>
      <c r="N644" s="7" t="s">
        <v>7640</v>
      </c>
      <c r="O644" s="7" t="s">
        <v>7641</v>
      </c>
    </row>
    <row r="645" customFormat="false" ht="15" hidden="false" customHeight="false" outlineLevel="0" collapsed="false">
      <c r="A645" s="7" t="s">
        <v>7642</v>
      </c>
      <c r="B645" s="7" t="s">
        <v>34</v>
      </c>
      <c r="C645" s="7" t="s">
        <v>7643</v>
      </c>
      <c r="D645" s="7" t="s">
        <v>112</v>
      </c>
      <c r="E645" s="7" t="s">
        <v>113</v>
      </c>
      <c r="F645" s="7" t="s">
        <v>7644</v>
      </c>
      <c r="G645" s="7" t="s">
        <v>149</v>
      </c>
      <c r="H645" s="10" t="n">
        <v>700</v>
      </c>
      <c r="I645" s="7" t="s">
        <v>377</v>
      </c>
      <c r="J645" s="7"/>
      <c r="K645" s="7" t="s">
        <v>7645</v>
      </c>
      <c r="L645" s="7" t="s">
        <v>7639</v>
      </c>
      <c r="M645" s="7"/>
      <c r="N645" s="7" t="s">
        <v>7646</v>
      </c>
      <c r="O645" s="7" t="s">
        <v>7647</v>
      </c>
    </row>
    <row r="646" customFormat="false" ht="15" hidden="false" customHeight="false" outlineLevel="0" collapsed="false">
      <c r="A646" s="7" t="s">
        <v>7648</v>
      </c>
      <c r="B646" s="7" t="s">
        <v>34</v>
      </c>
      <c r="C646" s="7" t="s">
        <v>7649</v>
      </c>
      <c r="D646" s="7" t="s">
        <v>7650</v>
      </c>
      <c r="E646" s="7" t="s">
        <v>155</v>
      </c>
      <c r="F646" s="7" t="s">
        <v>7651</v>
      </c>
      <c r="G646" s="7" t="s">
        <v>149</v>
      </c>
      <c r="H646" s="10" t="n">
        <v>2000</v>
      </c>
      <c r="I646" s="7" t="s">
        <v>3239</v>
      </c>
      <c r="J646" s="7"/>
      <c r="K646" s="7" t="s">
        <v>7652</v>
      </c>
      <c r="L646" s="7" t="s">
        <v>7527</v>
      </c>
      <c r="M646" s="7"/>
      <c r="N646" s="7" t="s">
        <v>7653</v>
      </c>
      <c r="O646" s="7" t="s">
        <v>7654</v>
      </c>
    </row>
    <row r="647" customFormat="false" ht="15" hidden="false" customHeight="false" outlineLevel="0" collapsed="false">
      <c r="A647" s="7" t="s">
        <v>7655</v>
      </c>
      <c r="B647" s="7" t="s">
        <v>34</v>
      </c>
      <c r="C647" s="7" t="s">
        <v>7656</v>
      </c>
      <c r="D647" s="7" t="s">
        <v>2440</v>
      </c>
      <c r="E647" s="7" t="s">
        <v>97</v>
      </c>
      <c r="F647" s="7" t="s">
        <v>7657</v>
      </c>
      <c r="G647" s="7" t="s">
        <v>149</v>
      </c>
      <c r="H647" s="10" t="n">
        <v>5000</v>
      </c>
      <c r="I647" s="7" t="s">
        <v>3239</v>
      </c>
      <c r="J647" s="7"/>
      <c r="K647" s="7" t="s">
        <v>7658</v>
      </c>
      <c r="L647" s="7" t="s">
        <v>7527</v>
      </c>
      <c r="M647" s="7"/>
      <c r="N647" s="7" t="s">
        <v>7659</v>
      </c>
      <c r="O647" s="7" t="s">
        <v>7660</v>
      </c>
    </row>
    <row r="648" customFormat="false" ht="15" hidden="false" customHeight="false" outlineLevel="0" collapsed="false">
      <c r="A648" s="7" t="s">
        <v>7661</v>
      </c>
      <c r="B648" s="7" t="s">
        <v>34</v>
      </c>
      <c r="C648" s="7" t="s">
        <v>7662</v>
      </c>
      <c r="D648" s="7" t="s">
        <v>154</v>
      </c>
      <c r="E648" s="7" t="s">
        <v>155</v>
      </c>
      <c r="F648" s="7" t="s">
        <v>7663</v>
      </c>
      <c r="G648" s="7" t="s">
        <v>149</v>
      </c>
      <c r="H648" s="10" t="n">
        <v>150</v>
      </c>
      <c r="I648" s="7" t="s">
        <v>350</v>
      </c>
      <c r="J648" s="7"/>
      <c r="K648" s="7" t="s">
        <v>7664</v>
      </c>
      <c r="L648" s="7" t="s">
        <v>7665</v>
      </c>
      <c r="M648" s="7"/>
      <c r="N648" s="7" t="s">
        <v>7666</v>
      </c>
      <c r="O648" s="7" t="s">
        <v>7667</v>
      </c>
    </row>
    <row r="649" customFormat="false" ht="15" hidden="false" customHeight="false" outlineLevel="0" collapsed="false">
      <c r="A649" s="7" t="s">
        <v>7668</v>
      </c>
      <c r="B649" s="7" t="s">
        <v>34</v>
      </c>
      <c r="C649" s="7" t="s">
        <v>7669</v>
      </c>
      <c r="D649" s="7" t="s">
        <v>146</v>
      </c>
      <c r="E649" s="7" t="s">
        <v>147</v>
      </c>
      <c r="F649" s="7" t="s">
        <v>7670</v>
      </c>
      <c r="G649" s="7" t="s">
        <v>149</v>
      </c>
      <c r="H649" s="10" t="n">
        <v>700</v>
      </c>
      <c r="I649" s="7" t="s">
        <v>350</v>
      </c>
      <c r="J649" s="7"/>
      <c r="K649" s="7" t="s">
        <v>7671</v>
      </c>
      <c r="L649" s="7" t="s">
        <v>7672</v>
      </c>
      <c r="M649" s="7"/>
      <c r="N649" s="7" t="s">
        <v>7673</v>
      </c>
      <c r="O649" s="7" t="s">
        <v>7674</v>
      </c>
    </row>
    <row r="650" customFormat="false" ht="15" hidden="false" customHeight="false" outlineLevel="0" collapsed="false">
      <c r="A650" s="7" t="s">
        <v>7675</v>
      </c>
      <c r="B650" s="7" t="s">
        <v>34</v>
      </c>
      <c r="C650" s="7" t="s">
        <v>7676</v>
      </c>
      <c r="D650" s="7" t="s">
        <v>112</v>
      </c>
      <c r="E650" s="7" t="s">
        <v>113</v>
      </c>
      <c r="F650" s="7" t="s">
        <v>7677</v>
      </c>
      <c r="G650" s="7" t="s">
        <v>149</v>
      </c>
      <c r="H650" s="10" t="n">
        <v>2500</v>
      </c>
      <c r="I650" s="7" t="s">
        <v>69</v>
      </c>
      <c r="J650" s="7" t="s">
        <v>1160</v>
      </c>
      <c r="K650" s="7" t="s">
        <v>7678</v>
      </c>
      <c r="L650" s="7" t="s">
        <v>1777</v>
      </c>
      <c r="M650" s="7"/>
      <c r="N650" s="7" t="s">
        <v>7679</v>
      </c>
      <c r="O650" s="7" t="s">
        <v>1742</v>
      </c>
    </row>
    <row r="651" customFormat="false" ht="15" hidden="false" customHeight="false" outlineLevel="0" collapsed="false">
      <c r="A651" s="7" t="s">
        <v>7680</v>
      </c>
      <c r="B651" s="7" t="s">
        <v>34</v>
      </c>
      <c r="C651" s="7" t="s">
        <v>7681</v>
      </c>
      <c r="D651" s="7" t="s">
        <v>249</v>
      </c>
      <c r="E651" s="7" t="s">
        <v>250</v>
      </c>
      <c r="F651" s="7" t="s">
        <v>7682</v>
      </c>
      <c r="G651" s="7" t="s">
        <v>149</v>
      </c>
      <c r="H651" s="10" t="n">
        <v>5000</v>
      </c>
      <c r="I651" s="7" t="s">
        <v>69</v>
      </c>
      <c r="J651" s="7" t="s">
        <v>1747</v>
      </c>
      <c r="K651" s="7" t="s">
        <v>7683</v>
      </c>
      <c r="L651" s="7" t="s">
        <v>7684</v>
      </c>
      <c r="M651" s="7"/>
      <c r="N651" s="7" t="s">
        <v>7685</v>
      </c>
      <c r="O651" s="7" t="s">
        <v>1752</v>
      </c>
    </row>
    <row r="652" customFormat="false" ht="15" hidden="false" customHeight="false" outlineLevel="0" collapsed="false">
      <c r="A652" s="7" t="s">
        <v>7686</v>
      </c>
      <c r="B652" s="7" t="s">
        <v>34</v>
      </c>
      <c r="C652" s="7" t="s">
        <v>7687</v>
      </c>
      <c r="D652" s="7" t="s">
        <v>713</v>
      </c>
      <c r="E652" s="7" t="s">
        <v>155</v>
      </c>
      <c r="F652" s="7" t="s">
        <v>7688</v>
      </c>
      <c r="G652" s="7" t="s">
        <v>149</v>
      </c>
      <c r="H652" s="10" t="n">
        <v>600</v>
      </c>
      <c r="I652" s="7" t="s">
        <v>69</v>
      </c>
      <c r="J652" s="7" t="s">
        <v>7689</v>
      </c>
      <c r="K652" s="7" t="s">
        <v>7690</v>
      </c>
      <c r="L652" s="7" t="s">
        <v>7691</v>
      </c>
      <c r="M652" s="7"/>
      <c r="N652" s="7" t="s">
        <v>7692</v>
      </c>
      <c r="O652" s="7" t="s">
        <v>7693</v>
      </c>
    </row>
    <row r="653" customFormat="false" ht="15" hidden="false" customHeight="false" outlineLevel="0" collapsed="false">
      <c r="A653" s="7" t="s">
        <v>7694</v>
      </c>
      <c r="B653" s="7" t="s">
        <v>34</v>
      </c>
      <c r="C653" s="7" t="s">
        <v>7629</v>
      </c>
      <c r="D653" s="7" t="s">
        <v>970</v>
      </c>
      <c r="E653" s="7" t="s">
        <v>250</v>
      </c>
      <c r="F653" s="7" t="s">
        <v>7695</v>
      </c>
      <c r="G653" s="7" t="s">
        <v>149</v>
      </c>
      <c r="H653" s="10" t="n">
        <v>3500</v>
      </c>
      <c r="I653" s="7" t="s">
        <v>69</v>
      </c>
      <c r="J653" s="7" t="s">
        <v>7696</v>
      </c>
      <c r="K653" s="7" t="s">
        <v>7697</v>
      </c>
      <c r="L653" s="7" t="s">
        <v>7527</v>
      </c>
      <c r="M653" s="7"/>
      <c r="N653" s="7" t="s">
        <v>7698</v>
      </c>
      <c r="O653" s="7" t="s">
        <v>7699</v>
      </c>
    </row>
    <row r="654" customFormat="false" ht="15" hidden="false" customHeight="false" outlineLevel="0" collapsed="false">
      <c r="A654" s="7" t="s">
        <v>7700</v>
      </c>
      <c r="B654" s="7" t="s">
        <v>34</v>
      </c>
      <c r="C654" s="7" t="s">
        <v>7701</v>
      </c>
      <c r="D654" s="7" t="s">
        <v>264</v>
      </c>
      <c r="E654" s="7" t="s">
        <v>250</v>
      </c>
      <c r="F654" s="7" t="s">
        <v>7702</v>
      </c>
      <c r="G654" s="7" t="s">
        <v>149</v>
      </c>
      <c r="H654" s="10" t="n">
        <v>2000</v>
      </c>
      <c r="I654" s="7" t="s">
        <v>69</v>
      </c>
      <c r="J654" s="7" t="s">
        <v>5005</v>
      </c>
      <c r="K654" s="7" t="s">
        <v>7703</v>
      </c>
      <c r="L654" s="7" t="s">
        <v>7498</v>
      </c>
      <c r="M654" s="7"/>
      <c r="N654" s="7" t="s">
        <v>7704</v>
      </c>
      <c r="O654" s="7" t="s">
        <v>7705</v>
      </c>
    </row>
    <row r="655" customFormat="false" ht="15" hidden="false" customHeight="false" outlineLevel="0" collapsed="false">
      <c r="A655" s="7" t="s">
        <v>7706</v>
      </c>
      <c r="B655" s="7" t="s">
        <v>34</v>
      </c>
      <c r="C655" s="7" t="s">
        <v>7707</v>
      </c>
      <c r="D655" s="7" t="s">
        <v>1745</v>
      </c>
      <c r="E655" s="7" t="s">
        <v>206</v>
      </c>
      <c r="F655" s="7" t="s">
        <v>7708</v>
      </c>
      <c r="G655" s="7" t="s">
        <v>149</v>
      </c>
      <c r="H655" s="10" t="n">
        <v>150</v>
      </c>
      <c r="I655" s="7" t="s">
        <v>69</v>
      </c>
      <c r="J655" s="7" t="s">
        <v>1765</v>
      </c>
      <c r="K655" s="7" t="s">
        <v>7709</v>
      </c>
      <c r="L655" s="7" t="s">
        <v>7665</v>
      </c>
      <c r="M655" s="7"/>
      <c r="N655" s="7" t="s">
        <v>7710</v>
      </c>
      <c r="O655" s="7" t="s">
        <v>1770</v>
      </c>
    </row>
    <row r="656" customFormat="false" ht="15" hidden="false" customHeight="false" outlineLevel="0" collapsed="false">
      <c r="A656" s="7" t="s">
        <v>7711</v>
      </c>
      <c r="B656" s="7" t="s">
        <v>34</v>
      </c>
      <c r="C656" s="7" t="s">
        <v>7588</v>
      </c>
      <c r="D656" s="7" t="s">
        <v>1599</v>
      </c>
      <c r="E656" s="7" t="s">
        <v>78</v>
      </c>
      <c r="F656" s="7" t="s">
        <v>7712</v>
      </c>
      <c r="G656" s="7" t="s">
        <v>149</v>
      </c>
      <c r="H656" s="10" t="n">
        <v>300</v>
      </c>
      <c r="I656" s="7" t="s">
        <v>350</v>
      </c>
      <c r="J656" s="7"/>
      <c r="K656" s="7" t="s">
        <v>7713</v>
      </c>
      <c r="L656" s="7" t="s">
        <v>7714</v>
      </c>
      <c r="M656" s="7"/>
      <c r="N656" s="7" t="s">
        <v>7715</v>
      </c>
      <c r="O656" s="7" t="s">
        <v>7716</v>
      </c>
    </row>
    <row r="657" customFormat="false" ht="15" hidden="false" customHeight="false" outlineLevel="0" collapsed="false">
      <c r="A657" s="7" t="s">
        <v>7717</v>
      </c>
      <c r="B657" s="7" t="s">
        <v>34</v>
      </c>
      <c r="C657" s="7" t="s">
        <v>7718</v>
      </c>
      <c r="D657" s="7" t="s">
        <v>3784</v>
      </c>
      <c r="E657" s="7" t="s">
        <v>78</v>
      </c>
      <c r="F657" s="7" t="s">
        <v>7719</v>
      </c>
      <c r="G657" s="7" t="s">
        <v>149</v>
      </c>
      <c r="H657" s="10" t="n">
        <v>300</v>
      </c>
      <c r="I657" s="7" t="s">
        <v>350</v>
      </c>
      <c r="J657" s="7"/>
      <c r="K657" s="7" t="s">
        <v>7720</v>
      </c>
      <c r="L657" s="7" t="s">
        <v>7665</v>
      </c>
      <c r="M657" s="7"/>
      <c r="N657" s="7" t="s">
        <v>7721</v>
      </c>
      <c r="O657" s="7" t="s">
        <v>7722</v>
      </c>
    </row>
    <row r="658" customFormat="false" ht="15" hidden="false" customHeight="false" outlineLevel="0" collapsed="false">
      <c r="A658" s="7" t="s">
        <v>7723</v>
      </c>
      <c r="B658" s="7" t="s">
        <v>34</v>
      </c>
      <c r="C658" s="7" t="s">
        <v>7724</v>
      </c>
      <c r="D658" s="7" t="s">
        <v>2251</v>
      </c>
      <c r="E658" s="7" t="s">
        <v>78</v>
      </c>
      <c r="F658" s="7" t="s">
        <v>7725</v>
      </c>
      <c r="G658" s="7" t="s">
        <v>149</v>
      </c>
      <c r="H658" s="10" t="n">
        <v>300</v>
      </c>
      <c r="I658" s="7" t="s">
        <v>377</v>
      </c>
      <c r="J658" s="7" t="s">
        <v>559</v>
      </c>
      <c r="K658" s="7" t="s">
        <v>7726</v>
      </c>
      <c r="L658" s="7" t="s">
        <v>7557</v>
      </c>
      <c r="M658" s="7"/>
      <c r="N658" s="7" t="s">
        <v>7727</v>
      </c>
      <c r="O658" s="7" t="s">
        <v>7728</v>
      </c>
    </row>
    <row r="659" customFormat="false" ht="15" hidden="false" customHeight="false" outlineLevel="0" collapsed="false">
      <c r="A659" s="7" t="s">
        <v>7729</v>
      </c>
      <c r="B659" s="7" t="s">
        <v>34</v>
      </c>
      <c r="C659" s="7" t="s">
        <v>7730</v>
      </c>
      <c r="D659" s="7" t="s">
        <v>7731</v>
      </c>
      <c r="E659" s="7" t="s">
        <v>7732</v>
      </c>
      <c r="F659" s="7" t="s">
        <v>7733</v>
      </c>
      <c r="G659" s="7" t="s">
        <v>149</v>
      </c>
      <c r="H659" s="10" t="n">
        <v>1700</v>
      </c>
      <c r="I659" s="7" t="s">
        <v>3239</v>
      </c>
      <c r="J659" s="7"/>
      <c r="K659" s="7" t="s">
        <v>7734</v>
      </c>
      <c r="L659" s="7" t="s">
        <v>7598</v>
      </c>
      <c r="M659" s="7"/>
      <c r="N659" s="7" t="s">
        <v>7735</v>
      </c>
      <c r="O659" s="7" t="s">
        <v>7736</v>
      </c>
    </row>
    <row r="660" customFormat="false" ht="15" hidden="false" customHeight="false" outlineLevel="0" collapsed="false">
      <c r="A660" s="7" t="s">
        <v>7737</v>
      </c>
      <c r="B660" s="7" t="s">
        <v>34</v>
      </c>
      <c r="C660" s="7" t="s">
        <v>7738</v>
      </c>
      <c r="D660" s="7" t="s">
        <v>3247</v>
      </c>
      <c r="E660" s="7" t="s">
        <v>155</v>
      </c>
      <c r="F660" s="7" t="s">
        <v>7739</v>
      </c>
      <c r="G660" s="7" t="s">
        <v>149</v>
      </c>
      <c r="H660" s="10" t="n">
        <v>500</v>
      </c>
      <c r="I660" s="7" t="s">
        <v>69</v>
      </c>
      <c r="J660" s="7" t="s">
        <v>1747</v>
      </c>
      <c r="K660" s="7"/>
      <c r="L660" s="7" t="s">
        <v>7604</v>
      </c>
      <c r="M660" s="7"/>
      <c r="N660" s="7" t="s">
        <v>7740</v>
      </c>
      <c r="O660" s="7" t="s">
        <v>1752</v>
      </c>
    </row>
    <row r="661" customFormat="false" ht="15" hidden="false" customHeight="false" outlineLevel="0" collapsed="false">
      <c r="A661" s="7" t="s">
        <v>7741</v>
      </c>
      <c r="B661" s="7" t="s">
        <v>34</v>
      </c>
      <c r="C661" s="7" t="s">
        <v>7742</v>
      </c>
      <c r="D661" s="7" t="s">
        <v>1195</v>
      </c>
      <c r="E661" s="7" t="s">
        <v>206</v>
      </c>
      <c r="F661" s="7" t="s">
        <v>7743</v>
      </c>
      <c r="G661" s="7" t="s">
        <v>149</v>
      </c>
      <c r="H661" s="10" t="n">
        <v>1500</v>
      </c>
      <c r="I661" s="7" t="s">
        <v>377</v>
      </c>
      <c r="J661" s="7"/>
      <c r="K661" s="7" t="s">
        <v>7744</v>
      </c>
      <c r="L661" s="7" t="s">
        <v>7745</v>
      </c>
      <c r="M661" s="7"/>
      <c r="N661" s="7" t="s">
        <v>7746</v>
      </c>
      <c r="O661" s="7" t="s">
        <v>7747</v>
      </c>
    </row>
    <row r="662" customFormat="false" ht="15" hidden="false" customHeight="false" outlineLevel="0" collapsed="false">
      <c r="A662" s="7" t="s">
        <v>7748</v>
      </c>
      <c r="B662" s="7" t="s">
        <v>34</v>
      </c>
      <c r="C662" s="7" t="s">
        <v>3647</v>
      </c>
      <c r="D662" s="7" t="s">
        <v>5197</v>
      </c>
      <c r="E662" s="7" t="s">
        <v>78</v>
      </c>
      <c r="F662" s="7" t="s">
        <v>7749</v>
      </c>
      <c r="G662" s="7" t="s">
        <v>149</v>
      </c>
      <c r="H662" s="10" t="n">
        <v>3000</v>
      </c>
      <c r="I662" s="7" t="s">
        <v>69</v>
      </c>
      <c r="J662" s="7" t="s">
        <v>7750</v>
      </c>
      <c r="K662" s="7" t="s">
        <v>7751</v>
      </c>
      <c r="L662" s="7" t="s">
        <v>3651</v>
      </c>
      <c r="M662" s="7"/>
      <c r="N662" s="7" t="s">
        <v>7752</v>
      </c>
      <c r="O662" s="7" t="s">
        <v>7753</v>
      </c>
    </row>
    <row r="663" customFormat="false" ht="15" hidden="false" customHeight="false" outlineLevel="0" collapsed="false">
      <c r="A663" s="7" t="s">
        <v>7754</v>
      </c>
      <c r="B663" s="7" t="s">
        <v>34</v>
      </c>
      <c r="C663" s="7" t="s">
        <v>7755</v>
      </c>
      <c r="D663" s="7" t="s">
        <v>1599</v>
      </c>
      <c r="E663" s="7" t="s">
        <v>78</v>
      </c>
      <c r="F663" s="7" t="s">
        <v>7756</v>
      </c>
      <c r="G663" s="7" t="s">
        <v>149</v>
      </c>
      <c r="H663" s="10" t="n">
        <v>200</v>
      </c>
      <c r="I663" s="7" t="s">
        <v>350</v>
      </c>
      <c r="J663" s="7"/>
      <c r="K663" s="7" t="s">
        <v>7757</v>
      </c>
      <c r="L663" s="7" t="s">
        <v>7604</v>
      </c>
      <c r="M663" s="7"/>
      <c r="N663" s="7" t="s">
        <v>7758</v>
      </c>
      <c r="O663" s="7" t="s">
        <v>7759</v>
      </c>
    </row>
    <row r="664" customFormat="false" ht="15" hidden="false" customHeight="false" outlineLevel="0" collapsed="false">
      <c r="A664" s="7" t="s">
        <v>7760</v>
      </c>
      <c r="B664" s="7" t="s">
        <v>34</v>
      </c>
      <c r="C664" s="7" t="s">
        <v>7761</v>
      </c>
      <c r="D664" s="7" t="s">
        <v>1599</v>
      </c>
      <c r="E664" s="7" t="s">
        <v>78</v>
      </c>
      <c r="F664" s="7" t="s">
        <v>7762</v>
      </c>
      <c r="G664" s="7" t="s">
        <v>149</v>
      </c>
      <c r="H664" s="10" t="n">
        <v>1000</v>
      </c>
      <c r="I664" s="7" t="s">
        <v>69</v>
      </c>
      <c r="J664" s="7" t="s">
        <v>1127</v>
      </c>
      <c r="K664" s="7" t="s">
        <v>7763</v>
      </c>
      <c r="L664" s="7" t="s">
        <v>7498</v>
      </c>
      <c r="M664" s="7"/>
      <c r="N664" s="7" t="s">
        <v>7764</v>
      </c>
      <c r="O664" s="7" t="s">
        <v>7765</v>
      </c>
    </row>
    <row r="665" customFormat="false" ht="15" hidden="false" customHeight="false" outlineLevel="0" collapsed="false">
      <c r="A665" s="7" t="s">
        <v>7766</v>
      </c>
      <c r="B665" s="7" t="s">
        <v>34</v>
      </c>
      <c r="C665" s="7" t="s">
        <v>7767</v>
      </c>
      <c r="D665" s="7" t="s">
        <v>1557</v>
      </c>
      <c r="E665" s="7" t="s">
        <v>113</v>
      </c>
      <c r="F665" s="7" t="s">
        <v>7768</v>
      </c>
      <c r="G665" s="7" t="s">
        <v>149</v>
      </c>
      <c r="H665" s="10" t="n">
        <v>1000</v>
      </c>
      <c r="I665" s="7" t="s">
        <v>377</v>
      </c>
      <c r="J665" s="7"/>
      <c r="K665" s="7" t="s">
        <v>7769</v>
      </c>
      <c r="L665" s="7" t="s">
        <v>7770</v>
      </c>
      <c r="M665" s="7"/>
      <c r="N665" s="7" t="s">
        <v>7771</v>
      </c>
      <c r="O665" s="7" t="s">
        <v>7772</v>
      </c>
    </row>
    <row r="666" customFormat="false" ht="15" hidden="false" customHeight="false" outlineLevel="0" collapsed="false">
      <c r="A666" s="7" t="s">
        <v>7773</v>
      </c>
      <c r="B666" s="7" t="s">
        <v>34</v>
      </c>
      <c r="C666" s="7" t="s">
        <v>7774</v>
      </c>
      <c r="D666" s="7" t="s">
        <v>1599</v>
      </c>
      <c r="E666" s="7" t="s">
        <v>78</v>
      </c>
      <c r="F666" s="7" t="s">
        <v>7775</v>
      </c>
      <c r="G666" s="7" t="s">
        <v>149</v>
      </c>
      <c r="H666" s="10" t="n">
        <v>500</v>
      </c>
      <c r="I666" s="7" t="s">
        <v>350</v>
      </c>
      <c r="J666" s="7"/>
      <c r="K666" s="7" t="s">
        <v>7776</v>
      </c>
      <c r="L666" s="7" t="s">
        <v>7777</v>
      </c>
      <c r="M666" s="7"/>
      <c r="N666" s="7" t="s">
        <v>7778</v>
      </c>
      <c r="O666" s="7" t="s">
        <v>7779</v>
      </c>
    </row>
    <row r="667" customFormat="false" ht="15" hidden="false" customHeight="false" outlineLevel="0" collapsed="false">
      <c r="A667" s="7" t="s">
        <v>7780</v>
      </c>
      <c r="B667" s="7" t="s">
        <v>34</v>
      </c>
      <c r="C667" s="7" t="s">
        <v>7781</v>
      </c>
      <c r="D667" s="7" t="s">
        <v>7782</v>
      </c>
      <c r="E667" s="7" t="s">
        <v>250</v>
      </c>
      <c r="F667" s="7" t="s">
        <v>7783</v>
      </c>
      <c r="G667" s="7" t="s">
        <v>149</v>
      </c>
      <c r="H667" s="10" t="n">
        <v>700</v>
      </c>
      <c r="I667" s="7" t="s">
        <v>377</v>
      </c>
      <c r="J667" s="7"/>
      <c r="K667" s="7" t="s">
        <v>7784</v>
      </c>
      <c r="L667" s="7" t="s">
        <v>3796</v>
      </c>
      <c r="M667" s="7"/>
      <c r="N667" s="7" t="s">
        <v>7785</v>
      </c>
      <c r="O667" s="7" t="s">
        <v>7786</v>
      </c>
    </row>
    <row r="668" customFormat="false" ht="15" hidden="false" customHeight="false" outlineLevel="0" collapsed="false">
      <c r="A668" s="7" t="s">
        <v>7787</v>
      </c>
      <c r="B668" s="7" t="s">
        <v>34</v>
      </c>
      <c r="C668" s="7" t="s">
        <v>7788</v>
      </c>
      <c r="D668" s="7" t="s">
        <v>65</v>
      </c>
      <c r="E668" s="7" t="s">
        <v>66</v>
      </c>
      <c r="F668" s="7" t="s">
        <v>7789</v>
      </c>
      <c r="G668" s="7" t="s">
        <v>149</v>
      </c>
      <c r="H668" s="10" t="n">
        <v>700</v>
      </c>
      <c r="I668" s="7" t="s">
        <v>69</v>
      </c>
      <c r="J668" s="7" t="s">
        <v>115</v>
      </c>
      <c r="K668" s="7" t="s">
        <v>7790</v>
      </c>
      <c r="L668" s="7" t="s">
        <v>7563</v>
      </c>
      <c r="M668" s="7"/>
      <c r="N668" s="7" t="s">
        <v>7791</v>
      </c>
      <c r="O668" s="7" t="s">
        <v>7792</v>
      </c>
    </row>
    <row r="669" customFormat="false" ht="15" hidden="false" customHeight="false" outlineLevel="0" collapsed="false">
      <c r="A669" s="7" t="s">
        <v>7793</v>
      </c>
      <c r="B669" s="7" t="s">
        <v>34</v>
      </c>
      <c r="C669" s="7" t="s">
        <v>7794</v>
      </c>
      <c r="D669" s="7" t="s">
        <v>778</v>
      </c>
      <c r="E669" s="7" t="s">
        <v>779</v>
      </c>
      <c r="F669" s="7" t="s">
        <v>7795</v>
      </c>
      <c r="G669" s="7" t="s">
        <v>149</v>
      </c>
      <c r="H669" s="10" t="n">
        <v>4000</v>
      </c>
      <c r="I669" s="7" t="s">
        <v>377</v>
      </c>
      <c r="J669" s="7"/>
      <c r="K669" s="7" t="s">
        <v>7796</v>
      </c>
      <c r="L669" s="7" t="s">
        <v>7598</v>
      </c>
      <c r="M669" s="7"/>
      <c r="N669" s="7" t="s">
        <v>7797</v>
      </c>
      <c r="O669" s="7" t="s">
        <v>7798</v>
      </c>
    </row>
    <row r="670" customFormat="false" ht="15" hidden="false" customHeight="false" outlineLevel="0" collapsed="false">
      <c r="A670" s="7" t="s">
        <v>7799</v>
      </c>
      <c r="B670" s="7" t="s">
        <v>34</v>
      </c>
      <c r="C670" s="7" t="s">
        <v>7800</v>
      </c>
      <c r="D670" s="7" t="s">
        <v>7801</v>
      </c>
      <c r="E670" s="7" t="s">
        <v>147</v>
      </c>
      <c r="F670" s="7" t="s">
        <v>7802</v>
      </c>
      <c r="G670" s="7" t="s">
        <v>149</v>
      </c>
      <c r="H670" s="10" t="n">
        <v>2500</v>
      </c>
      <c r="I670" s="7" t="s">
        <v>69</v>
      </c>
      <c r="J670" s="7" t="s">
        <v>7803</v>
      </c>
      <c r="K670" s="7" t="s">
        <v>7804</v>
      </c>
      <c r="L670" s="7" t="s">
        <v>1777</v>
      </c>
      <c r="M670" s="7"/>
      <c r="N670" s="7" t="s">
        <v>7805</v>
      </c>
      <c r="O670" s="7" t="s">
        <v>7806</v>
      </c>
    </row>
    <row r="671" customFormat="false" ht="15" hidden="false" customHeight="false" outlineLevel="0" collapsed="false">
      <c r="A671" s="7" t="s">
        <v>7807</v>
      </c>
      <c r="B671" s="7" t="s">
        <v>34</v>
      </c>
      <c r="C671" s="7" t="s">
        <v>7808</v>
      </c>
      <c r="D671" s="7" t="s">
        <v>7809</v>
      </c>
      <c r="E671" s="7" t="s">
        <v>113</v>
      </c>
      <c r="F671" s="7" t="s">
        <v>7810</v>
      </c>
      <c r="G671" s="7" t="s">
        <v>149</v>
      </c>
      <c r="H671" s="10" t="n">
        <v>1200</v>
      </c>
      <c r="I671" s="7" t="s">
        <v>69</v>
      </c>
      <c r="J671" s="7" t="s">
        <v>1160</v>
      </c>
      <c r="K671" s="7" t="s">
        <v>7811</v>
      </c>
      <c r="L671" s="7" t="s">
        <v>7812</v>
      </c>
      <c r="M671" s="7"/>
      <c r="N671" s="7" t="s">
        <v>7813</v>
      </c>
      <c r="O671" s="7" t="s">
        <v>1742</v>
      </c>
    </row>
    <row r="672" customFormat="false" ht="15" hidden="false" customHeight="false" outlineLevel="0" collapsed="false">
      <c r="A672" s="7" t="s">
        <v>7814</v>
      </c>
      <c r="B672" s="7" t="s">
        <v>34</v>
      </c>
      <c r="C672" s="7" t="s">
        <v>3647</v>
      </c>
      <c r="D672" s="7" t="s">
        <v>7815</v>
      </c>
      <c r="E672" s="7" t="s">
        <v>66</v>
      </c>
      <c r="F672" s="7" t="s">
        <v>7816</v>
      </c>
      <c r="G672" s="7" t="s">
        <v>149</v>
      </c>
      <c r="H672" s="10" t="n">
        <v>2500</v>
      </c>
      <c r="I672" s="7" t="s">
        <v>69</v>
      </c>
      <c r="J672" s="7" t="s">
        <v>7803</v>
      </c>
      <c r="K672" s="7" t="s">
        <v>7817</v>
      </c>
      <c r="L672" s="7" t="s">
        <v>3651</v>
      </c>
      <c r="M672" s="7"/>
      <c r="N672" s="7" t="s">
        <v>7818</v>
      </c>
      <c r="O672" s="7" t="s">
        <v>7819</v>
      </c>
    </row>
    <row r="673" customFormat="false" ht="15" hidden="false" customHeight="false" outlineLevel="0" collapsed="false">
      <c r="A673" s="7" t="s">
        <v>7820</v>
      </c>
      <c r="B673" s="7" t="s">
        <v>34</v>
      </c>
      <c r="C673" s="7" t="s">
        <v>7821</v>
      </c>
      <c r="D673" s="7" t="s">
        <v>4758</v>
      </c>
      <c r="E673" s="7" t="s">
        <v>854</v>
      </c>
      <c r="F673" s="7" t="s">
        <v>7822</v>
      </c>
      <c r="G673" s="7" t="s">
        <v>149</v>
      </c>
      <c r="H673" s="10" t="n">
        <v>1200</v>
      </c>
      <c r="I673" s="7" t="s">
        <v>377</v>
      </c>
      <c r="J673" s="7"/>
      <c r="K673" s="7" t="s">
        <v>7823</v>
      </c>
      <c r="L673" s="7" t="s">
        <v>7527</v>
      </c>
      <c r="M673" s="7"/>
      <c r="N673" s="7" t="s">
        <v>7824</v>
      </c>
      <c r="O673" s="7" t="s">
        <v>7825</v>
      </c>
    </row>
    <row r="674" customFormat="false" ht="15" hidden="false" customHeight="false" outlineLevel="0" collapsed="false">
      <c r="A674" s="7" t="s">
        <v>7826</v>
      </c>
      <c r="B674" s="7" t="s">
        <v>34</v>
      </c>
      <c r="C674" s="7" t="s">
        <v>7827</v>
      </c>
      <c r="D674" s="7" t="s">
        <v>609</v>
      </c>
      <c r="E674" s="7" t="s">
        <v>610</v>
      </c>
      <c r="F674" s="7" t="s">
        <v>7828</v>
      </c>
      <c r="G674" s="7" t="s">
        <v>149</v>
      </c>
      <c r="H674" s="10" t="n">
        <v>2500</v>
      </c>
      <c r="I674" s="7" t="s">
        <v>3239</v>
      </c>
      <c r="J674" s="7"/>
      <c r="K674" s="7" t="s">
        <v>7829</v>
      </c>
      <c r="L674" s="7" t="s">
        <v>7498</v>
      </c>
      <c r="M674" s="7"/>
      <c r="N674" s="7" t="s">
        <v>7830</v>
      </c>
      <c r="O674" s="7" t="s">
        <v>7831</v>
      </c>
    </row>
    <row r="675" customFormat="false" ht="15" hidden="false" customHeight="false" outlineLevel="0" collapsed="false">
      <c r="A675" s="7" t="s">
        <v>7832</v>
      </c>
      <c r="B675" s="7" t="s">
        <v>34</v>
      </c>
      <c r="C675" s="7" t="s">
        <v>3647</v>
      </c>
      <c r="D675" s="7" t="s">
        <v>445</v>
      </c>
      <c r="E675" s="7" t="s">
        <v>250</v>
      </c>
      <c r="F675" s="7" t="s">
        <v>7833</v>
      </c>
      <c r="G675" s="7" t="s">
        <v>149</v>
      </c>
      <c r="H675" s="10" t="n">
        <v>3000</v>
      </c>
      <c r="I675" s="7" t="s">
        <v>69</v>
      </c>
      <c r="J675" s="7" t="s">
        <v>7834</v>
      </c>
      <c r="K675" s="7" t="s">
        <v>7835</v>
      </c>
      <c r="L675" s="7" t="s">
        <v>3651</v>
      </c>
      <c r="M675" s="7"/>
      <c r="N675" s="7" t="s">
        <v>7836</v>
      </c>
      <c r="O675" s="7" t="s">
        <v>7837</v>
      </c>
    </row>
    <row r="676" customFormat="false" ht="15" hidden="false" customHeight="false" outlineLevel="0" collapsed="false">
      <c r="A676" s="7" t="s">
        <v>7838</v>
      </c>
      <c r="B676" s="7" t="s">
        <v>34</v>
      </c>
      <c r="C676" s="7" t="s">
        <v>7839</v>
      </c>
      <c r="D676" s="7" t="s">
        <v>7840</v>
      </c>
      <c r="E676" s="7" t="s">
        <v>222</v>
      </c>
      <c r="F676" s="7" t="s">
        <v>7841</v>
      </c>
      <c r="G676" s="7" t="s">
        <v>174</v>
      </c>
      <c r="H676" s="10" t="n">
        <v>200</v>
      </c>
      <c r="I676" s="7" t="s">
        <v>69</v>
      </c>
      <c r="J676" s="7" t="s">
        <v>1765</v>
      </c>
      <c r="K676" s="7" t="s">
        <v>7842</v>
      </c>
      <c r="L676" s="7" t="s">
        <v>3659</v>
      </c>
      <c r="M676" s="7"/>
      <c r="N676" s="7" t="s">
        <v>7843</v>
      </c>
      <c r="O676" s="7" t="s">
        <v>1770</v>
      </c>
    </row>
    <row r="677" customFormat="false" ht="15" hidden="false" customHeight="false" outlineLevel="0" collapsed="false">
      <c r="A677" s="7" t="s">
        <v>7844</v>
      </c>
      <c r="B677" s="7" t="s">
        <v>34</v>
      </c>
      <c r="C677" s="7" t="s">
        <v>7845</v>
      </c>
      <c r="D677" s="7" t="s">
        <v>112</v>
      </c>
      <c r="E677" s="7" t="s">
        <v>113</v>
      </c>
      <c r="F677" s="7" t="s">
        <v>7846</v>
      </c>
      <c r="G677" s="7" t="s">
        <v>174</v>
      </c>
      <c r="H677" s="10" t="n">
        <v>200</v>
      </c>
      <c r="I677" s="7" t="s">
        <v>69</v>
      </c>
      <c r="J677" s="7" t="s">
        <v>165</v>
      </c>
      <c r="K677" s="7"/>
      <c r="L677" s="7" t="s">
        <v>7847</v>
      </c>
      <c r="M677" s="7"/>
      <c r="N677" s="7" t="s">
        <v>7848</v>
      </c>
      <c r="O677" s="7" t="s">
        <v>7849</v>
      </c>
    </row>
    <row r="678" customFormat="false" ht="15" hidden="false" customHeight="false" outlineLevel="0" collapsed="false">
      <c r="A678" s="7" t="s">
        <v>7850</v>
      </c>
      <c r="B678" s="7" t="s">
        <v>34</v>
      </c>
      <c r="C678" s="7" t="s">
        <v>7851</v>
      </c>
      <c r="D678" s="7" t="s">
        <v>1907</v>
      </c>
      <c r="E678" s="7" t="s">
        <v>206</v>
      </c>
      <c r="F678" s="7" t="s">
        <v>7852</v>
      </c>
      <c r="G678" s="7" t="s">
        <v>174</v>
      </c>
      <c r="H678" s="10" t="n">
        <v>300</v>
      </c>
      <c r="I678" s="7" t="s">
        <v>350</v>
      </c>
      <c r="J678" s="7"/>
      <c r="K678" s="7" t="s">
        <v>7853</v>
      </c>
      <c r="L678" s="7" t="s">
        <v>3659</v>
      </c>
      <c r="M678" s="7"/>
      <c r="N678" s="7" t="s">
        <v>7854</v>
      </c>
      <c r="O678" s="7" t="s">
        <v>7855</v>
      </c>
    </row>
    <row r="679" customFormat="false" ht="15" hidden="false" customHeight="false" outlineLevel="0" collapsed="false">
      <c r="A679" s="7" t="s">
        <v>7856</v>
      </c>
      <c r="B679" s="7" t="s">
        <v>34</v>
      </c>
      <c r="C679" s="7" t="s">
        <v>7857</v>
      </c>
      <c r="D679" s="7" t="s">
        <v>445</v>
      </c>
      <c r="E679" s="7" t="s">
        <v>250</v>
      </c>
      <c r="F679" s="7" t="s">
        <v>7858</v>
      </c>
      <c r="G679" s="7" t="s">
        <v>174</v>
      </c>
      <c r="H679" s="10" t="n">
        <v>500</v>
      </c>
      <c r="I679" s="7" t="s">
        <v>377</v>
      </c>
      <c r="J679" s="7"/>
      <c r="K679" s="7" t="s">
        <v>7859</v>
      </c>
      <c r="L679" s="7" t="s">
        <v>1777</v>
      </c>
      <c r="M679" s="7"/>
      <c r="N679" s="7" t="s">
        <v>7860</v>
      </c>
      <c r="O679" s="7" t="s">
        <v>7861</v>
      </c>
    </row>
    <row r="680" customFormat="false" ht="15" hidden="false" customHeight="false" outlineLevel="0" collapsed="false">
      <c r="A680" s="7" t="s">
        <v>7862</v>
      </c>
      <c r="B680" s="7" t="s">
        <v>34</v>
      </c>
      <c r="C680" s="7" t="s">
        <v>7629</v>
      </c>
      <c r="D680" s="7" t="s">
        <v>7863</v>
      </c>
      <c r="E680" s="7" t="s">
        <v>854</v>
      </c>
      <c r="F680" s="7" t="s">
        <v>7864</v>
      </c>
      <c r="G680" s="7" t="s">
        <v>174</v>
      </c>
      <c r="H680" s="10" t="n">
        <v>1500</v>
      </c>
      <c r="I680" s="7" t="s">
        <v>350</v>
      </c>
      <c r="J680" s="7"/>
      <c r="K680" s="7" t="s">
        <v>7865</v>
      </c>
      <c r="L680" s="7" t="s">
        <v>7612</v>
      </c>
      <c r="M680" s="7"/>
      <c r="N680" s="7" t="s">
        <v>7866</v>
      </c>
      <c r="O680" s="7" t="s">
        <v>7867</v>
      </c>
    </row>
    <row r="681" customFormat="false" ht="15" hidden="false" customHeight="false" outlineLevel="0" collapsed="false">
      <c r="A681" s="7" t="s">
        <v>7868</v>
      </c>
      <c r="B681" s="7" t="s">
        <v>34</v>
      </c>
      <c r="C681" s="7" t="s">
        <v>7869</v>
      </c>
      <c r="D681" s="7" t="s">
        <v>1245</v>
      </c>
      <c r="E681" s="7" t="s">
        <v>78</v>
      </c>
      <c r="F681" s="7" t="s">
        <v>7870</v>
      </c>
      <c r="G681" s="7" t="s">
        <v>174</v>
      </c>
      <c r="H681" s="10" t="n">
        <v>300</v>
      </c>
      <c r="I681" s="7" t="s">
        <v>69</v>
      </c>
      <c r="J681" s="7" t="s">
        <v>1765</v>
      </c>
      <c r="K681" s="7" t="s">
        <v>7871</v>
      </c>
      <c r="L681" s="7" t="s">
        <v>7847</v>
      </c>
      <c r="M681" s="7"/>
      <c r="N681" s="7" t="s">
        <v>7872</v>
      </c>
      <c r="O681" s="7" t="s">
        <v>1770</v>
      </c>
    </row>
    <row r="682" customFormat="false" ht="15" hidden="false" customHeight="false" outlineLevel="0" collapsed="false">
      <c r="A682" s="7" t="s">
        <v>7873</v>
      </c>
      <c r="B682" s="7" t="s">
        <v>34</v>
      </c>
      <c r="C682" s="7" t="s">
        <v>7874</v>
      </c>
      <c r="D682" s="7" t="s">
        <v>112</v>
      </c>
      <c r="E682" s="7" t="s">
        <v>113</v>
      </c>
      <c r="F682" s="7" t="s">
        <v>7875</v>
      </c>
      <c r="G682" s="7" t="s">
        <v>174</v>
      </c>
      <c r="H682" s="10" t="n">
        <v>500</v>
      </c>
      <c r="I682" s="7" t="s">
        <v>350</v>
      </c>
      <c r="J682" s="7"/>
      <c r="K682" s="7" t="s">
        <v>7876</v>
      </c>
      <c r="L682" s="7" t="s">
        <v>3659</v>
      </c>
      <c r="M682" s="7"/>
      <c r="N682" s="7" t="s">
        <v>7877</v>
      </c>
      <c r="O682" s="7" t="s">
        <v>7878</v>
      </c>
    </row>
    <row r="683" customFormat="false" ht="15" hidden="false" customHeight="false" outlineLevel="0" collapsed="false">
      <c r="A683" s="7" t="s">
        <v>7879</v>
      </c>
      <c r="B683" s="7" t="s">
        <v>34</v>
      </c>
      <c r="C683" s="7" t="s">
        <v>7880</v>
      </c>
      <c r="D683" s="7" t="s">
        <v>112</v>
      </c>
      <c r="E683" s="7" t="s">
        <v>113</v>
      </c>
      <c r="F683" s="7" t="s">
        <v>7881</v>
      </c>
      <c r="G683" s="7" t="s">
        <v>174</v>
      </c>
      <c r="H683" s="10" t="n">
        <v>300</v>
      </c>
      <c r="I683" s="7" t="s">
        <v>350</v>
      </c>
      <c r="J683" s="7"/>
      <c r="K683" s="7" t="s">
        <v>7882</v>
      </c>
      <c r="L683" s="7" t="s">
        <v>1784</v>
      </c>
      <c r="M683" s="7"/>
      <c r="N683" s="7" t="s">
        <v>7883</v>
      </c>
      <c r="O683" s="7" t="s">
        <v>7884</v>
      </c>
    </row>
    <row r="684" customFormat="false" ht="15" hidden="false" customHeight="false" outlineLevel="0" collapsed="false">
      <c r="A684" s="7" t="s">
        <v>7885</v>
      </c>
      <c r="B684" s="7" t="s">
        <v>34</v>
      </c>
      <c r="C684" s="7" t="s">
        <v>7886</v>
      </c>
      <c r="D684" s="7" t="s">
        <v>1245</v>
      </c>
      <c r="E684" s="7" t="s">
        <v>78</v>
      </c>
      <c r="F684" s="7" t="s">
        <v>7887</v>
      </c>
      <c r="G684" s="7" t="s">
        <v>174</v>
      </c>
      <c r="H684" s="10" t="n">
        <v>300</v>
      </c>
      <c r="I684" s="7" t="s">
        <v>377</v>
      </c>
      <c r="J684" s="7"/>
      <c r="K684" s="7" t="s">
        <v>7888</v>
      </c>
      <c r="L684" s="7" t="s">
        <v>3707</v>
      </c>
      <c r="M684" s="7"/>
      <c r="N684" s="7" t="s">
        <v>7889</v>
      </c>
      <c r="O684" s="7" t="s">
        <v>7890</v>
      </c>
    </row>
    <row r="685" customFormat="false" ht="15" hidden="false" customHeight="false" outlineLevel="0" collapsed="false">
      <c r="A685" s="7" t="s">
        <v>7891</v>
      </c>
      <c r="B685" s="7" t="s">
        <v>34</v>
      </c>
      <c r="C685" s="7" t="s">
        <v>7892</v>
      </c>
      <c r="D685" s="7" t="s">
        <v>249</v>
      </c>
      <c r="E685" s="7" t="s">
        <v>250</v>
      </c>
      <c r="F685" s="7" t="s">
        <v>7893</v>
      </c>
      <c r="G685" s="7" t="s">
        <v>174</v>
      </c>
      <c r="H685" s="10" t="n">
        <v>3000</v>
      </c>
      <c r="I685" s="7" t="s">
        <v>3239</v>
      </c>
      <c r="J685" s="7"/>
      <c r="K685" s="7" t="s">
        <v>7894</v>
      </c>
      <c r="L685" s="7" t="s">
        <v>7598</v>
      </c>
      <c r="M685" s="7"/>
      <c r="N685" s="7" t="s">
        <v>7895</v>
      </c>
      <c r="O685" s="7" t="s">
        <v>7896</v>
      </c>
    </row>
    <row r="686" customFormat="false" ht="15" hidden="false" customHeight="false" outlineLevel="0" collapsed="false">
      <c r="A686" s="7" t="s">
        <v>7897</v>
      </c>
      <c r="B686" s="7" t="s">
        <v>34</v>
      </c>
      <c r="C686" s="7" t="s">
        <v>7898</v>
      </c>
      <c r="D686" s="7" t="s">
        <v>7899</v>
      </c>
      <c r="E686" s="7" t="s">
        <v>222</v>
      </c>
      <c r="F686" s="7" t="s">
        <v>7900</v>
      </c>
      <c r="G686" s="7" t="s">
        <v>174</v>
      </c>
      <c r="H686" s="10" t="n">
        <v>300</v>
      </c>
      <c r="I686" s="7" t="s">
        <v>69</v>
      </c>
      <c r="J686" s="7" t="s">
        <v>1452</v>
      </c>
      <c r="K686" s="7" t="s">
        <v>7901</v>
      </c>
      <c r="L686" s="7" t="s">
        <v>1777</v>
      </c>
      <c r="M686" s="7"/>
      <c r="N686" s="7" t="s">
        <v>7902</v>
      </c>
      <c r="O686" s="7" t="s">
        <v>7903</v>
      </c>
    </row>
    <row r="687" customFormat="false" ht="15" hidden="false" customHeight="false" outlineLevel="0" collapsed="false">
      <c r="A687" s="7" t="s">
        <v>7904</v>
      </c>
      <c r="B687" s="7" t="s">
        <v>34</v>
      </c>
      <c r="C687" s="7" t="s">
        <v>7905</v>
      </c>
      <c r="D687" s="7" t="s">
        <v>420</v>
      </c>
      <c r="E687" s="7" t="s">
        <v>78</v>
      </c>
      <c r="F687" s="7" t="s">
        <v>7906</v>
      </c>
      <c r="G687" s="7" t="s">
        <v>174</v>
      </c>
      <c r="H687" s="10" t="n">
        <v>600</v>
      </c>
      <c r="I687" s="7" t="s">
        <v>69</v>
      </c>
      <c r="J687" s="7" t="s">
        <v>1765</v>
      </c>
      <c r="K687" s="7" t="s">
        <v>7907</v>
      </c>
      <c r="L687" s="7" t="s">
        <v>7908</v>
      </c>
      <c r="M687" s="7"/>
      <c r="N687" s="7" t="s">
        <v>7909</v>
      </c>
      <c r="O687" s="7" t="s">
        <v>1770</v>
      </c>
    </row>
    <row r="688" customFormat="false" ht="15" hidden="false" customHeight="false" outlineLevel="0" collapsed="false">
      <c r="A688" s="7" t="s">
        <v>7910</v>
      </c>
      <c r="B688" s="7" t="s">
        <v>34</v>
      </c>
      <c r="C688" s="7" t="s">
        <v>7911</v>
      </c>
      <c r="D688" s="7" t="s">
        <v>1404</v>
      </c>
      <c r="E688" s="7" t="s">
        <v>206</v>
      </c>
      <c r="F688" s="7" t="s">
        <v>7912</v>
      </c>
      <c r="G688" s="7" t="s">
        <v>174</v>
      </c>
      <c r="H688" s="10" t="n">
        <v>300</v>
      </c>
      <c r="I688" s="7" t="s">
        <v>350</v>
      </c>
      <c r="J688" s="7"/>
      <c r="K688" s="7" t="s">
        <v>7913</v>
      </c>
      <c r="L688" s="7" t="s">
        <v>3659</v>
      </c>
      <c r="M688" s="7"/>
      <c r="N688" s="7" t="s">
        <v>7914</v>
      </c>
      <c r="O688" s="7" t="s">
        <v>7915</v>
      </c>
    </row>
    <row r="689" customFormat="false" ht="15" hidden="false" customHeight="false" outlineLevel="0" collapsed="false">
      <c r="A689" s="7" t="s">
        <v>7916</v>
      </c>
      <c r="B689" s="7" t="s">
        <v>34</v>
      </c>
      <c r="C689" s="7" t="s">
        <v>7917</v>
      </c>
      <c r="D689" s="7" t="s">
        <v>704</v>
      </c>
      <c r="E689" s="7" t="s">
        <v>296</v>
      </c>
      <c r="F689" s="7" t="s">
        <v>7918</v>
      </c>
      <c r="G689" s="7" t="s">
        <v>174</v>
      </c>
      <c r="H689" s="10" t="n">
        <v>300</v>
      </c>
      <c r="I689" s="7" t="s">
        <v>69</v>
      </c>
      <c r="J689" s="7" t="s">
        <v>1775</v>
      </c>
      <c r="K689" s="7" t="s">
        <v>7919</v>
      </c>
      <c r="L689" s="7" t="s">
        <v>1777</v>
      </c>
      <c r="M689" s="7"/>
      <c r="N689" s="7" t="s">
        <v>7920</v>
      </c>
      <c r="O689" s="7" t="s">
        <v>7921</v>
      </c>
    </row>
    <row r="690" customFormat="false" ht="15" hidden="false" customHeight="false" outlineLevel="0" collapsed="false">
      <c r="A690" s="7" t="s">
        <v>7922</v>
      </c>
      <c r="B690" s="7" t="s">
        <v>34</v>
      </c>
      <c r="C690" s="7" t="s">
        <v>7923</v>
      </c>
      <c r="D690" s="7" t="s">
        <v>1599</v>
      </c>
      <c r="E690" s="7" t="s">
        <v>78</v>
      </c>
      <c r="F690" s="7" t="s">
        <v>7924</v>
      </c>
      <c r="G690" s="7" t="s">
        <v>174</v>
      </c>
      <c r="H690" s="10" t="n">
        <v>300</v>
      </c>
      <c r="I690" s="7" t="s">
        <v>69</v>
      </c>
      <c r="J690" s="7" t="s">
        <v>1747</v>
      </c>
      <c r="K690" s="7" t="s">
        <v>7925</v>
      </c>
      <c r="L690" s="7" t="s">
        <v>7926</v>
      </c>
      <c r="M690" s="7"/>
      <c r="N690" s="7" t="s">
        <v>485</v>
      </c>
      <c r="O690" s="7" t="s">
        <v>1752</v>
      </c>
    </row>
    <row r="691" customFormat="false" ht="15" hidden="false" customHeight="false" outlineLevel="0" collapsed="false">
      <c r="A691" s="7" t="s">
        <v>7927</v>
      </c>
      <c r="B691" s="7" t="s">
        <v>34</v>
      </c>
      <c r="C691" s="7" t="s">
        <v>7928</v>
      </c>
      <c r="D691" s="7" t="s">
        <v>7929</v>
      </c>
      <c r="E691" s="7" t="s">
        <v>222</v>
      </c>
      <c r="F691" s="7" t="s">
        <v>7930</v>
      </c>
      <c r="G691" s="7" t="s">
        <v>174</v>
      </c>
      <c r="H691" s="10" t="n">
        <v>1000</v>
      </c>
      <c r="I691" s="7" t="s">
        <v>69</v>
      </c>
      <c r="J691" s="7" t="s">
        <v>7525</v>
      </c>
      <c r="K691" s="7" t="s">
        <v>7931</v>
      </c>
      <c r="L691" s="7" t="s">
        <v>7932</v>
      </c>
      <c r="M691" s="7"/>
      <c r="N691" s="7" t="s">
        <v>7933</v>
      </c>
      <c r="O691" s="7" t="s">
        <v>7934</v>
      </c>
    </row>
    <row r="692" customFormat="false" ht="15" hidden="false" customHeight="false" outlineLevel="0" collapsed="false">
      <c r="A692" s="7" t="s">
        <v>7935</v>
      </c>
      <c r="B692" s="7" t="s">
        <v>34</v>
      </c>
      <c r="C692" s="7" t="s">
        <v>7936</v>
      </c>
      <c r="D692" s="7" t="s">
        <v>986</v>
      </c>
      <c r="E692" s="7" t="s">
        <v>215</v>
      </c>
      <c r="F692" s="7" t="s">
        <v>7937</v>
      </c>
      <c r="G692" s="7" t="s">
        <v>174</v>
      </c>
      <c r="H692" s="10" t="n">
        <v>300</v>
      </c>
      <c r="I692" s="7" t="s">
        <v>69</v>
      </c>
      <c r="J692" s="7" t="s">
        <v>1747</v>
      </c>
      <c r="K692" s="7" t="s">
        <v>7938</v>
      </c>
      <c r="L692" s="7" t="s">
        <v>1777</v>
      </c>
      <c r="M692" s="7"/>
      <c r="N692" s="7" t="s">
        <v>7939</v>
      </c>
      <c r="O692" s="7" t="s">
        <v>1752</v>
      </c>
    </row>
    <row r="693" customFormat="false" ht="15" hidden="false" customHeight="false" outlineLevel="0" collapsed="false">
      <c r="A693" s="7" t="s">
        <v>7940</v>
      </c>
      <c r="B693" s="7" t="s">
        <v>34</v>
      </c>
      <c r="C693" s="7" t="s">
        <v>7941</v>
      </c>
      <c r="D693" s="7" t="s">
        <v>264</v>
      </c>
      <c r="E693" s="7" t="s">
        <v>250</v>
      </c>
      <c r="F693" s="7" t="s">
        <v>7942</v>
      </c>
      <c r="G693" s="7" t="s">
        <v>174</v>
      </c>
      <c r="H693" s="10" t="n">
        <v>400</v>
      </c>
      <c r="I693" s="7" t="s">
        <v>69</v>
      </c>
      <c r="J693" s="7" t="s">
        <v>198</v>
      </c>
      <c r="K693" s="7" t="s">
        <v>7943</v>
      </c>
      <c r="L693" s="7" t="s">
        <v>1777</v>
      </c>
      <c r="M693" s="7"/>
      <c r="N693" s="7" t="s">
        <v>7944</v>
      </c>
      <c r="O693" s="7" t="s">
        <v>7945</v>
      </c>
    </row>
    <row r="694" customFormat="false" ht="15" hidden="false" customHeight="false" outlineLevel="0" collapsed="false">
      <c r="A694" s="7" t="s">
        <v>7946</v>
      </c>
      <c r="B694" s="7" t="s">
        <v>34</v>
      </c>
      <c r="C694" s="7" t="s">
        <v>7947</v>
      </c>
      <c r="D694" s="7" t="s">
        <v>1245</v>
      </c>
      <c r="E694" s="7" t="s">
        <v>78</v>
      </c>
      <c r="F694" s="7" t="s">
        <v>7948</v>
      </c>
      <c r="G694" s="7" t="s">
        <v>174</v>
      </c>
      <c r="H694" s="10" t="n">
        <v>400</v>
      </c>
      <c r="I694" s="7" t="s">
        <v>350</v>
      </c>
      <c r="J694" s="7"/>
      <c r="K694" s="7" t="s">
        <v>7949</v>
      </c>
      <c r="L694" s="7" t="s">
        <v>3659</v>
      </c>
      <c r="M694" s="7"/>
      <c r="N694" s="7" t="s">
        <v>7950</v>
      </c>
      <c r="O694" s="7" t="s">
        <v>7951</v>
      </c>
    </row>
    <row r="695" customFormat="false" ht="15" hidden="false" customHeight="false" outlineLevel="0" collapsed="false">
      <c r="A695" s="7" t="s">
        <v>7952</v>
      </c>
      <c r="B695" s="7" t="s">
        <v>34</v>
      </c>
      <c r="C695" s="7" t="s">
        <v>3745</v>
      </c>
      <c r="D695" s="7" t="s">
        <v>7953</v>
      </c>
      <c r="E695" s="7" t="s">
        <v>250</v>
      </c>
      <c r="F695" s="7" t="s">
        <v>7954</v>
      </c>
      <c r="G695" s="7" t="s">
        <v>174</v>
      </c>
      <c r="H695" s="10" t="n">
        <v>300</v>
      </c>
      <c r="I695" s="7" t="s">
        <v>350</v>
      </c>
      <c r="J695" s="7"/>
      <c r="K695" s="7" t="s">
        <v>7955</v>
      </c>
      <c r="L695" s="7" t="s">
        <v>1777</v>
      </c>
      <c r="M695" s="7"/>
      <c r="N695" s="7" t="s">
        <v>7956</v>
      </c>
      <c r="O695" s="7" t="s">
        <v>7957</v>
      </c>
    </row>
    <row r="696" customFormat="false" ht="15" hidden="false" customHeight="false" outlineLevel="0" collapsed="false">
      <c r="A696" s="7" t="s">
        <v>7958</v>
      </c>
      <c r="B696" s="7" t="s">
        <v>34</v>
      </c>
      <c r="C696" s="7" t="s">
        <v>7959</v>
      </c>
      <c r="D696" s="7" t="s">
        <v>1599</v>
      </c>
      <c r="E696" s="7" t="s">
        <v>78</v>
      </c>
      <c r="F696" s="7" t="s">
        <v>7960</v>
      </c>
      <c r="G696" s="7" t="s">
        <v>174</v>
      </c>
      <c r="H696" s="10" t="n">
        <v>100</v>
      </c>
      <c r="I696" s="7" t="s">
        <v>69</v>
      </c>
      <c r="J696" s="7" t="s">
        <v>1747</v>
      </c>
      <c r="K696" s="7" t="s">
        <v>7961</v>
      </c>
      <c r="L696" s="7" t="s">
        <v>7962</v>
      </c>
      <c r="M696" s="7"/>
      <c r="N696" s="7" t="s">
        <v>7963</v>
      </c>
      <c r="O696" s="7" t="s">
        <v>1752</v>
      </c>
    </row>
    <row r="697" customFormat="false" ht="15" hidden="false" customHeight="false" outlineLevel="0" collapsed="false">
      <c r="A697" s="7" t="s">
        <v>7964</v>
      </c>
      <c r="B697" s="7" t="s">
        <v>34</v>
      </c>
      <c r="C697" s="7" t="s">
        <v>3647</v>
      </c>
      <c r="D697" s="7" t="s">
        <v>1202</v>
      </c>
      <c r="E697" s="7" t="s">
        <v>296</v>
      </c>
      <c r="F697" s="7" t="s">
        <v>7965</v>
      </c>
      <c r="G697" s="7" t="s">
        <v>174</v>
      </c>
      <c r="H697" s="10" t="n">
        <v>1500</v>
      </c>
      <c r="I697" s="7" t="s">
        <v>69</v>
      </c>
      <c r="J697" s="7" t="s">
        <v>1747</v>
      </c>
      <c r="K697" s="7"/>
      <c r="L697" s="7" t="s">
        <v>7966</v>
      </c>
      <c r="M697" s="7"/>
      <c r="N697" s="7" t="s">
        <v>7967</v>
      </c>
      <c r="O697" s="7" t="s">
        <v>1752</v>
      </c>
    </row>
    <row r="698" customFormat="false" ht="15" hidden="false" customHeight="false" outlineLevel="0" collapsed="false">
      <c r="A698" s="7" t="s">
        <v>7968</v>
      </c>
      <c r="B698" s="7" t="s">
        <v>34</v>
      </c>
      <c r="C698" s="7" t="s">
        <v>7969</v>
      </c>
      <c r="D698" s="7" t="s">
        <v>986</v>
      </c>
      <c r="E698" s="7" t="s">
        <v>215</v>
      </c>
      <c r="F698" s="7" t="s">
        <v>7970</v>
      </c>
      <c r="G698" s="7" t="s">
        <v>174</v>
      </c>
      <c r="H698" s="10" t="n">
        <v>300</v>
      </c>
      <c r="I698" s="7" t="s">
        <v>69</v>
      </c>
      <c r="J698" s="7" t="s">
        <v>1775</v>
      </c>
      <c r="K698" s="7" t="s">
        <v>7971</v>
      </c>
      <c r="L698" s="7" t="s">
        <v>7972</v>
      </c>
      <c r="M698" s="7"/>
      <c r="N698" s="7" t="s">
        <v>7973</v>
      </c>
      <c r="O698" s="7" t="s">
        <v>7974</v>
      </c>
    </row>
    <row r="699" customFormat="false" ht="15" hidden="false" customHeight="false" outlineLevel="0" collapsed="false">
      <c r="A699" s="7" t="s">
        <v>7975</v>
      </c>
      <c r="B699" s="7" t="s">
        <v>34</v>
      </c>
      <c r="C699" s="7" t="s">
        <v>7976</v>
      </c>
      <c r="D699" s="7" t="s">
        <v>1202</v>
      </c>
      <c r="E699" s="7" t="s">
        <v>296</v>
      </c>
      <c r="F699" s="7" t="s">
        <v>7977</v>
      </c>
      <c r="G699" s="7" t="s">
        <v>258</v>
      </c>
      <c r="H699" s="10" t="n">
        <v>300</v>
      </c>
      <c r="I699" s="7" t="s">
        <v>350</v>
      </c>
      <c r="J699" s="7"/>
      <c r="K699" s="7" t="s">
        <v>7978</v>
      </c>
      <c r="L699" s="7" t="s">
        <v>1777</v>
      </c>
      <c r="M699" s="7"/>
      <c r="N699" s="7" t="s">
        <v>7979</v>
      </c>
      <c r="O699" s="7" t="s">
        <v>7980</v>
      </c>
    </row>
    <row r="700" customFormat="false" ht="15" hidden="false" customHeight="false" outlineLevel="0" collapsed="false">
      <c r="A700" s="7" t="s">
        <v>7981</v>
      </c>
      <c r="B700" s="7" t="s">
        <v>34</v>
      </c>
      <c r="C700" s="7" t="s">
        <v>7982</v>
      </c>
      <c r="D700" s="7" t="s">
        <v>1245</v>
      </c>
      <c r="E700" s="7" t="s">
        <v>78</v>
      </c>
      <c r="F700" s="7" t="s">
        <v>7983</v>
      </c>
      <c r="G700" s="7" t="s">
        <v>258</v>
      </c>
      <c r="H700" s="10" t="n">
        <v>400</v>
      </c>
      <c r="I700" s="7" t="s">
        <v>350</v>
      </c>
      <c r="J700" s="7"/>
      <c r="K700" s="7" t="s">
        <v>7984</v>
      </c>
      <c r="L700" s="7" t="s">
        <v>7985</v>
      </c>
      <c r="M700" s="7"/>
      <c r="N700" s="7" t="s">
        <v>7986</v>
      </c>
      <c r="O700" s="7" t="s">
        <v>7987</v>
      </c>
    </row>
    <row r="701" customFormat="false" ht="15" hidden="false" customHeight="false" outlineLevel="0" collapsed="false">
      <c r="A701" s="7" t="s">
        <v>7988</v>
      </c>
      <c r="B701" s="7" t="s">
        <v>34</v>
      </c>
      <c r="C701" s="7" t="s">
        <v>7989</v>
      </c>
      <c r="D701" s="7" t="s">
        <v>609</v>
      </c>
      <c r="E701" s="7" t="s">
        <v>610</v>
      </c>
      <c r="F701" s="7" t="s">
        <v>7990</v>
      </c>
      <c r="G701" s="7" t="s">
        <v>258</v>
      </c>
      <c r="H701" s="10" t="n">
        <v>150</v>
      </c>
      <c r="I701" s="7" t="s">
        <v>350</v>
      </c>
      <c r="J701" s="7"/>
      <c r="K701" s="7" t="s">
        <v>7991</v>
      </c>
      <c r="L701" s="7" t="s">
        <v>7847</v>
      </c>
      <c r="M701" s="7"/>
      <c r="N701" s="7" t="s">
        <v>7992</v>
      </c>
      <c r="O701" s="7" t="s">
        <v>7993</v>
      </c>
    </row>
    <row r="702" customFormat="false" ht="15" hidden="false" customHeight="false" outlineLevel="0" collapsed="false">
      <c r="A702" s="7" t="s">
        <v>7994</v>
      </c>
      <c r="B702" s="7" t="s">
        <v>35</v>
      </c>
      <c r="C702" s="7" t="s">
        <v>7995</v>
      </c>
      <c r="D702" s="7" t="s">
        <v>264</v>
      </c>
      <c r="E702" s="7" t="s">
        <v>250</v>
      </c>
      <c r="F702" s="7" t="s">
        <v>7996</v>
      </c>
      <c r="G702" s="7" t="s">
        <v>68</v>
      </c>
      <c r="H702" s="10" t="n">
        <v>3500</v>
      </c>
      <c r="I702" s="7" t="s">
        <v>386</v>
      </c>
      <c r="J702" s="7"/>
      <c r="K702" s="7"/>
      <c r="L702" s="7" t="s">
        <v>1826</v>
      </c>
      <c r="M702" s="7"/>
      <c r="N702" s="7" t="s">
        <v>7997</v>
      </c>
      <c r="O702" s="7" t="s">
        <v>1928</v>
      </c>
    </row>
    <row r="703" customFormat="false" ht="15" hidden="false" customHeight="false" outlineLevel="0" collapsed="false">
      <c r="A703" s="7" t="s">
        <v>7998</v>
      </c>
      <c r="B703" s="7" t="s">
        <v>35</v>
      </c>
      <c r="C703" s="7" t="s">
        <v>7999</v>
      </c>
      <c r="D703" s="7" t="s">
        <v>986</v>
      </c>
      <c r="E703" s="7" t="s">
        <v>215</v>
      </c>
      <c r="F703" s="7" t="s">
        <v>8000</v>
      </c>
      <c r="G703" s="7" t="s">
        <v>68</v>
      </c>
      <c r="H703" s="10" t="n">
        <v>2000</v>
      </c>
      <c r="I703" s="7" t="s">
        <v>377</v>
      </c>
      <c r="J703" s="7"/>
      <c r="K703" s="7"/>
      <c r="L703" s="7" t="s">
        <v>1855</v>
      </c>
      <c r="M703" s="7"/>
      <c r="N703" s="7" t="s">
        <v>8001</v>
      </c>
      <c r="O703" s="7" t="s">
        <v>8002</v>
      </c>
    </row>
    <row r="704" customFormat="false" ht="15" hidden="false" customHeight="false" outlineLevel="0" collapsed="false">
      <c r="A704" s="7" t="s">
        <v>8003</v>
      </c>
      <c r="B704" s="7" t="s">
        <v>35</v>
      </c>
      <c r="C704" s="7" t="s">
        <v>8004</v>
      </c>
      <c r="D704" s="7" t="s">
        <v>8005</v>
      </c>
      <c r="E704" s="7" t="s">
        <v>147</v>
      </c>
      <c r="F704" s="7" t="s">
        <v>8006</v>
      </c>
      <c r="G704" s="7" t="s">
        <v>149</v>
      </c>
      <c r="H704" s="10" t="n">
        <v>1500</v>
      </c>
      <c r="I704" s="7" t="s">
        <v>69</v>
      </c>
      <c r="J704" s="7" t="s">
        <v>2100</v>
      </c>
      <c r="K704" s="7"/>
      <c r="L704" s="7" t="s">
        <v>1855</v>
      </c>
      <c r="M704" s="7"/>
      <c r="N704" s="7"/>
      <c r="O704" s="7" t="s">
        <v>2104</v>
      </c>
    </row>
    <row r="705" customFormat="false" ht="15" hidden="false" customHeight="false" outlineLevel="0" collapsed="false">
      <c r="A705" s="7" t="s">
        <v>8007</v>
      </c>
      <c r="B705" s="7" t="s">
        <v>35</v>
      </c>
      <c r="C705" s="7" t="s">
        <v>8008</v>
      </c>
      <c r="D705" s="7" t="s">
        <v>778</v>
      </c>
      <c r="E705" s="7" t="s">
        <v>779</v>
      </c>
      <c r="F705" s="7" t="s">
        <v>8009</v>
      </c>
      <c r="G705" s="7" t="s">
        <v>149</v>
      </c>
      <c r="H705" s="10" t="n">
        <v>1100</v>
      </c>
      <c r="I705" s="7" t="s">
        <v>377</v>
      </c>
      <c r="J705" s="7"/>
      <c r="K705" s="7" t="s">
        <v>8010</v>
      </c>
      <c r="L705" s="7" t="s">
        <v>1855</v>
      </c>
      <c r="M705" s="7"/>
      <c r="N705" s="7" t="s">
        <v>8011</v>
      </c>
      <c r="O705" s="7" t="s">
        <v>8012</v>
      </c>
    </row>
    <row r="706" customFormat="false" ht="15" hidden="false" customHeight="false" outlineLevel="0" collapsed="false">
      <c r="A706" s="7" t="s">
        <v>8013</v>
      </c>
      <c r="B706" s="7" t="s">
        <v>35</v>
      </c>
      <c r="C706" s="7" t="s">
        <v>8014</v>
      </c>
      <c r="D706" s="7" t="s">
        <v>970</v>
      </c>
      <c r="E706" s="7" t="s">
        <v>250</v>
      </c>
      <c r="F706" s="7" t="s">
        <v>8015</v>
      </c>
      <c r="G706" s="7" t="s">
        <v>149</v>
      </c>
      <c r="H706" s="10" t="n">
        <v>1300</v>
      </c>
      <c r="I706" s="7" t="s">
        <v>69</v>
      </c>
      <c r="J706" s="7" t="s">
        <v>8016</v>
      </c>
      <c r="K706" s="7"/>
      <c r="L706" s="7" t="s">
        <v>1807</v>
      </c>
      <c r="M706" s="7"/>
      <c r="N706" s="7" t="s">
        <v>8017</v>
      </c>
      <c r="O706" s="7" t="s">
        <v>1928</v>
      </c>
    </row>
    <row r="707" customFormat="false" ht="15" hidden="false" customHeight="false" outlineLevel="0" collapsed="false">
      <c r="A707" s="7" t="s">
        <v>8018</v>
      </c>
      <c r="B707" s="7" t="s">
        <v>35</v>
      </c>
      <c r="C707" s="7" t="s">
        <v>8019</v>
      </c>
      <c r="D707" s="7" t="s">
        <v>4042</v>
      </c>
      <c r="E707" s="7" t="s">
        <v>206</v>
      </c>
      <c r="F707" s="7" t="s">
        <v>8020</v>
      </c>
      <c r="G707" s="7" t="s">
        <v>174</v>
      </c>
      <c r="H707" s="10" t="n">
        <v>800</v>
      </c>
      <c r="I707" s="7" t="s">
        <v>69</v>
      </c>
      <c r="J707" s="7" t="s">
        <v>1924</v>
      </c>
      <c r="K707" s="7" t="s">
        <v>8021</v>
      </c>
      <c r="L707" s="7" t="s">
        <v>1855</v>
      </c>
      <c r="M707" s="7"/>
      <c r="N707" s="7" t="s">
        <v>8022</v>
      </c>
      <c r="O707" s="7" t="s">
        <v>1928</v>
      </c>
    </row>
    <row r="708" customFormat="false" ht="15" hidden="false" customHeight="false" outlineLevel="0" collapsed="false">
      <c r="A708" s="7" t="s">
        <v>8023</v>
      </c>
      <c r="B708" s="7" t="s">
        <v>35</v>
      </c>
      <c r="C708" s="7" t="s">
        <v>8024</v>
      </c>
      <c r="D708" s="7" t="s">
        <v>650</v>
      </c>
      <c r="E708" s="7" t="s">
        <v>348</v>
      </c>
      <c r="F708" s="7" t="s">
        <v>8025</v>
      </c>
      <c r="G708" s="7" t="s">
        <v>174</v>
      </c>
      <c r="H708" s="10" t="n">
        <v>600</v>
      </c>
      <c r="I708" s="7" t="s">
        <v>69</v>
      </c>
      <c r="J708" s="7" t="s">
        <v>1460</v>
      </c>
      <c r="K708" s="7" t="s">
        <v>8026</v>
      </c>
      <c r="L708" s="7" t="s">
        <v>1855</v>
      </c>
      <c r="M708" s="7"/>
      <c r="N708" s="7" t="s">
        <v>8027</v>
      </c>
      <c r="O708" s="7" t="s">
        <v>1843</v>
      </c>
    </row>
    <row r="709" customFormat="false" ht="15" hidden="false" customHeight="false" outlineLevel="0" collapsed="false">
      <c r="A709" s="7" t="s">
        <v>8028</v>
      </c>
      <c r="B709" s="7" t="s">
        <v>35</v>
      </c>
      <c r="C709" s="7" t="s">
        <v>1986</v>
      </c>
      <c r="D709" s="7" t="s">
        <v>264</v>
      </c>
      <c r="E709" s="7" t="s">
        <v>250</v>
      </c>
      <c r="F709" s="7" t="s">
        <v>8029</v>
      </c>
      <c r="G709" s="7" t="s">
        <v>174</v>
      </c>
      <c r="H709" s="10" t="n">
        <v>600</v>
      </c>
      <c r="I709" s="7" t="s">
        <v>377</v>
      </c>
      <c r="J709" s="7"/>
      <c r="K709" s="7" t="s">
        <v>8030</v>
      </c>
      <c r="L709" s="7" t="s">
        <v>1855</v>
      </c>
      <c r="M709" s="7"/>
      <c r="N709" s="7" t="s">
        <v>8031</v>
      </c>
      <c r="O709" s="7" t="s">
        <v>8032</v>
      </c>
    </row>
    <row r="710" customFormat="false" ht="15" hidden="false" customHeight="false" outlineLevel="0" collapsed="false">
      <c r="A710" s="7" t="s">
        <v>8033</v>
      </c>
      <c r="B710" s="7" t="s">
        <v>35</v>
      </c>
      <c r="C710" s="7" t="s">
        <v>8034</v>
      </c>
      <c r="D710" s="7" t="s">
        <v>2440</v>
      </c>
      <c r="E710" s="7" t="s">
        <v>97</v>
      </c>
      <c r="F710" s="7" t="s">
        <v>8035</v>
      </c>
      <c r="G710" s="7" t="s">
        <v>174</v>
      </c>
      <c r="H710" s="10" t="n">
        <v>700</v>
      </c>
      <c r="I710" s="7" t="s">
        <v>69</v>
      </c>
      <c r="J710" s="7" t="s">
        <v>8036</v>
      </c>
      <c r="K710" s="7" t="s">
        <v>8037</v>
      </c>
      <c r="L710" s="7" t="s">
        <v>1855</v>
      </c>
      <c r="M710" s="7"/>
      <c r="N710" s="7"/>
      <c r="O710" s="7" t="s">
        <v>8038</v>
      </c>
    </row>
    <row r="711" customFormat="false" ht="15" hidden="false" customHeight="false" outlineLevel="0" collapsed="false">
      <c r="A711" s="7" t="s">
        <v>8039</v>
      </c>
      <c r="B711" s="7" t="s">
        <v>35</v>
      </c>
      <c r="C711" s="7" t="s">
        <v>8040</v>
      </c>
      <c r="D711" s="7" t="s">
        <v>2440</v>
      </c>
      <c r="E711" s="7" t="s">
        <v>97</v>
      </c>
      <c r="F711" s="7" t="s">
        <v>8041</v>
      </c>
      <c r="G711" s="7" t="s">
        <v>174</v>
      </c>
      <c r="H711" s="10" t="n">
        <v>600</v>
      </c>
      <c r="I711" s="7" t="s">
        <v>350</v>
      </c>
      <c r="J711" s="7"/>
      <c r="K711" s="7" t="s">
        <v>8042</v>
      </c>
      <c r="L711" s="7" t="s">
        <v>1807</v>
      </c>
      <c r="M711" s="7"/>
      <c r="N711" s="7" t="s">
        <v>8043</v>
      </c>
      <c r="O711" s="7" t="s">
        <v>2096</v>
      </c>
    </row>
    <row r="712" customFormat="false" ht="15" hidden="false" customHeight="false" outlineLevel="0" collapsed="false">
      <c r="A712" s="7" t="s">
        <v>8044</v>
      </c>
      <c r="B712" s="7" t="s">
        <v>35</v>
      </c>
      <c r="C712" s="7" t="s">
        <v>8045</v>
      </c>
      <c r="D712" s="7" t="s">
        <v>427</v>
      </c>
      <c r="E712" s="7" t="s">
        <v>428</v>
      </c>
      <c r="F712" s="7" t="s">
        <v>8046</v>
      </c>
      <c r="G712" s="7" t="s">
        <v>174</v>
      </c>
      <c r="H712" s="10" t="n">
        <v>600</v>
      </c>
      <c r="I712" s="7" t="s">
        <v>69</v>
      </c>
      <c r="J712" s="7" t="s">
        <v>1924</v>
      </c>
      <c r="K712" s="7"/>
      <c r="L712" s="7" t="s">
        <v>1855</v>
      </c>
      <c r="M712" s="7"/>
      <c r="N712" s="7"/>
      <c r="O712" s="7" t="s">
        <v>1928</v>
      </c>
    </row>
    <row r="713" customFormat="false" ht="15" hidden="false" customHeight="false" outlineLevel="0" collapsed="false">
      <c r="A713" s="7" t="s">
        <v>8047</v>
      </c>
      <c r="B713" s="7" t="s">
        <v>35</v>
      </c>
      <c r="C713" s="7" t="s">
        <v>8048</v>
      </c>
      <c r="D713" s="7" t="s">
        <v>8049</v>
      </c>
      <c r="E713" s="7" t="s">
        <v>600</v>
      </c>
      <c r="F713" s="7" t="s">
        <v>8050</v>
      </c>
      <c r="G713" s="7" t="s">
        <v>174</v>
      </c>
      <c r="H713" s="10" t="n">
        <v>900</v>
      </c>
      <c r="I713" s="7" t="s">
        <v>377</v>
      </c>
      <c r="J713" s="7"/>
      <c r="K713" s="7" t="s">
        <v>8051</v>
      </c>
      <c r="L713" s="7" t="s">
        <v>1855</v>
      </c>
      <c r="M713" s="7"/>
      <c r="N713" s="7" t="s">
        <v>8052</v>
      </c>
      <c r="O713" s="7" t="s">
        <v>8053</v>
      </c>
    </row>
    <row r="714" customFormat="false" ht="15" hidden="false" customHeight="false" outlineLevel="0" collapsed="false">
      <c r="A714" s="7" t="s">
        <v>8054</v>
      </c>
      <c r="B714" s="7" t="s">
        <v>35</v>
      </c>
      <c r="C714" s="7" t="s">
        <v>8055</v>
      </c>
      <c r="D714" s="7" t="s">
        <v>65</v>
      </c>
      <c r="E714" s="7" t="s">
        <v>66</v>
      </c>
      <c r="F714" s="7" t="s">
        <v>8056</v>
      </c>
      <c r="G714" s="7" t="s">
        <v>174</v>
      </c>
      <c r="H714" s="10" t="n">
        <v>800</v>
      </c>
      <c r="I714" s="7" t="s">
        <v>69</v>
      </c>
      <c r="J714" s="7" t="s">
        <v>8057</v>
      </c>
      <c r="K714" s="7" t="s">
        <v>8058</v>
      </c>
      <c r="L714" s="7" t="s">
        <v>1855</v>
      </c>
      <c r="M714" s="7"/>
      <c r="N714" s="7"/>
      <c r="O714" s="7" t="s">
        <v>8059</v>
      </c>
    </row>
    <row r="715" customFormat="false" ht="15" hidden="false" customHeight="false" outlineLevel="0" collapsed="false">
      <c r="A715" s="7" t="s">
        <v>8060</v>
      </c>
      <c r="B715" s="7" t="s">
        <v>36</v>
      </c>
      <c r="C715" s="7" t="s">
        <v>8061</v>
      </c>
      <c r="D715" s="7" t="s">
        <v>5121</v>
      </c>
      <c r="E715" s="7" t="s">
        <v>338</v>
      </c>
      <c r="F715" s="7" t="s">
        <v>8062</v>
      </c>
      <c r="G715" s="7" t="s">
        <v>68</v>
      </c>
      <c r="H715" s="10" t="n">
        <v>4000</v>
      </c>
      <c r="I715" s="7" t="s">
        <v>3239</v>
      </c>
      <c r="J715" s="7"/>
      <c r="K715" s="7" t="s">
        <v>8063</v>
      </c>
      <c r="L715" s="7" t="s">
        <v>4289</v>
      </c>
      <c r="M715" s="7"/>
      <c r="N715" s="7" t="s">
        <v>8064</v>
      </c>
      <c r="O715" s="7" t="s">
        <v>8065</v>
      </c>
    </row>
    <row r="716" customFormat="false" ht="15" hidden="false" customHeight="false" outlineLevel="0" collapsed="false">
      <c r="A716" s="7" t="s">
        <v>8066</v>
      </c>
      <c r="B716" s="7" t="s">
        <v>36</v>
      </c>
      <c r="C716" s="7" t="s">
        <v>8067</v>
      </c>
      <c r="D716" s="7" t="s">
        <v>4421</v>
      </c>
      <c r="E716" s="7" t="s">
        <v>1030</v>
      </c>
      <c r="F716" s="7" t="s">
        <v>8068</v>
      </c>
      <c r="G716" s="7" t="s">
        <v>68</v>
      </c>
      <c r="H716" s="10" t="n">
        <v>1000</v>
      </c>
      <c r="I716" s="7" t="s">
        <v>350</v>
      </c>
      <c r="J716" s="7"/>
      <c r="K716" s="7" t="s">
        <v>8069</v>
      </c>
      <c r="L716" s="7" t="s">
        <v>4289</v>
      </c>
      <c r="M716" s="7"/>
      <c r="N716" s="7" t="s">
        <v>8070</v>
      </c>
      <c r="O716" s="7" t="s">
        <v>8065</v>
      </c>
    </row>
    <row r="717" customFormat="false" ht="15" hidden="false" customHeight="false" outlineLevel="0" collapsed="false">
      <c r="A717" s="7" t="s">
        <v>8071</v>
      </c>
      <c r="B717" s="7" t="s">
        <v>36</v>
      </c>
      <c r="C717" s="7" t="s">
        <v>8072</v>
      </c>
      <c r="D717" s="7" t="s">
        <v>8073</v>
      </c>
      <c r="E717" s="7" t="s">
        <v>155</v>
      </c>
      <c r="F717" s="7" t="s">
        <v>8074</v>
      </c>
      <c r="G717" s="7" t="s">
        <v>68</v>
      </c>
      <c r="H717" s="10" t="n">
        <v>5000</v>
      </c>
      <c r="I717" s="7" t="s">
        <v>386</v>
      </c>
      <c r="J717" s="7"/>
      <c r="K717" s="7"/>
      <c r="L717" s="7" t="s">
        <v>3224</v>
      </c>
      <c r="M717" s="7"/>
      <c r="N717" s="7" t="s">
        <v>8075</v>
      </c>
      <c r="O717" s="7" t="s">
        <v>2334</v>
      </c>
    </row>
    <row r="718" customFormat="false" ht="15" hidden="false" customHeight="false" outlineLevel="0" collapsed="false">
      <c r="A718" s="7" t="s">
        <v>8076</v>
      </c>
      <c r="B718" s="7" t="s">
        <v>36</v>
      </c>
      <c r="C718" s="7" t="s">
        <v>8077</v>
      </c>
      <c r="D718" s="7" t="s">
        <v>970</v>
      </c>
      <c r="E718" s="7" t="s">
        <v>250</v>
      </c>
      <c r="F718" s="7" t="s">
        <v>8078</v>
      </c>
      <c r="G718" s="7" t="s">
        <v>68</v>
      </c>
      <c r="H718" s="10" t="n">
        <v>2200</v>
      </c>
      <c r="I718" s="7" t="s">
        <v>350</v>
      </c>
      <c r="J718" s="7"/>
      <c r="K718" s="7" t="s">
        <v>8079</v>
      </c>
      <c r="L718" s="7" t="s">
        <v>2339</v>
      </c>
      <c r="M718" s="7"/>
      <c r="N718" s="7" t="s">
        <v>2349</v>
      </c>
      <c r="O718" s="7" t="s">
        <v>2334</v>
      </c>
    </row>
    <row r="719" customFormat="false" ht="15" hidden="false" customHeight="false" outlineLevel="0" collapsed="false">
      <c r="A719" s="7" t="s">
        <v>8080</v>
      </c>
      <c r="B719" s="7" t="s">
        <v>36</v>
      </c>
      <c r="C719" s="7" t="s">
        <v>2328</v>
      </c>
      <c r="D719" s="7" t="s">
        <v>1690</v>
      </c>
      <c r="E719" s="7" t="s">
        <v>137</v>
      </c>
      <c r="F719" s="7" t="s">
        <v>8081</v>
      </c>
      <c r="G719" s="7" t="s">
        <v>68</v>
      </c>
      <c r="H719" s="10" t="n">
        <v>400</v>
      </c>
      <c r="I719" s="7" t="s">
        <v>350</v>
      </c>
      <c r="J719" s="7"/>
      <c r="K719" s="7"/>
      <c r="L719" s="7" t="s">
        <v>2331</v>
      </c>
      <c r="M719" s="7"/>
      <c r="N719" s="7" t="s">
        <v>8082</v>
      </c>
      <c r="O719" s="7" t="s">
        <v>2334</v>
      </c>
    </row>
    <row r="720" customFormat="false" ht="15" hidden="false" customHeight="false" outlineLevel="0" collapsed="false">
      <c r="A720" s="7" t="s">
        <v>8083</v>
      </c>
      <c r="B720" s="7" t="s">
        <v>36</v>
      </c>
      <c r="C720" s="7" t="s">
        <v>8084</v>
      </c>
      <c r="D720" s="7" t="s">
        <v>8085</v>
      </c>
      <c r="E720" s="7" t="s">
        <v>1081</v>
      </c>
      <c r="F720" s="7" t="s">
        <v>8086</v>
      </c>
      <c r="G720" s="7" t="s">
        <v>68</v>
      </c>
      <c r="H720" s="10" t="n">
        <v>4500</v>
      </c>
      <c r="I720" s="7" t="s">
        <v>377</v>
      </c>
      <c r="J720" s="7"/>
      <c r="K720" s="7" t="s">
        <v>8087</v>
      </c>
      <c r="L720" s="7" t="s">
        <v>4289</v>
      </c>
      <c r="M720" s="7"/>
      <c r="N720" s="7" t="s">
        <v>8088</v>
      </c>
      <c r="O720" s="7" t="s">
        <v>8065</v>
      </c>
    </row>
    <row r="721" customFormat="false" ht="15" hidden="false" customHeight="false" outlineLevel="0" collapsed="false">
      <c r="A721" s="7" t="s">
        <v>8089</v>
      </c>
      <c r="B721" s="7" t="s">
        <v>36</v>
      </c>
      <c r="C721" s="7" t="s">
        <v>8090</v>
      </c>
      <c r="D721" s="7" t="s">
        <v>4408</v>
      </c>
      <c r="E721" s="7" t="s">
        <v>1081</v>
      </c>
      <c r="F721" s="7" t="s">
        <v>8091</v>
      </c>
      <c r="G721" s="7" t="s">
        <v>68</v>
      </c>
      <c r="H721" s="10" t="n">
        <v>3500</v>
      </c>
      <c r="I721" s="7" t="s">
        <v>350</v>
      </c>
      <c r="J721" s="7"/>
      <c r="K721" s="7" t="s">
        <v>8092</v>
      </c>
      <c r="L721" s="7" t="s">
        <v>4289</v>
      </c>
      <c r="M721" s="7"/>
      <c r="N721" s="7" t="s">
        <v>8093</v>
      </c>
      <c r="O721" s="7" t="s">
        <v>8065</v>
      </c>
    </row>
    <row r="722" customFormat="false" ht="15" hidden="false" customHeight="false" outlineLevel="0" collapsed="false">
      <c r="A722" s="7" t="s">
        <v>8094</v>
      </c>
      <c r="B722" s="7" t="s">
        <v>36</v>
      </c>
      <c r="C722" s="7" t="s">
        <v>8095</v>
      </c>
      <c r="D722" s="7" t="s">
        <v>8096</v>
      </c>
      <c r="E722" s="7" t="s">
        <v>779</v>
      </c>
      <c r="F722" s="7" t="s">
        <v>8097</v>
      </c>
      <c r="G722" s="7" t="s">
        <v>68</v>
      </c>
      <c r="H722" s="10" t="n">
        <v>3000</v>
      </c>
      <c r="I722" s="7" t="s">
        <v>350</v>
      </c>
      <c r="J722" s="7"/>
      <c r="K722" s="7"/>
      <c r="L722" s="7" t="s">
        <v>4289</v>
      </c>
      <c r="M722" s="7"/>
      <c r="N722" s="7" t="s">
        <v>8098</v>
      </c>
      <c r="O722" s="7" t="s">
        <v>8065</v>
      </c>
    </row>
    <row r="723" customFormat="false" ht="15" hidden="false" customHeight="false" outlineLevel="0" collapsed="false">
      <c r="A723" s="7" t="s">
        <v>8099</v>
      </c>
      <c r="B723" s="7" t="s">
        <v>36</v>
      </c>
      <c r="C723" s="7" t="s">
        <v>8100</v>
      </c>
      <c r="D723" s="7" t="s">
        <v>3073</v>
      </c>
      <c r="E723" s="7" t="s">
        <v>172</v>
      </c>
      <c r="F723" s="7" t="s">
        <v>8101</v>
      </c>
      <c r="G723" s="7" t="s">
        <v>68</v>
      </c>
      <c r="H723" s="10" t="n">
        <v>700</v>
      </c>
      <c r="I723" s="7" t="s">
        <v>350</v>
      </c>
      <c r="J723" s="7"/>
      <c r="K723" s="7"/>
      <c r="L723" s="7" t="s">
        <v>2331</v>
      </c>
      <c r="M723" s="7"/>
      <c r="N723" s="7" t="s">
        <v>8102</v>
      </c>
      <c r="O723" s="7" t="s">
        <v>2334</v>
      </c>
    </row>
    <row r="724" customFormat="false" ht="15" hidden="false" customHeight="false" outlineLevel="0" collapsed="false">
      <c r="A724" s="7" t="s">
        <v>8103</v>
      </c>
      <c r="B724" s="7" t="s">
        <v>36</v>
      </c>
      <c r="C724" s="7" t="s">
        <v>8090</v>
      </c>
      <c r="D724" s="7" t="s">
        <v>8104</v>
      </c>
      <c r="E724" s="7" t="s">
        <v>4713</v>
      </c>
      <c r="F724" s="7" t="s">
        <v>8105</v>
      </c>
      <c r="G724" s="7" t="s">
        <v>68</v>
      </c>
      <c r="H724" s="10" t="n">
        <v>3500</v>
      </c>
      <c r="I724" s="7" t="s">
        <v>350</v>
      </c>
      <c r="J724" s="7"/>
      <c r="K724" s="7" t="s">
        <v>8106</v>
      </c>
      <c r="L724" s="7" t="s">
        <v>4289</v>
      </c>
      <c r="M724" s="7"/>
      <c r="N724" s="7" t="s">
        <v>8107</v>
      </c>
      <c r="O724" s="7" t="s">
        <v>8065</v>
      </c>
    </row>
    <row r="725" customFormat="false" ht="15" hidden="false" customHeight="false" outlineLevel="0" collapsed="false">
      <c r="A725" s="7" t="s">
        <v>8108</v>
      </c>
      <c r="B725" s="7" t="s">
        <v>36</v>
      </c>
      <c r="C725" s="7" t="s">
        <v>8109</v>
      </c>
      <c r="D725" s="7" t="s">
        <v>8110</v>
      </c>
      <c r="E725" s="7" t="s">
        <v>113</v>
      </c>
      <c r="F725" s="7" t="s">
        <v>8111</v>
      </c>
      <c r="G725" s="7" t="s">
        <v>68</v>
      </c>
      <c r="H725" s="10" t="n">
        <v>300</v>
      </c>
      <c r="I725" s="7" t="s">
        <v>350</v>
      </c>
      <c r="J725" s="7"/>
      <c r="K725" s="7"/>
      <c r="L725" s="7" t="s">
        <v>8112</v>
      </c>
      <c r="M725" s="7"/>
      <c r="N725" s="7" t="s">
        <v>8113</v>
      </c>
      <c r="O725" s="7" t="s">
        <v>2334</v>
      </c>
    </row>
    <row r="726" customFormat="false" ht="15" hidden="false" customHeight="false" outlineLevel="0" collapsed="false">
      <c r="A726" s="7" t="s">
        <v>8114</v>
      </c>
      <c r="B726" s="7" t="s">
        <v>36</v>
      </c>
      <c r="C726" s="7" t="s">
        <v>8115</v>
      </c>
      <c r="D726" s="7" t="s">
        <v>6378</v>
      </c>
      <c r="E726" s="7" t="s">
        <v>338</v>
      </c>
      <c r="F726" s="7" t="s">
        <v>8116</v>
      </c>
      <c r="G726" s="7" t="s">
        <v>68</v>
      </c>
      <c r="H726" s="10" t="n">
        <v>1000</v>
      </c>
      <c r="I726" s="7" t="s">
        <v>350</v>
      </c>
      <c r="J726" s="7"/>
      <c r="K726" s="7" t="s">
        <v>8117</v>
      </c>
      <c r="L726" s="7" t="s">
        <v>2339</v>
      </c>
      <c r="M726" s="7"/>
      <c r="N726" s="7" t="s">
        <v>8118</v>
      </c>
      <c r="O726" s="7" t="s">
        <v>8119</v>
      </c>
    </row>
    <row r="727" customFormat="false" ht="15" hidden="false" customHeight="false" outlineLevel="0" collapsed="false">
      <c r="A727" s="7" t="s">
        <v>8120</v>
      </c>
      <c r="B727" s="7" t="s">
        <v>36</v>
      </c>
      <c r="C727" s="7" t="s">
        <v>8121</v>
      </c>
      <c r="D727" s="7" t="s">
        <v>8122</v>
      </c>
      <c r="E727" s="7" t="s">
        <v>137</v>
      </c>
      <c r="F727" s="7" t="s">
        <v>8123</v>
      </c>
      <c r="G727" s="7" t="s">
        <v>68</v>
      </c>
      <c r="H727" s="10" t="n">
        <v>3500</v>
      </c>
      <c r="I727" s="7" t="s">
        <v>377</v>
      </c>
      <c r="J727" s="7"/>
      <c r="K727" s="7" t="s">
        <v>8124</v>
      </c>
      <c r="L727" s="7" t="s">
        <v>4289</v>
      </c>
      <c r="M727" s="7"/>
      <c r="N727" s="7" t="s">
        <v>8125</v>
      </c>
      <c r="O727" s="7" t="s">
        <v>8065</v>
      </c>
    </row>
    <row r="728" customFormat="false" ht="15" hidden="false" customHeight="false" outlineLevel="0" collapsed="false">
      <c r="A728" s="7" t="s">
        <v>8126</v>
      </c>
      <c r="B728" s="7" t="s">
        <v>36</v>
      </c>
      <c r="C728" s="7" t="s">
        <v>8100</v>
      </c>
      <c r="D728" s="7" t="s">
        <v>316</v>
      </c>
      <c r="E728" s="7" t="s">
        <v>105</v>
      </c>
      <c r="F728" s="7" t="s">
        <v>8127</v>
      </c>
      <c r="G728" s="7" t="s">
        <v>68</v>
      </c>
      <c r="H728" s="10" t="n">
        <v>600</v>
      </c>
      <c r="I728" s="7" t="s">
        <v>350</v>
      </c>
      <c r="J728" s="7"/>
      <c r="K728" s="7" t="s">
        <v>8128</v>
      </c>
      <c r="L728" s="7" t="s">
        <v>2331</v>
      </c>
      <c r="M728" s="7"/>
      <c r="N728" s="7" t="s">
        <v>8129</v>
      </c>
      <c r="O728" s="7" t="s">
        <v>2334</v>
      </c>
    </row>
    <row r="729" customFormat="false" ht="15" hidden="false" customHeight="false" outlineLevel="0" collapsed="false">
      <c r="A729" s="7" t="s">
        <v>8130</v>
      </c>
      <c r="B729" s="7" t="s">
        <v>36</v>
      </c>
      <c r="C729" s="7" t="s">
        <v>8084</v>
      </c>
      <c r="D729" s="7" t="s">
        <v>8131</v>
      </c>
      <c r="E729" s="7" t="s">
        <v>250</v>
      </c>
      <c r="F729" s="7" t="s">
        <v>8132</v>
      </c>
      <c r="G729" s="7" t="s">
        <v>68</v>
      </c>
      <c r="H729" s="10" t="n">
        <v>3000</v>
      </c>
      <c r="I729" s="7" t="s">
        <v>350</v>
      </c>
      <c r="J729" s="7"/>
      <c r="K729" s="7" t="s">
        <v>8133</v>
      </c>
      <c r="L729" s="7" t="s">
        <v>4289</v>
      </c>
      <c r="M729" s="7"/>
      <c r="N729" s="7" t="s">
        <v>8134</v>
      </c>
      <c r="O729" s="7" t="s">
        <v>8065</v>
      </c>
    </row>
    <row r="730" customFormat="false" ht="15" hidden="false" customHeight="false" outlineLevel="0" collapsed="false">
      <c r="A730" s="7" t="s">
        <v>8135</v>
      </c>
      <c r="B730" s="7" t="s">
        <v>36</v>
      </c>
      <c r="C730" s="7" t="s">
        <v>8136</v>
      </c>
      <c r="D730" s="7" t="s">
        <v>1434</v>
      </c>
      <c r="E730" s="7" t="s">
        <v>250</v>
      </c>
      <c r="F730" s="7" t="s">
        <v>8137</v>
      </c>
      <c r="G730" s="7" t="s">
        <v>68</v>
      </c>
      <c r="H730" s="10" t="n">
        <v>6000</v>
      </c>
      <c r="I730" s="7" t="s">
        <v>69</v>
      </c>
      <c r="J730" s="7" t="s">
        <v>8138</v>
      </c>
      <c r="K730" s="7"/>
      <c r="L730" s="7" t="s">
        <v>3224</v>
      </c>
      <c r="M730" s="7"/>
      <c r="N730" s="7" t="s">
        <v>8139</v>
      </c>
      <c r="O730" s="7" t="s">
        <v>2334</v>
      </c>
    </row>
    <row r="731" customFormat="false" ht="15" hidden="false" customHeight="false" outlineLevel="0" collapsed="false">
      <c r="A731" s="7" t="s">
        <v>8140</v>
      </c>
      <c r="B731" s="7" t="s">
        <v>36</v>
      </c>
      <c r="C731" s="7" t="s">
        <v>8141</v>
      </c>
      <c r="D731" s="7" t="s">
        <v>3614</v>
      </c>
      <c r="E731" s="7" t="s">
        <v>610</v>
      </c>
      <c r="F731" s="7" t="s">
        <v>8142</v>
      </c>
      <c r="G731" s="7" t="s">
        <v>68</v>
      </c>
      <c r="H731" s="10" t="n">
        <v>2500</v>
      </c>
      <c r="I731" s="7" t="s">
        <v>69</v>
      </c>
      <c r="J731" s="7" t="s">
        <v>8143</v>
      </c>
      <c r="K731" s="7"/>
      <c r="L731" s="7" t="s">
        <v>2339</v>
      </c>
      <c r="M731" s="7"/>
      <c r="N731" s="7" t="s">
        <v>8144</v>
      </c>
      <c r="O731" s="7" t="s">
        <v>2334</v>
      </c>
    </row>
    <row r="732" customFormat="false" ht="15" hidden="false" customHeight="false" outlineLevel="0" collapsed="false">
      <c r="A732" s="7" t="s">
        <v>8145</v>
      </c>
      <c r="B732" s="7" t="s">
        <v>36</v>
      </c>
      <c r="C732" s="7" t="s">
        <v>8084</v>
      </c>
      <c r="D732" s="7" t="s">
        <v>8146</v>
      </c>
      <c r="E732" s="7" t="s">
        <v>3533</v>
      </c>
      <c r="F732" s="7" t="s">
        <v>8147</v>
      </c>
      <c r="G732" s="7" t="s">
        <v>68</v>
      </c>
      <c r="H732" s="10" t="n">
        <v>2500</v>
      </c>
      <c r="I732" s="7" t="s">
        <v>377</v>
      </c>
      <c r="J732" s="7"/>
      <c r="K732" s="7" t="s">
        <v>8148</v>
      </c>
      <c r="L732" s="7" t="s">
        <v>4289</v>
      </c>
      <c r="M732" s="7"/>
      <c r="N732" s="7" t="s">
        <v>8149</v>
      </c>
      <c r="O732" s="7" t="s">
        <v>8065</v>
      </c>
    </row>
    <row r="733" customFormat="false" ht="15" hidden="false" customHeight="false" outlineLevel="0" collapsed="false">
      <c r="A733" s="7" t="s">
        <v>8150</v>
      </c>
      <c r="B733" s="7" t="s">
        <v>36</v>
      </c>
      <c r="C733" s="7" t="s">
        <v>8151</v>
      </c>
      <c r="D733" s="7" t="s">
        <v>146</v>
      </c>
      <c r="E733" s="7" t="s">
        <v>147</v>
      </c>
      <c r="F733" s="7" t="s">
        <v>8152</v>
      </c>
      <c r="G733" s="7" t="s">
        <v>68</v>
      </c>
      <c r="H733" s="10" t="n">
        <v>2500</v>
      </c>
      <c r="I733" s="7" t="s">
        <v>386</v>
      </c>
      <c r="J733" s="7"/>
      <c r="K733" s="7"/>
      <c r="L733" s="7" t="s">
        <v>4289</v>
      </c>
      <c r="M733" s="7"/>
      <c r="N733" s="7" t="s">
        <v>8153</v>
      </c>
      <c r="O733" s="7" t="s">
        <v>8065</v>
      </c>
    </row>
    <row r="734" customFormat="false" ht="15" hidden="false" customHeight="false" outlineLevel="0" collapsed="false">
      <c r="A734" s="7" t="s">
        <v>8154</v>
      </c>
      <c r="B734" s="7" t="s">
        <v>36</v>
      </c>
      <c r="C734" s="7" t="s">
        <v>8155</v>
      </c>
      <c r="D734" s="7" t="s">
        <v>8156</v>
      </c>
      <c r="E734" s="7" t="s">
        <v>250</v>
      </c>
      <c r="F734" s="7" t="s">
        <v>8157</v>
      </c>
      <c r="G734" s="7" t="s">
        <v>68</v>
      </c>
      <c r="H734" s="10" t="n">
        <v>2500</v>
      </c>
      <c r="I734" s="7" t="s">
        <v>69</v>
      </c>
      <c r="J734" s="7" t="s">
        <v>1489</v>
      </c>
      <c r="K734" s="7" t="s">
        <v>8158</v>
      </c>
      <c r="L734" s="7" t="s">
        <v>4289</v>
      </c>
      <c r="M734" s="7"/>
      <c r="N734" s="7" t="s">
        <v>8159</v>
      </c>
      <c r="O734" s="7" t="s">
        <v>8065</v>
      </c>
    </row>
    <row r="735" customFormat="false" ht="15" hidden="false" customHeight="false" outlineLevel="0" collapsed="false">
      <c r="A735" s="7" t="s">
        <v>8160</v>
      </c>
      <c r="B735" s="7" t="s">
        <v>36</v>
      </c>
      <c r="C735" s="7" t="s">
        <v>8161</v>
      </c>
      <c r="D735" s="7" t="s">
        <v>8162</v>
      </c>
      <c r="E735" s="7" t="s">
        <v>155</v>
      </c>
      <c r="F735" s="7" t="s">
        <v>8163</v>
      </c>
      <c r="G735" s="7" t="s">
        <v>68</v>
      </c>
      <c r="H735" s="10" t="n">
        <v>1500</v>
      </c>
      <c r="I735" s="7" t="s">
        <v>69</v>
      </c>
      <c r="J735" s="7" t="s">
        <v>8164</v>
      </c>
      <c r="K735" s="7" t="s">
        <v>8165</v>
      </c>
      <c r="L735" s="7" t="s">
        <v>3224</v>
      </c>
      <c r="M735" s="7"/>
      <c r="N735" s="7" t="s">
        <v>8166</v>
      </c>
      <c r="O735" s="7" t="s">
        <v>2334</v>
      </c>
    </row>
    <row r="736" customFormat="false" ht="15" hidden="false" customHeight="false" outlineLevel="0" collapsed="false">
      <c r="A736" s="7" t="s">
        <v>8167</v>
      </c>
      <c r="B736" s="7" t="s">
        <v>36</v>
      </c>
      <c r="C736" s="7" t="s">
        <v>8168</v>
      </c>
      <c r="D736" s="7" t="s">
        <v>8169</v>
      </c>
      <c r="E736" s="7" t="s">
        <v>428</v>
      </c>
      <c r="F736" s="7" t="s">
        <v>8170</v>
      </c>
      <c r="G736" s="7" t="s">
        <v>68</v>
      </c>
      <c r="H736" s="10" t="n">
        <v>1500</v>
      </c>
      <c r="I736" s="7" t="s">
        <v>377</v>
      </c>
      <c r="J736" s="7"/>
      <c r="K736" s="7" t="s">
        <v>8171</v>
      </c>
      <c r="L736" s="7" t="s">
        <v>4289</v>
      </c>
      <c r="M736" s="7"/>
      <c r="N736" s="7" t="s">
        <v>8172</v>
      </c>
      <c r="O736" s="7" t="s">
        <v>2334</v>
      </c>
    </row>
    <row r="737" customFormat="false" ht="15" hidden="false" customHeight="false" outlineLevel="0" collapsed="false">
      <c r="A737" s="7" t="s">
        <v>8173</v>
      </c>
      <c r="B737" s="7" t="s">
        <v>36</v>
      </c>
      <c r="C737" s="7" t="s">
        <v>8095</v>
      </c>
      <c r="D737" s="7" t="s">
        <v>8174</v>
      </c>
      <c r="E737" s="7" t="s">
        <v>348</v>
      </c>
      <c r="F737" s="7" t="s">
        <v>8175</v>
      </c>
      <c r="G737" s="7" t="s">
        <v>68</v>
      </c>
      <c r="H737" s="10" t="n">
        <v>2000</v>
      </c>
      <c r="I737" s="7" t="s">
        <v>350</v>
      </c>
      <c r="J737" s="7"/>
      <c r="K737" s="7" t="s">
        <v>8176</v>
      </c>
      <c r="L737" s="7" t="s">
        <v>4289</v>
      </c>
      <c r="M737" s="7"/>
      <c r="N737" s="7" t="s">
        <v>8177</v>
      </c>
      <c r="O737" s="7" t="s">
        <v>8065</v>
      </c>
    </row>
    <row r="738" customFormat="false" ht="15" hidden="false" customHeight="false" outlineLevel="0" collapsed="false">
      <c r="A738" s="7" t="s">
        <v>8178</v>
      </c>
      <c r="B738" s="7" t="s">
        <v>36</v>
      </c>
      <c r="C738" s="7" t="s">
        <v>8179</v>
      </c>
      <c r="D738" s="7" t="s">
        <v>8180</v>
      </c>
      <c r="E738" s="7" t="s">
        <v>147</v>
      </c>
      <c r="F738" s="7" t="s">
        <v>8181</v>
      </c>
      <c r="G738" s="7" t="s">
        <v>68</v>
      </c>
      <c r="H738" s="10" t="n">
        <v>5000</v>
      </c>
      <c r="I738" s="7" t="s">
        <v>3239</v>
      </c>
      <c r="J738" s="7"/>
      <c r="K738" s="7" t="s">
        <v>8182</v>
      </c>
      <c r="L738" s="7" t="s">
        <v>3224</v>
      </c>
      <c r="M738" s="7"/>
      <c r="N738" s="7" t="s">
        <v>8183</v>
      </c>
      <c r="O738" s="7" t="s">
        <v>2334</v>
      </c>
    </row>
    <row r="739" customFormat="false" ht="15" hidden="false" customHeight="false" outlineLevel="0" collapsed="false">
      <c r="A739" s="7" t="s">
        <v>8184</v>
      </c>
      <c r="B739" s="7" t="s">
        <v>36</v>
      </c>
      <c r="C739" s="7" t="s">
        <v>8100</v>
      </c>
      <c r="D739" s="7" t="s">
        <v>1029</v>
      </c>
      <c r="E739" s="7" t="s">
        <v>1030</v>
      </c>
      <c r="F739" s="7" t="s">
        <v>8185</v>
      </c>
      <c r="G739" s="7" t="s">
        <v>68</v>
      </c>
      <c r="H739" s="10" t="n">
        <v>700</v>
      </c>
      <c r="I739" s="7" t="s">
        <v>350</v>
      </c>
      <c r="J739" s="7"/>
      <c r="K739" s="7" t="s">
        <v>8186</v>
      </c>
      <c r="L739" s="7" t="s">
        <v>2331</v>
      </c>
      <c r="M739" s="7"/>
      <c r="N739" s="7" t="s">
        <v>8187</v>
      </c>
      <c r="O739" s="7" t="s">
        <v>8188</v>
      </c>
    </row>
    <row r="740" customFormat="false" ht="15" hidden="false" customHeight="false" outlineLevel="0" collapsed="false">
      <c r="A740" s="7" t="s">
        <v>8189</v>
      </c>
      <c r="B740" s="7" t="s">
        <v>36</v>
      </c>
      <c r="C740" s="7" t="s">
        <v>8190</v>
      </c>
      <c r="D740" s="7" t="s">
        <v>4401</v>
      </c>
      <c r="E740" s="7" t="s">
        <v>779</v>
      </c>
      <c r="F740" s="7" t="s">
        <v>8191</v>
      </c>
      <c r="G740" s="7" t="s">
        <v>68</v>
      </c>
      <c r="H740" s="10" t="n">
        <v>500</v>
      </c>
      <c r="I740" s="7" t="s">
        <v>350</v>
      </c>
      <c r="J740" s="7"/>
      <c r="K740" s="7" t="s">
        <v>8192</v>
      </c>
      <c r="L740" s="7" t="s">
        <v>2331</v>
      </c>
      <c r="M740" s="7"/>
      <c r="N740" s="7" t="s">
        <v>8193</v>
      </c>
      <c r="O740" s="7" t="s">
        <v>2334</v>
      </c>
    </row>
    <row r="741" customFormat="false" ht="15" hidden="false" customHeight="false" outlineLevel="0" collapsed="false">
      <c r="A741" s="7" t="s">
        <v>8194</v>
      </c>
      <c r="B741" s="7" t="s">
        <v>36</v>
      </c>
      <c r="C741" s="7" t="s">
        <v>8090</v>
      </c>
      <c r="D741" s="7" t="s">
        <v>249</v>
      </c>
      <c r="E741" s="7" t="s">
        <v>250</v>
      </c>
      <c r="F741" s="7" t="s">
        <v>8195</v>
      </c>
      <c r="G741" s="7" t="s">
        <v>68</v>
      </c>
      <c r="H741" s="10" t="n">
        <v>3000</v>
      </c>
      <c r="I741" s="7" t="s">
        <v>3239</v>
      </c>
      <c r="J741" s="7"/>
      <c r="K741" s="7" t="s">
        <v>8196</v>
      </c>
      <c r="L741" s="7" t="s">
        <v>4289</v>
      </c>
      <c r="M741" s="7"/>
      <c r="N741" s="7" t="s">
        <v>8197</v>
      </c>
      <c r="O741" s="7" t="s">
        <v>8065</v>
      </c>
    </row>
    <row r="742" customFormat="false" ht="15" hidden="false" customHeight="false" outlineLevel="0" collapsed="false">
      <c r="A742" s="7" t="s">
        <v>8198</v>
      </c>
      <c r="B742" s="7" t="s">
        <v>36</v>
      </c>
      <c r="C742" s="7" t="s">
        <v>8199</v>
      </c>
      <c r="D742" s="7" t="s">
        <v>6788</v>
      </c>
      <c r="E742" s="7" t="s">
        <v>1081</v>
      </c>
      <c r="F742" s="7" t="s">
        <v>8200</v>
      </c>
      <c r="G742" s="7" t="s">
        <v>68</v>
      </c>
      <c r="H742" s="10" t="n">
        <v>2800</v>
      </c>
      <c r="I742" s="7" t="s">
        <v>517</v>
      </c>
      <c r="J742" s="7"/>
      <c r="K742" s="7"/>
      <c r="L742" s="7" t="s">
        <v>4289</v>
      </c>
      <c r="M742" s="7"/>
      <c r="N742" s="7" t="s">
        <v>8201</v>
      </c>
      <c r="O742" s="7" t="s">
        <v>8065</v>
      </c>
    </row>
    <row r="743" customFormat="false" ht="15" hidden="false" customHeight="false" outlineLevel="0" collapsed="false">
      <c r="A743" s="7" t="s">
        <v>8202</v>
      </c>
      <c r="B743" s="7" t="s">
        <v>36</v>
      </c>
      <c r="C743" s="7" t="s">
        <v>8067</v>
      </c>
      <c r="D743" s="7" t="s">
        <v>8203</v>
      </c>
      <c r="E743" s="7" t="s">
        <v>480</v>
      </c>
      <c r="F743" s="7" t="s">
        <v>8204</v>
      </c>
      <c r="G743" s="7" t="s">
        <v>68</v>
      </c>
      <c r="H743" s="10" t="n">
        <v>1300</v>
      </c>
      <c r="I743" s="7" t="s">
        <v>350</v>
      </c>
      <c r="J743" s="7"/>
      <c r="K743" s="7" t="s">
        <v>8205</v>
      </c>
      <c r="L743" s="7" t="s">
        <v>4289</v>
      </c>
      <c r="M743" s="7"/>
      <c r="N743" s="7" t="s">
        <v>8206</v>
      </c>
      <c r="O743" s="7" t="s">
        <v>8065</v>
      </c>
    </row>
    <row r="744" customFormat="false" ht="15" hidden="false" customHeight="false" outlineLevel="0" collapsed="false">
      <c r="A744" s="7" t="s">
        <v>8207</v>
      </c>
      <c r="B744" s="7" t="s">
        <v>36</v>
      </c>
      <c r="C744" s="7" t="s">
        <v>8208</v>
      </c>
      <c r="D744" s="7" t="s">
        <v>1029</v>
      </c>
      <c r="E744" s="7" t="s">
        <v>1030</v>
      </c>
      <c r="F744" s="7" t="s">
        <v>8209</v>
      </c>
      <c r="G744" s="7" t="s">
        <v>68</v>
      </c>
      <c r="H744" s="10" t="n">
        <v>1500</v>
      </c>
      <c r="I744" s="7" t="s">
        <v>350</v>
      </c>
      <c r="J744" s="7"/>
      <c r="K744" s="7"/>
      <c r="L744" s="7" t="s">
        <v>4289</v>
      </c>
      <c r="M744" s="7"/>
      <c r="N744" s="7" t="s">
        <v>8210</v>
      </c>
      <c r="O744" s="7" t="s">
        <v>2334</v>
      </c>
    </row>
    <row r="745" customFormat="false" ht="15" hidden="false" customHeight="false" outlineLevel="0" collapsed="false">
      <c r="A745" s="7" t="s">
        <v>8211</v>
      </c>
      <c r="B745" s="7" t="s">
        <v>36</v>
      </c>
      <c r="C745" s="7" t="s">
        <v>8212</v>
      </c>
      <c r="D745" s="7" t="s">
        <v>778</v>
      </c>
      <c r="E745" s="7" t="s">
        <v>779</v>
      </c>
      <c r="F745" s="7" t="s">
        <v>8213</v>
      </c>
      <c r="G745" s="7" t="s">
        <v>68</v>
      </c>
      <c r="H745" s="10" t="n">
        <v>3500</v>
      </c>
      <c r="I745" s="7" t="s">
        <v>350</v>
      </c>
      <c r="J745" s="7"/>
      <c r="K745" s="7" t="s">
        <v>8214</v>
      </c>
      <c r="L745" s="7" t="s">
        <v>4289</v>
      </c>
      <c r="M745" s="7"/>
      <c r="N745" s="7" t="s">
        <v>8215</v>
      </c>
      <c r="O745" s="7" t="s">
        <v>8065</v>
      </c>
    </row>
    <row r="746" customFormat="false" ht="15" hidden="false" customHeight="false" outlineLevel="0" collapsed="false">
      <c r="A746" s="7" t="s">
        <v>8216</v>
      </c>
      <c r="B746" s="7" t="s">
        <v>36</v>
      </c>
      <c r="C746" s="7" t="s">
        <v>8208</v>
      </c>
      <c r="D746" s="7" t="s">
        <v>8217</v>
      </c>
      <c r="E746" s="7" t="s">
        <v>854</v>
      </c>
      <c r="F746" s="7" t="s">
        <v>8218</v>
      </c>
      <c r="G746" s="7" t="s">
        <v>149</v>
      </c>
      <c r="H746" s="10" t="n">
        <v>1000</v>
      </c>
      <c r="I746" s="7" t="s">
        <v>3239</v>
      </c>
      <c r="J746" s="7"/>
      <c r="K746" s="7" t="s">
        <v>8219</v>
      </c>
      <c r="L746" s="7" t="s">
        <v>4289</v>
      </c>
      <c r="M746" s="7"/>
      <c r="N746" s="7" t="s">
        <v>8220</v>
      </c>
      <c r="O746" s="7" t="s">
        <v>8065</v>
      </c>
    </row>
    <row r="747" customFormat="false" ht="15" hidden="false" customHeight="false" outlineLevel="0" collapsed="false">
      <c r="A747" s="7" t="s">
        <v>8221</v>
      </c>
      <c r="B747" s="7" t="s">
        <v>36</v>
      </c>
      <c r="C747" s="7" t="s">
        <v>8222</v>
      </c>
      <c r="D747" s="7" t="s">
        <v>8223</v>
      </c>
      <c r="E747" s="7" t="s">
        <v>338</v>
      </c>
      <c r="F747" s="7" t="s">
        <v>8224</v>
      </c>
      <c r="G747" s="7" t="s">
        <v>149</v>
      </c>
      <c r="H747" s="10" t="n">
        <v>700</v>
      </c>
      <c r="I747" s="7" t="s">
        <v>350</v>
      </c>
      <c r="J747" s="7"/>
      <c r="K747" s="7"/>
      <c r="L747" s="7" t="s">
        <v>2331</v>
      </c>
      <c r="M747" s="7"/>
      <c r="N747" s="7" t="s">
        <v>8225</v>
      </c>
      <c r="O747" s="7" t="s">
        <v>8065</v>
      </c>
    </row>
    <row r="748" customFormat="false" ht="15" hidden="false" customHeight="false" outlineLevel="0" collapsed="false">
      <c r="A748" s="7" t="s">
        <v>8226</v>
      </c>
      <c r="B748" s="7" t="s">
        <v>36</v>
      </c>
      <c r="C748" s="7" t="s">
        <v>8100</v>
      </c>
      <c r="D748" s="7" t="s">
        <v>3793</v>
      </c>
      <c r="E748" s="7" t="s">
        <v>1030</v>
      </c>
      <c r="F748" s="7" t="s">
        <v>8227</v>
      </c>
      <c r="G748" s="7" t="s">
        <v>149</v>
      </c>
      <c r="H748" s="10" t="n">
        <v>500</v>
      </c>
      <c r="I748" s="7" t="s">
        <v>350</v>
      </c>
      <c r="J748" s="7"/>
      <c r="K748" s="7"/>
      <c r="L748" s="7" t="s">
        <v>2331</v>
      </c>
      <c r="M748" s="7"/>
      <c r="N748" s="7" t="s">
        <v>8228</v>
      </c>
      <c r="O748" s="7" t="s">
        <v>2334</v>
      </c>
    </row>
    <row r="749" customFormat="false" ht="15" hidden="false" customHeight="false" outlineLevel="0" collapsed="false">
      <c r="A749" s="7" t="s">
        <v>8229</v>
      </c>
      <c r="B749" s="7" t="s">
        <v>36</v>
      </c>
      <c r="C749" s="7" t="s">
        <v>8230</v>
      </c>
      <c r="D749" s="7" t="s">
        <v>3567</v>
      </c>
      <c r="E749" s="7" t="s">
        <v>78</v>
      </c>
      <c r="F749" s="7" t="s">
        <v>8231</v>
      </c>
      <c r="G749" s="7" t="s">
        <v>149</v>
      </c>
      <c r="H749" s="10" t="n">
        <v>1200</v>
      </c>
      <c r="I749" s="7" t="s">
        <v>350</v>
      </c>
      <c r="J749" s="7"/>
      <c r="K749" s="7"/>
      <c r="L749" s="7" t="s">
        <v>4289</v>
      </c>
      <c r="M749" s="7"/>
      <c r="N749" s="7" t="s">
        <v>8232</v>
      </c>
      <c r="O749" s="7" t="s">
        <v>8065</v>
      </c>
    </row>
    <row r="750" customFormat="false" ht="15" hidden="false" customHeight="false" outlineLevel="0" collapsed="false">
      <c r="A750" s="7" t="s">
        <v>8233</v>
      </c>
      <c r="B750" s="7" t="s">
        <v>36</v>
      </c>
      <c r="C750" s="7" t="s">
        <v>8199</v>
      </c>
      <c r="D750" s="7" t="s">
        <v>8234</v>
      </c>
      <c r="E750" s="7" t="s">
        <v>3533</v>
      </c>
      <c r="F750" s="7" t="s">
        <v>8235</v>
      </c>
      <c r="G750" s="7" t="s">
        <v>149</v>
      </c>
      <c r="H750" s="10" t="n">
        <v>2000</v>
      </c>
      <c r="I750" s="7" t="s">
        <v>350</v>
      </c>
      <c r="J750" s="7"/>
      <c r="K750" s="7" t="s">
        <v>8236</v>
      </c>
      <c r="L750" s="7" t="s">
        <v>4289</v>
      </c>
      <c r="M750" s="7"/>
      <c r="N750" s="7" t="s">
        <v>8237</v>
      </c>
      <c r="O750" s="7" t="s">
        <v>8065</v>
      </c>
    </row>
    <row r="751" customFormat="false" ht="15" hidden="false" customHeight="false" outlineLevel="0" collapsed="false">
      <c r="A751" s="7" t="s">
        <v>8238</v>
      </c>
      <c r="B751" s="7" t="s">
        <v>36</v>
      </c>
      <c r="C751" s="7" t="s">
        <v>8199</v>
      </c>
      <c r="D751" s="7" t="s">
        <v>2474</v>
      </c>
      <c r="E751" s="7" t="s">
        <v>1106</v>
      </c>
      <c r="F751" s="7" t="s">
        <v>8239</v>
      </c>
      <c r="G751" s="7" t="s">
        <v>149</v>
      </c>
      <c r="H751" s="10" t="n">
        <v>2000</v>
      </c>
      <c r="I751" s="7" t="s">
        <v>350</v>
      </c>
      <c r="J751" s="7"/>
      <c r="K751" s="7" t="s">
        <v>8240</v>
      </c>
      <c r="L751" s="7" t="s">
        <v>4289</v>
      </c>
      <c r="M751" s="7"/>
      <c r="N751" s="7" t="s">
        <v>8241</v>
      </c>
      <c r="O751" s="7" t="s">
        <v>8065</v>
      </c>
    </row>
    <row r="752" customFormat="false" ht="15" hidden="false" customHeight="false" outlineLevel="0" collapsed="false">
      <c r="A752" s="7" t="s">
        <v>8242</v>
      </c>
      <c r="B752" s="7" t="s">
        <v>36</v>
      </c>
      <c r="C752" s="7" t="s">
        <v>8243</v>
      </c>
      <c r="D752" s="7" t="s">
        <v>3149</v>
      </c>
      <c r="E752" s="7" t="s">
        <v>172</v>
      </c>
      <c r="F752" s="7" t="s">
        <v>8244</v>
      </c>
      <c r="G752" s="7" t="s">
        <v>149</v>
      </c>
      <c r="H752" s="10" t="n">
        <v>1500</v>
      </c>
      <c r="I752" s="7" t="s">
        <v>3239</v>
      </c>
      <c r="J752" s="7"/>
      <c r="K752" s="7" t="s">
        <v>8245</v>
      </c>
      <c r="L752" s="7" t="s">
        <v>3224</v>
      </c>
      <c r="M752" s="7"/>
      <c r="N752" s="7" t="s">
        <v>8246</v>
      </c>
      <c r="O752" s="7" t="s">
        <v>2334</v>
      </c>
    </row>
    <row r="753" customFormat="false" ht="15" hidden="false" customHeight="false" outlineLevel="0" collapsed="false">
      <c r="A753" s="7" t="s">
        <v>8247</v>
      </c>
      <c r="B753" s="7" t="s">
        <v>36</v>
      </c>
      <c r="C753" s="7" t="s">
        <v>8248</v>
      </c>
      <c r="D753" s="7" t="s">
        <v>5572</v>
      </c>
      <c r="E753" s="7" t="s">
        <v>428</v>
      </c>
      <c r="F753" s="7" t="s">
        <v>8249</v>
      </c>
      <c r="G753" s="7" t="s">
        <v>149</v>
      </c>
      <c r="H753" s="10" t="n">
        <v>1800</v>
      </c>
      <c r="I753" s="7" t="s">
        <v>3239</v>
      </c>
      <c r="J753" s="7"/>
      <c r="K753" s="7"/>
      <c r="L753" s="7" t="s">
        <v>4289</v>
      </c>
      <c r="M753" s="7"/>
      <c r="N753" s="7" t="s">
        <v>8250</v>
      </c>
      <c r="O753" s="7" t="s">
        <v>8065</v>
      </c>
    </row>
    <row r="754" customFormat="false" ht="15" hidden="false" customHeight="false" outlineLevel="0" collapsed="false">
      <c r="A754" s="7" t="s">
        <v>8251</v>
      </c>
      <c r="B754" s="7" t="s">
        <v>36</v>
      </c>
      <c r="C754" s="7" t="s">
        <v>8199</v>
      </c>
      <c r="D754" s="7" t="s">
        <v>8252</v>
      </c>
      <c r="E754" s="7" t="s">
        <v>338</v>
      </c>
      <c r="F754" s="7" t="s">
        <v>8253</v>
      </c>
      <c r="G754" s="7" t="s">
        <v>149</v>
      </c>
      <c r="H754" s="10" t="n">
        <v>1500</v>
      </c>
      <c r="I754" s="7" t="s">
        <v>350</v>
      </c>
      <c r="J754" s="7"/>
      <c r="K754" s="7" t="s">
        <v>8254</v>
      </c>
      <c r="L754" s="7" t="s">
        <v>4289</v>
      </c>
      <c r="M754" s="7"/>
      <c r="N754" s="7" t="s">
        <v>8255</v>
      </c>
      <c r="O754" s="7" t="s">
        <v>8065</v>
      </c>
    </row>
    <row r="755" customFormat="false" ht="15" hidden="false" customHeight="false" outlineLevel="0" collapsed="false">
      <c r="A755" s="7" t="s">
        <v>8256</v>
      </c>
      <c r="B755" s="7" t="s">
        <v>36</v>
      </c>
      <c r="C755" s="7" t="s">
        <v>8257</v>
      </c>
      <c r="D755" s="7" t="s">
        <v>8258</v>
      </c>
      <c r="E755" s="7" t="s">
        <v>163</v>
      </c>
      <c r="F755" s="7" t="s">
        <v>8259</v>
      </c>
      <c r="G755" s="7" t="s">
        <v>149</v>
      </c>
      <c r="H755" s="10" t="n">
        <v>400</v>
      </c>
      <c r="I755" s="7" t="s">
        <v>350</v>
      </c>
      <c r="J755" s="7"/>
      <c r="K755" s="7" t="s">
        <v>8260</v>
      </c>
      <c r="L755" s="7" t="s">
        <v>2331</v>
      </c>
      <c r="M755" s="7"/>
      <c r="N755" s="7" t="s">
        <v>8261</v>
      </c>
      <c r="O755" s="7" t="s">
        <v>2334</v>
      </c>
    </row>
    <row r="756" customFormat="false" ht="15" hidden="false" customHeight="false" outlineLevel="0" collapsed="false">
      <c r="A756" s="7" t="s">
        <v>8262</v>
      </c>
      <c r="B756" s="7" t="s">
        <v>36</v>
      </c>
      <c r="C756" s="7" t="s">
        <v>8248</v>
      </c>
      <c r="D756" s="7" t="s">
        <v>713</v>
      </c>
      <c r="E756" s="7" t="s">
        <v>155</v>
      </c>
      <c r="F756" s="7" t="s">
        <v>8263</v>
      </c>
      <c r="G756" s="7" t="s">
        <v>149</v>
      </c>
      <c r="H756" s="10" t="n">
        <v>2500</v>
      </c>
      <c r="I756" s="7" t="s">
        <v>69</v>
      </c>
      <c r="J756" s="7" t="s">
        <v>8264</v>
      </c>
      <c r="K756" s="7" t="s">
        <v>8265</v>
      </c>
      <c r="L756" s="7" t="s">
        <v>4289</v>
      </c>
      <c r="M756" s="7"/>
      <c r="N756" s="7" t="s">
        <v>8266</v>
      </c>
      <c r="O756" s="7" t="s">
        <v>8065</v>
      </c>
    </row>
    <row r="757" customFormat="false" ht="15" hidden="false" customHeight="false" outlineLevel="0" collapsed="false">
      <c r="A757" s="7" t="s">
        <v>8267</v>
      </c>
      <c r="B757" s="7" t="s">
        <v>36</v>
      </c>
      <c r="C757" s="7" t="s">
        <v>8084</v>
      </c>
      <c r="D757" s="7" t="s">
        <v>8268</v>
      </c>
      <c r="E757" s="7" t="s">
        <v>137</v>
      </c>
      <c r="F757" s="7" t="s">
        <v>8269</v>
      </c>
      <c r="G757" s="7" t="s">
        <v>149</v>
      </c>
      <c r="H757" s="10" t="n">
        <v>2500</v>
      </c>
      <c r="I757" s="7" t="s">
        <v>350</v>
      </c>
      <c r="J757" s="7"/>
      <c r="K757" s="7" t="s">
        <v>8270</v>
      </c>
      <c r="L757" s="7" t="s">
        <v>4289</v>
      </c>
      <c r="M757" s="7"/>
      <c r="N757" s="7" t="s">
        <v>8271</v>
      </c>
      <c r="O757" s="7" t="s">
        <v>8065</v>
      </c>
    </row>
    <row r="758" customFormat="false" ht="15" hidden="false" customHeight="false" outlineLevel="0" collapsed="false">
      <c r="A758" s="7" t="s">
        <v>8272</v>
      </c>
      <c r="B758" s="7" t="s">
        <v>36</v>
      </c>
      <c r="C758" s="7" t="s">
        <v>8273</v>
      </c>
      <c r="D758" s="7" t="s">
        <v>8274</v>
      </c>
      <c r="E758" s="7" t="s">
        <v>78</v>
      </c>
      <c r="F758" s="7" t="s">
        <v>8275</v>
      </c>
      <c r="G758" s="7" t="s">
        <v>149</v>
      </c>
      <c r="H758" s="10" t="n">
        <v>1200</v>
      </c>
      <c r="I758" s="7" t="s">
        <v>3239</v>
      </c>
      <c r="J758" s="7"/>
      <c r="K758" s="7"/>
      <c r="L758" s="7" t="s">
        <v>4289</v>
      </c>
      <c r="M758" s="7"/>
      <c r="N758" s="7" t="s">
        <v>8276</v>
      </c>
      <c r="O758" s="7" t="s">
        <v>8065</v>
      </c>
    </row>
    <row r="759" customFormat="false" ht="15" hidden="false" customHeight="false" outlineLevel="0" collapsed="false">
      <c r="A759" s="7" t="s">
        <v>8277</v>
      </c>
      <c r="B759" s="7" t="s">
        <v>36</v>
      </c>
      <c r="C759" s="7" t="s">
        <v>8248</v>
      </c>
      <c r="D759" s="7" t="s">
        <v>8278</v>
      </c>
      <c r="E759" s="7" t="s">
        <v>338</v>
      </c>
      <c r="F759" s="7" t="s">
        <v>8279</v>
      </c>
      <c r="G759" s="7" t="s">
        <v>149</v>
      </c>
      <c r="H759" s="10" t="n">
        <v>1500</v>
      </c>
      <c r="I759" s="7" t="s">
        <v>3239</v>
      </c>
      <c r="J759" s="7"/>
      <c r="K759" s="7" t="s">
        <v>8280</v>
      </c>
      <c r="L759" s="7" t="s">
        <v>4289</v>
      </c>
      <c r="M759" s="7"/>
      <c r="N759" s="7" t="s">
        <v>8281</v>
      </c>
      <c r="O759" s="7" t="s">
        <v>8065</v>
      </c>
    </row>
    <row r="760" customFormat="false" ht="15" hidden="false" customHeight="false" outlineLevel="0" collapsed="false">
      <c r="A760" s="7" t="s">
        <v>8282</v>
      </c>
      <c r="B760" s="7" t="s">
        <v>36</v>
      </c>
      <c r="C760" s="7" t="s">
        <v>8283</v>
      </c>
      <c r="D760" s="7" t="s">
        <v>5217</v>
      </c>
      <c r="E760" s="7" t="s">
        <v>1212</v>
      </c>
      <c r="F760" s="7" t="s">
        <v>8284</v>
      </c>
      <c r="G760" s="7" t="s">
        <v>174</v>
      </c>
      <c r="H760" s="10" t="n">
        <v>1200</v>
      </c>
      <c r="I760" s="7" t="s">
        <v>350</v>
      </c>
      <c r="J760" s="7"/>
      <c r="K760" s="7" t="s">
        <v>8285</v>
      </c>
      <c r="L760" s="7" t="s">
        <v>4289</v>
      </c>
      <c r="M760" s="7"/>
      <c r="N760" s="7" t="s">
        <v>8286</v>
      </c>
      <c r="O760" s="7" t="s">
        <v>8287</v>
      </c>
    </row>
    <row r="761" customFormat="false" ht="15" hidden="false" customHeight="false" outlineLevel="0" collapsed="false">
      <c r="A761" s="7" t="s">
        <v>8288</v>
      </c>
      <c r="B761" s="7" t="s">
        <v>36</v>
      </c>
      <c r="C761" s="7" t="s">
        <v>8289</v>
      </c>
      <c r="D761" s="7" t="s">
        <v>8290</v>
      </c>
      <c r="E761" s="7" t="s">
        <v>1106</v>
      </c>
      <c r="F761" s="7" t="s">
        <v>8291</v>
      </c>
      <c r="G761" s="7" t="s">
        <v>174</v>
      </c>
      <c r="H761" s="10" t="n">
        <v>1300</v>
      </c>
      <c r="I761" s="7" t="s">
        <v>3239</v>
      </c>
      <c r="J761" s="7"/>
      <c r="K761" s="7" t="s">
        <v>8292</v>
      </c>
      <c r="L761" s="7" t="s">
        <v>4289</v>
      </c>
      <c r="M761" s="7"/>
      <c r="N761" s="7" t="s">
        <v>8293</v>
      </c>
      <c r="O761" s="7" t="s">
        <v>8065</v>
      </c>
    </row>
    <row r="762" customFormat="false" ht="15" hidden="false" customHeight="false" outlineLevel="0" collapsed="false">
      <c r="A762" s="7" t="s">
        <v>8294</v>
      </c>
      <c r="B762" s="7" t="s">
        <v>36</v>
      </c>
      <c r="C762" s="7" t="s">
        <v>8295</v>
      </c>
      <c r="D762" s="7" t="s">
        <v>970</v>
      </c>
      <c r="E762" s="7" t="s">
        <v>250</v>
      </c>
      <c r="F762" s="7" t="s">
        <v>8296</v>
      </c>
      <c r="G762" s="7" t="s">
        <v>174</v>
      </c>
      <c r="H762" s="10" t="n">
        <v>700</v>
      </c>
      <c r="I762" s="7" t="s">
        <v>350</v>
      </c>
      <c r="J762" s="7"/>
      <c r="K762" s="7"/>
      <c r="L762" s="7" t="s">
        <v>4289</v>
      </c>
      <c r="M762" s="7"/>
      <c r="N762" s="7" t="s">
        <v>8297</v>
      </c>
      <c r="O762" s="7" t="s">
        <v>8065</v>
      </c>
    </row>
    <row r="763" customFormat="false" ht="15" hidden="false" customHeight="false" outlineLevel="0" collapsed="false">
      <c r="A763" s="7" t="s">
        <v>8298</v>
      </c>
      <c r="B763" s="7" t="s">
        <v>36</v>
      </c>
      <c r="C763" s="7" t="s">
        <v>8299</v>
      </c>
      <c r="D763" s="7" t="s">
        <v>8300</v>
      </c>
      <c r="E763" s="7" t="s">
        <v>113</v>
      </c>
      <c r="F763" s="7" t="s">
        <v>8301</v>
      </c>
      <c r="G763" s="7" t="s">
        <v>174</v>
      </c>
      <c r="H763" s="10" t="n">
        <v>900</v>
      </c>
      <c r="I763" s="7" t="s">
        <v>3239</v>
      </c>
      <c r="J763" s="7"/>
      <c r="K763" s="7"/>
      <c r="L763" s="7" t="s">
        <v>4289</v>
      </c>
      <c r="M763" s="7"/>
      <c r="N763" s="7" t="s">
        <v>8302</v>
      </c>
      <c r="O763" s="7" t="s">
        <v>8065</v>
      </c>
    </row>
    <row r="764" customFormat="false" ht="15" hidden="false" customHeight="false" outlineLevel="0" collapsed="false">
      <c r="A764" s="7" t="s">
        <v>8303</v>
      </c>
      <c r="B764" s="7" t="s">
        <v>36</v>
      </c>
      <c r="C764" s="7" t="s">
        <v>8304</v>
      </c>
      <c r="D764" s="7" t="s">
        <v>8305</v>
      </c>
      <c r="E764" s="7" t="s">
        <v>137</v>
      </c>
      <c r="F764" s="7" t="s">
        <v>8306</v>
      </c>
      <c r="G764" s="7" t="s">
        <v>174</v>
      </c>
      <c r="H764" s="10" t="n">
        <v>1200</v>
      </c>
      <c r="I764" s="7" t="s">
        <v>350</v>
      </c>
      <c r="J764" s="7"/>
      <c r="K764" s="7" t="s">
        <v>8307</v>
      </c>
      <c r="L764" s="7" t="s">
        <v>4289</v>
      </c>
      <c r="M764" s="7"/>
      <c r="N764" s="7" t="s">
        <v>8308</v>
      </c>
      <c r="O764" s="7" t="s">
        <v>8065</v>
      </c>
    </row>
    <row r="765" customFormat="false" ht="15" hidden="false" customHeight="false" outlineLevel="0" collapsed="false">
      <c r="A765" s="7" t="s">
        <v>8309</v>
      </c>
      <c r="B765" s="7" t="s">
        <v>36</v>
      </c>
      <c r="C765" s="7" t="s">
        <v>8310</v>
      </c>
      <c r="D765" s="7" t="s">
        <v>853</v>
      </c>
      <c r="E765" s="7" t="s">
        <v>854</v>
      </c>
      <c r="F765" s="7" t="s">
        <v>8311</v>
      </c>
      <c r="G765" s="7" t="s">
        <v>174</v>
      </c>
      <c r="H765" s="10" t="n">
        <v>2000</v>
      </c>
      <c r="I765" s="7" t="s">
        <v>3239</v>
      </c>
      <c r="J765" s="7"/>
      <c r="K765" s="7"/>
      <c r="L765" s="7" t="s">
        <v>4289</v>
      </c>
      <c r="M765" s="7"/>
      <c r="N765" s="7" t="s">
        <v>8312</v>
      </c>
      <c r="O765" s="7" t="s">
        <v>8065</v>
      </c>
    </row>
  </sheetData>
  <autoFilter ref="A1:O7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7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20"/>
    <col collapsed="false" customWidth="true" hidden="false" outlineLevel="0" max="12" min="12" style="0" width="34"/>
    <col collapsed="false" customWidth="true" hidden="false" outlineLevel="0" max="13" min="13" style="0" width="50"/>
    <col collapsed="false" customWidth="true" hidden="false" outlineLevel="0" max="15" min="14" style="0" width="30"/>
  </cols>
  <sheetData>
    <row r="1" customFormat="false" ht="15" hidden="false" customHeight="false" outlineLevel="0" collapsed="false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  <c r="I1" s="8" t="s">
        <v>51</v>
      </c>
      <c r="J1" s="8" t="s">
        <v>52</v>
      </c>
      <c r="K1" s="8" t="s">
        <v>53</v>
      </c>
      <c r="L1" s="8" t="s">
        <v>54</v>
      </c>
      <c r="M1" s="8" t="s">
        <v>55</v>
      </c>
      <c r="N1" s="8" t="s">
        <v>56</v>
      </c>
      <c r="O1" s="8" t="s">
        <v>57</v>
      </c>
    </row>
    <row r="2" customFormat="false" ht="15" hidden="false" customHeight="false" outlineLevel="0" collapsed="false">
      <c r="A2" s="7" t="s">
        <v>8313</v>
      </c>
      <c r="B2" s="7" t="s">
        <v>23</v>
      </c>
      <c r="C2" s="7" t="s">
        <v>8314</v>
      </c>
      <c r="D2" s="7" t="s">
        <v>154</v>
      </c>
      <c r="E2" s="7" t="s">
        <v>155</v>
      </c>
      <c r="F2" s="7" t="s">
        <v>8315</v>
      </c>
      <c r="G2" s="7" t="s">
        <v>8316</v>
      </c>
      <c r="H2" s="10" t="n">
        <v>12000</v>
      </c>
      <c r="I2" s="7" t="s">
        <v>517</v>
      </c>
      <c r="J2" s="7"/>
      <c r="K2" s="7" t="s">
        <v>8317</v>
      </c>
      <c r="L2" s="7" t="s">
        <v>72</v>
      </c>
      <c r="M2" s="7" t="s">
        <v>8318</v>
      </c>
      <c r="N2" s="7" t="s">
        <v>8319</v>
      </c>
      <c r="O2" s="7" t="s">
        <v>84</v>
      </c>
    </row>
    <row r="3" customFormat="false" ht="15" hidden="false" customHeight="false" outlineLevel="0" collapsed="false">
      <c r="A3" s="7" t="s">
        <v>8320</v>
      </c>
      <c r="B3" s="7" t="s">
        <v>23</v>
      </c>
      <c r="C3" s="7" t="s">
        <v>64</v>
      </c>
      <c r="D3" s="7" t="s">
        <v>154</v>
      </c>
      <c r="E3" s="7" t="s">
        <v>155</v>
      </c>
      <c r="F3" s="7" t="s">
        <v>8321</v>
      </c>
      <c r="G3" s="7" t="s">
        <v>8316</v>
      </c>
      <c r="H3" s="10" t="n">
        <v>11000</v>
      </c>
      <c r="I3" s="7" t="s">
        <v>69</v>
      </c>
      <c r="J3" s="7" t="s">
        <v>8322</v>
      </c>
      <c r="K3" s="7" t="s">
        <v>8323</v>
      </c>
      <c r="L3" s="7" t="s">
        <v>72</v>
      </c>
      <c r="M3" s="7" t="s">
        <v>8324</v>
      </c>
      <c r="N3" s="7" t="s">
        <v>8325</v>
      </c>
      <c r="O3" s="7" t="s">
        <v>75</v>
      </c>
    </row>
    <row r="4" customFormat="false" ht="15" hidden="false" customHeight="false" outlineLevel="0" collapsed="false">
      <c r="A4" s="7" t="s">
        <v>8326</v>
      </c>
      <c r="B4" s="7" t="s">
        <v>23</v>
      </c>
      <c r="C4" s="7" t="s">
        <v>8327</v>
      </c>
      <c r="D4" s="7" t="s">
        <v>171</v>
      </c>
      <c r="E4" s="7" t="s">
        <v>172</v>
      </c>
      <c r="F4" s="7" t="s">
        <v>8328</v>
      </c>
      <c r="G4" s="7" t="s">
        <v>8316</v>
      </c>
      <c r="H4" s="10" t="n">
        <v>10000</v>
      </c>
      <c r="I4" s="7" t="s">
        <v>386</v>
      </c>
      <c r="J4" s="7" t="s">
        <v>2453</v>
      </c>
      <c r="K4" s="7" t="s">
        <v>8329</v>
      </c>
      <c r="L4" s="7" t="s">
        <v>72</v>
      </c>
      <c r="M4" s="7" t="s">
        <v>8330</v>
      </c>
      <c r="N4" s="7" t="s">
        <v>8331</v>
      </c>
      <c r="O4" s="7" t="s">
        <v>8332</v>
      </c>
    </row>
    <row r="5" customFormat="false" ht="15" hidden="false" customHeight="false" outlineLevel="0" collapsed="false">
      <c r="A5" s="7" t="s">
        <v>8333</v>
      </c>
      <c r="B5" s="7" t="s">
        <v>23</v>
      </c>
      <c r="C5" s="7" t="s">
        <v>8314</v>
      </c>
      <c r="D5" s="7" t="s">
        <v>1579</v>
      </c>
      <c r="E5" s="7" t="s">
        <v>854</v>
      </c>
      <c r="F5" s="7" t="s">
        <v>8334</v>
      </c>
      <c r="G5" s="7" t="s">
        <v>8316</v>
      </c>
      <c r="H5" s="10" t="n">
        <v>9000</v>
      </c>
      <c r="I5" s="7" t="s">
        <v>350</v>
      </c>
      <c r="J5" s="7"/>
      <c r="K5" s="7" t="s">
        <v>8335</v>
      </c>
      <c r="L5" s="7" t="s">
        <v>72</v>
      </c>
      <c r="M5" s="7" t="s">
        <v>8336</v>
      </c>
      <c r="N5" s="7" t="s">
        <v>8337</v>
      </c>
      <c r="O5" s="7" t="s">
        <v>84</v>
      </c>
    </row>
    <row r="6" customFormat="false" ht="15" hidden="false" customHeight="false" outlineLevel="0" collapsed="false">
      <c r="A6" s="7" t="s">
        <v>8338</v>
      </c>
      <c r="B6" s="7" t="s">
        <v>23</v>
      </c>
      <c r="C6" s="7" t="s">
        <v>64</v>
      </c>
      <c r="D6" s="7" t="s">
        <v>112</v>
      </c>
      <c r="E6" s="7" t="s">
        <v>113</v>
      </c>
      <c r="F6" s="7" t="s">
        <v>8339</v>
      </c>
      <c r="G6" s="7" t="s">
        <v>8316</v>
      </c>
      <c r="H6" s="10" t="n">
        <v>5000</v>
      </c>
      <c r="I6" s="7" t="s">
        <v>69</v>
      </c>
      <c r="J6" s="7" t="s">
        <v>819</v>
      </c>
      <c r="K6" s="7" t="s">
        <v>8340</v>
      </c>
      <c r="L6" s="7" t="s">
        <v>72</v>
      </c>
      <c r="M6" s="7" t="s">
        <v>8341</v>
      </c>
      <c r="N6" s="7" t="s">
        <v>8342</v>
      </c>
      <c r="O6" s="7" t="s">
        <v>84</v>
      </c>
    </row>
    <row r="7" customFormat="false" ht="15" hidden="false" customHeight="false" outlineLevel="0" collapsed="false">
      <c r="A7" s="7" t="s">
        <v>8343</v>
      </c>
      <c r="B7" s="7" t="s">
        <v>23</v>
      </c>
      <c r="C7" s="7" t="s">
        <v>64</v>
      </c>
      <c r="D7" s="7" t="s">
        <v>154</v>
      </c>
      <c r="E7" s="7" t="s">
        <v>155</v>
      </c>
      <c r="F7" s="7" t="s">
        <v>8344</v>
      </c>
      <c r="G7" s="7" t="s">
        <v>8316</v>
      </c>
      <c r="H7" s="10" t="n">
        <v>6000</v>
      </c>
      <c r="I7" s="7" t="s">
        <v>69</v>
      </c>
      <c r="J7" s="7" t="s">
        <v>715</v>
      </c>
      <c r="K7" s="7" t="s">
        <v>8345</v>
      </c>
      <c r="L7" s="7" t="s">
        <v>72</v>
      </c>
      <c r="M7" s="7" t="s">
        <v>8346</v>
      </c>
      <c r="N7" s="7" t="s">
        <v>8347</v>
      </c>
      <c r="O7" s="7" t="s">
        <v>8348</v>
      </c>
    </row>
    <row r="8" customFormat="false" ht="15" hidden="false" customHeight="false" outlineLevel="0" collapsed="false">
      <c r="A8" s="7" t="s">
        <v>8349</v>
      </c>
      <c r="B8" s="7" t="s">
        <v>23</v>
      </c>
      <c r="C8" s="7" t="s">
        <v>64</v>
      </c>
      <c r="D8" s="7" t="s">
        <v>112</v>
      </c>
      <c r="E8" s="7" t="s">
        <v>113</v>
      </c>
      <c r="F8" s="7" t="s">
        <v>8350</v>
      </c>
      <c r="G8" s="7" t="s">
        <v>8316</v>
      </c>
      <c r="H8" s="10" t="n">
        <v>4500</v>
      </c>
      <c r="I8" s="7" t="s">
        <v>69</v>
      </c>
      <c r="J8" s="7" t="s">
        <v>8351</v>
      </c>
      <c r="K8" s="7" t="s">
        <v>8352</v>
      </c>
      <c r="L8" s="7" t="s">
        <v>72</v>
      </c>
      <c r="M8" s="7" t="s">
        <v>8353</v>
      </c>
      <c r="N8" s="7" t="s">
        <v>8354</v>
      </c>
      <c r="O8" s="7" t="s">
        <v>84</v>
      </c>
    </row>
    <row r="9" customFormat="false" ht="15" hidden="false" customHeight="false" outlineLevel="0" collapsed="false">
      <c r="A9" s="7" t="s">
        <v>8355</v>
      </c>
      <c r="B9" s="7" t="s">
        <v>23</v>
      </c>
      <c r="C9" s="7" t="s">
        <v>8314</v>
      </c>
      <c r="D9" s="7" t="s">
        <v>8356</v>
      </c>
      <c r="E9" s="7" t="s">
        <v>480</v>
      </c>
      <c r="F9" s="7" t="s">
        <v>8357</v>
      </c>
      <c r="G9" s="7" t="s">
        <v>8316</v>
      </c>
      <c r="H9" s="10" t="n">
        <v>7000</v>
      </c>
      <c r="I9" s="7" t="s">
        <v>350</v>
      </c>
      <c r="J9" s="7"/>
      <c r="K9" s="7" t="s">
        <v>8358</v>
      </c>
      <c r="L9" s="7" t="s">
        <v>72</v>
      </c>
      <c r="M9" s="7" t="s">
        <v>8359</v>
      </c>
      <c r="N9" s="7" t="s">
        <v>8360</v>
      </c>
      <c r="O9" s="7" t="s">
        <v>84</v>
      </c>
    </row>
    <row r="10" customFormat="false" ht="15" hidden="false" customHeight="false" outlineLevel="0" collapsed="false">
      <c r="A10" s="7" t="s">
        <v>8361</v>
      </c>
      <c r="B10" s="7" t="s">
        <v>23</v>
      </c>
      <c r="C10" s="7" t="s">
        <v>64</v>
      </c>
      <c r="D10" s="7" t="s">
        <v>154</v>
      </c>
      <c r="E10" s="7" t="s">
        <v>155</v>
      </c>
      <c r="F10" s="7" t="s">
        <v>8362</v>
      </c>
      <c r="G10" s="7" t="s">
        <v>8316</v>
      </c>
      <c r="H10" s="10" t="n">
        <v>10000</v>
      </c>
      <c r="I10" s="7" t="s">
        <v>69</v>
      </c>
      <c r="J10" s="7" t="s">
        <v>139</v>
      </c>
      <c r="K10" s="7" t="s">
        <v>8363</v>
      </c>
      <c r="L10" s="7" t="s">
        <v>72</v>
      </c>
      <c r="M10" s="7" t="s">
        <v>8364</v>
      </c>
      <c r="N10" s="7" t="s">
        <v>8365</v>
      </c>
      <c r="O10" s="7" t="s">
        <v>8366</v>
      </c>
    </row>
    <row r="11" customFormat="false" ht="15" hidden="false" customHeight="false" outlineLevel="0" collapsed="false">
      <c r="A11" s="7" t="s">
        <v>8367</v>
      </c>
      <c r="B11" s="7" t="s">
        <v>23</v>
      </c>
      <c r="C11" s="7" t="s">
        <v>8314</v>
      </c>
      <c r="D11" s="7" t="s">
        <v>154</v>
      </c>
      <c r="E11" s="7" t="s">
        <v>155</v>
      </c>
      <c r="F11" s="7" t="s">
        <v>8368</v>
      </c>
      <c r="G11" s="7" t="s">
        <v>8316</v>
      </c>
      <c r="H11" s="10" t="n">
        <v>17000</v>
      </c>
      <c r="I11" s="7" t="s">
        <v>350</v>
      </c>
      <c r="J11" s="7"/>
      <c r="K11" s="7" t="s">
        <v>8369</v>
      </c>
      <c r="L11" s="7" t="s">
        <v>72</v>
      </c>
      <c r="M11" s="7" t="s">
        <v>8370</v>
      </c>
      <c r="N11" s="7" t="s">
        <v>8371</v>
      </c>
      <c r="O11" s="7" t="s">
        <v>84</v>
      </c>
    </row>
    <row r="12" customFormat="false" ht="15" hidden="false" customHeight="false" outlineLevel="0" collapsed="false">
      <c r="A12" s="7" t="s">
        <v>8372</v>
      </c>
      <c r="B12" s="7" t="s">
        <v>23</v>
      </c>
      <c r="C12" s="7" t="s">
        <v>2469</v>
      </c>
      <c r="D12" s="7" t="s">
        <v>249</v>
      </c>
      <c r="E12" s="7" t="s">
        <v>250</v>
      </c>
      <c r="F12" s="7" t="s">
        <v>8373</v>
      </c>
      <c r="G12" s="7" t="s">
        <v>8316</v>
      </c>
      <c r="H12" s="10" t="n">
        <v>5000</v>
      </c>
      <c r="I12" s="7" t="s">
        <v>69</v>
      </c>
      <c r="J12" s="7" t="s">
        <v>8374</v>
      </c>
      <c r="K12" s="7" t="s">
        <v>8375</v>
      </c>
      <c r="L12" s="7" t="s">
        <v>72</v>
      </c>
      <c r="M12" s="7" t="s">
        <v>8376</v>
      </c>
      <c r="N12" s="7" t="s">
        <v>8377</v>
      </c>
      <c r="O12" s="7" t="s">
        <v>2455</v>
      </c>
    </row>
    <row r="13" customFormat="false" ht="15" hidden="false" customHeight="false" outlineLevel="0" collapsed="false">
      <c r="A13" s="7" t="s">
        <v>8378</v>
      </c>
      <c r="B13" s="7" t="s">
        <v>24</v>
      </c>
      <c r="C13" s="7" t="s">
        <v>8379</v>
      </c>
      <c r="D13" s="7" t="s">
        <v>8380</v>
      </c>
      <c r="E13" s="7" t="s">
        <v>328</v>
      </c>
      <c r="F13" s="7" t="s">
        <v>8381</v>
      </c>
      <c r="G13" s="7" t="s">
        <v>8316</v>
      </c>
      <c r="H13" s="10" t="n">
        <v>3700</v>
      </c>
      <c r="I13" s="7" t="s">
        <v>377</v>
      </c>
      <c r="J13" s="7"/>
      <c r="K13" s="7" t="s">
        <v>8382</v>
      </c>
      <c r="L13" s="7" t="s">
        <v>2604</v>
      </c>
      <c r="M13" s="7" t="s">
        <v>8383</v>
      </c>
      <c r="N13" s="7" t="s">
        <v>8384</v>
      </c>
      <c r="O13" s="7" t="s">
        <v>8385</v>
      </c>
    </row>
    <row r="14" customFormat="false" ht="15" hidden="false" customHeight="false" outlineLevel="0" collapsed="false">
      <c r="A14" s="7" t="s">
        <v>8386</v>
      </c>
      <c r="B14" s="7" t="s">
        <v>24</v>
      </c>
      <c r="C14" s="7" t="s">
        <v>2618</v>
      </c>
      <c r="D14" s="7" t="s">
        <v>5659</v>
      </c>
      <c r="E14" s="7" t="s">
        <v>3533</v>
      </c>
      <c r="F14" s="7" t="s">
        <v>8387</v>
      </c>
      <c r="G14" s="7" t="s">
        <v>8316</v>
      </c>
      <c r="H14" s="10" t="n">
        <v>6000</v>
      </c>
      <c r="I14" s="7" t="s">
        <v>3239</v>
      </c>
      <c r="J14" s="7"/>
      <c r="K14" s="7" t="s">
        <v>8388</v>
      </c>
      <c r="L14" s="7" t="s">
        <v>2549</v>
      </c>
      <c r="M14" s="7" t="s">
        <v>8389</v>
      </c>
      <c r="N14" s="7" t="s">
        <v>8390</v>
      </c>
      <c r="O14" s="7" t="s">
        <v>8391</v>
      </c>
    </row>
    <row r="15" customFormat="false" ht="15" hidden="false" customHeight="false" outlineLevel="0" collapsed="false">
      <c r="A15" s="7" t="s">
        <v>8392</v>
      </c>
      <c r="B15" s="7" t="s">
        <v>24</v>
      </c>
      <c r="C15" s="7" t="s">
        <v>2618</v>
      </c>
      <c r="D15" s="7" t="s">
        <v>4836</v>
      </c>
      <c r="E15" s="7" t="s">
        <v>137</v>
      </c>
      <c r="F15" s="7" t="s">
        <v>8393</v>
      </c>
      <c r="G15" s="7" t="s">
        <v>8316</v>
      </c>
      <c r="H15" s="10" t="n">
        <v>4200</v>
      </c>
      <c r="I15" s="7" t="s">
        <v>377</v>
      </c>
      <c r="J15" s="7"/>
      <c r="K15" s="7" t="s">
        <v>8394</v>
      </c>
      <c r="L15" s="7" t="s">
        <v>2549</v>
      </c>
      <c r="M15" s="7" t="s">
        <v>8395</v>
      </c>
      <c r="N15" s="7" t="s">
        <v>8396</v>
      </c>
      <c r="O15" s="7" t="s">
        <v>8397</v>
      </c>
    </row>
    <row r="16" customFormat="false" ht="15" hidden="false" customHeight="false" outlineLevel="0" collapsed="false">
      <c r="A16" s="7" t="s">
        <v>8398</v>
      </c>
      <c r="B16" s="7" t="s">
        <v>24</v>
      </c>
      <c r="C16" s="7" t="s">
        <v>8399</v>
      </c>
      <c r="D16" s="7" t="s">
        <v>65</v>
      </c>
      <c r="E16" s="7" t="s">
        <v>66</v>
      </c>
      <c r="F16" s="7" t="s">
        <v>8400</v>
      </c>
      <c r="G16" s="7" t="s">
        <v>8316</v>
      </c>
      <c r="H16" s="10" t="n">
        <v>500</v>
      </c>
      <c r="I16" s="7" t="s">
        <v>377</v>
      </c>
      <c r="J16" s="7"/>
      <c r="K16" s="7" t="s">
        <v>8401</v>
      </c>
      <c r="L16" s="7" t="s">
        <v>8402</v>
      </c>
      <c r="M16" s="7" t="s">
        <v>8403</v>
      </c>
      <c r="N16" s="7" t="s">
        <v>8404</v>
      </c>
      <c r="O16" s="7" t="s">
        <v>8405</v>
      </c>
    </row>
    <row r="17" customFormat="false" ht="15" hidden="false" customHeight="false" outlineLevel="0" collapsed="false">
      <c r="A17" s="7" t="s">
        <v>8406</v>
      </c>
      <c r="B17" s="7" t="s">
        <v>24</v>
      </c>
      <c r="C17" s="7" t="s">
        <v>8407</v>
      </c>
      <c r="D17" s="7" t="s">
        <v>8408</v>
      </c>
      <c r="E17" s="7" t="s">
        <v>2538</v>
      </c>
      <c r="F17" s="7" t="s">
        <v>8409</v>
      </c>
      <c r="G17" s="7" t="s">
        <v>8316</v>
      </c>
      <c r="H17" s="10" t="n">
        <v>1600</v>
      </c>
      <c r="I17" s="7" t="s">
        <v>377</v>
      </c>
      <c r="J17" s="7"/>
      <c r="K17" s="7" t="s">
        <v>8410</v>
      </c>
      <c r="L17" s="7" t="s">
        <v>2564</v>
      </c>
      <c r="M17" s="7" t="s">
        <v>8411</v>
      </c>
      <c r="N17" s="7" t="s">
        <v>8412</v>
      </c>
      <c r="O17" s="7" t="s">
        <v>8413</v>
      </c>
    </row>
    <row r="18" customFormat="false" ht="15" hidden="false" customHeight="false" outlineLevel="0" collapsed="false">
      <c r="A18" s="7" t="s">
        <v>8414</v>
      </c>
      <c r="B18" s="7" t="s">
        <v>24</v>
      </c>
      <c r="C18" s="7" t="s">
        <v>2520</v>
      </c>
      <c r="D18" s="7" t="s">
        <v>8415</v>
      </c>
      <c r="E18" s="7" t="s">
        <v>428</v>
      </c>
      <c r="F18" s="7" t="s">
        <v>8416</v>
      </c>
      <c r="G18" s="7" t="s">
        <v>8316</v>
      </c>
      <c r="H18" s="10" t="n">
        <v>2900</v>
      </c>
      <c r="I18" s="7" t="s">
        <v>350</v>
      </c>
      <c r="J18" s="7"/>
      <c r="K18" s="7" t="s">
        <v>8417</v>
      </c>
      <c r="L18" s="7" t="s">
        <v>8418</v>
      </c>
      <c r="M18" s="7" t="s">
        <v>8419</v>
      </c>
      <c r="N18" s="7" t="s">
        <v>8420</v>
      </c>
      <c r="O18" s="7" t="s">
        <v>2509</v>
      </c>
    </row>
    <row r="19" customFormat="false" ht="15" hidden="false" customHeight="false" outlineLevel="0" collapsed="false">
      <c r="A19" s="7" t="s">
        <v>8421</v>
      </c>
      <c r="B19" s="7" t="s">
        <v>24</v>
      </c>
      <c r="C19" s="7" t="s">
        <v>8422</v>
      </c>
      <c r="D19" s="7" t="s">
        <v>3149</v>
      </c>
      <c r="E19" s="7" t="s">
        <v>172</v>
      </c>
      <c r="F19" s="7" t="s">
        <v>8423</v>
      </c>
      <c r="G19" s="7" t="s">
        <v>8316</v>
      </c>
      <c r="H19" s="10" t="n">
        <v>6500</v>
      </c>
      <c r="I19" s="7" t="s">
        <v>377</v>
      </c>
      <c r="J19" s="7"/>
      <c r="K19" s="7" t="s">
        <v>8424</v>
      </c>
      <c r="L19" s="7" t="s">
        <v>8418</v>
      </c>
      <c r="M19" s="7" t="s">
        <v>8425</v>
      </c>
      <c r="N19" s="7" t="s">
        <v>8426</v>
      </c>
      <c r="O19" s="7" t="s">
        <v>8427</v>
      </c>
    </row>
    <row r="20" customFormat="false" ht="15" hidden="false" customHeight="false" outlineLevel="0" collapsed="false">
      <c r="A20" s="7" t="s">
        <v>8428</v>
      </c>
      <c r="B20" s="7" t="s">
        <v>24</v>
      </c>
      <c r="C20" s="7" t="s">
        <v>8429</v>
      </c>
      <c r="D20" s="7" t="s">
        <v>4304</v>
      </c>
      <c r="E20" s="7" t="s">
        <v>1030</v>
      </c>
      <c r="F20" s="7" t="s">
        <v>8430</v>
      </c>
      <c r="G20" s="7" t="s">
        <v>8316</v>
      </c>
      <c r="H20" s="10" t="n">
        <v>3500</v>
      </c>
      <c r="I20" s="7" t="s">
        <v>377</v>
      </c>
      <c r="J20" s="7"/>
      <c r="K20" s="7" t="s">
        <v>8431</v>
      </c>
      <c r="L20" s="7" t="s">
        <v>2549</v>
      </c>
      <c r="M20" s="7" t="s">
        <v>8432</v>
      </c>
      <c r="N20" s="7" t="s">
        <v>8433</v>
      </c>
      <c r="O20" s="7" t="s">
        <v>8434</v>
      </c>
    </row>
    <row r="21" customFormat="false" ht="15" hidden="false" customHeight="false" outlineLevel="0" collapsed="false">
      <c r="A21" s="7" t="s">
        <v>8435</v>
      </c>
      <c r="B21" s="7" t="s">
        <v>24</v>
      </c>
      <c r="C21" s="7" t="s">
        <v>2618</v>
      </c>
      <c r="D21" s="7" t="s">
        <v>827</v>
      </c>
      <c r="E21" s="7" t="s">
        <v>480</v>
      </c>
      <c r="F21" s="7" t="s">
        <v>8436</v>
      </c>
      <c r="G21" s="7" t="s">
        <v>8316</v>
      </c>
      <c r="H21" s="10" t="n">
        <v>4800</v>
      </c>
      <c r="I21" s="7" t="s">
        <v>377</v>
      </c>
      <c r="J21" s="7"/>
      <c r="K21" s="7" t="s">
        <v>8437</v>
      </c>
      <c r="L21" s="7" t="s">
        <v>8438</v>
      </c>
      <c r="M21" s="7" t="s">
        <v>8439</v>
      </c>
      <c r="N21" s="7" t="s">
        <v>8440</v>
      </c>
      <c r="O21" s="7" t="s">
        <v>8441</v>
      </c>
    </row>
    <row r="22" customFormat="false" ht="15" hidden="false" customHeight="false" outlineLevel="0" collapsed="false">
      <c r="A22" s="7" t="s">
        <v>8442</v>
      </c>
      <c r="B22" s="7" t="s">
        <v>24</v>
      </c>
      <c r="C22" s="7" t="s">
        <v>8443</v>
      </c>
      <c r="D22" s="7" t="s">
        <v>1579</v>
      </c>
      <c r="E22" s="7" t="s">
        <v>854</v>
      </c>
      <c r="F22" s="7" t="s">
        <v>8444</v>
      </c>
      <c r="G22" s="7" t="s">
        <v>8316</v>
      </c>
      <c r="H22" s="10" t="n">
        <v>5500</v>
      </c>
      <c r="I22" s="7" t="s">
        <v>377</v>
      </c>
      <c r="J22" s="7"/>
      <c r="K22" s="7" t="s">
        <v>8445</v>
      </c>
      <c r="L22" s="7" t="s">
        <v>2549</v>
      </c>
      <c r="M22" s="7" t="s">
        <v>8446</v>
      </c>
      <c r="N22" s="7" t="s">
        <v>8447</v>
      </c>
      <c r="O22" s="7" t="s">
        <v>8448</v>
      </c>
    </row>
    <row r="23" customFormat="false" ht="15" hidden="false" customHeight="false" outlineLevel="0" collapsed="false">
      <c r="A23" s="7" t="s">
        <v>8449</v>
      </c>
      <c r="B23" s="7" t="s">
        <v>24</v>
      </c>
      <c r="C23" s="7" t="s">
        <v>4886</v>
      </c>
      <c r="D23" s="7" t="s">
        <v>797</v>
      </c>
      <c r="E23" s="7" t="s">
        <v>78</v>
      </c>
      <c r="F23" s="7" t="s">
        <v>8450</v>
      </c>
      <c r="G23" s="7" t="s">
        <v>8316</v>
      </c>
      <c r="H23" s="10" t="n">
        <v>2000</v>
      </c>
      <c r="I23" s="7" t="s">
        <v>69</v>
      </c>
      <c r="J23" s="7" t="s">
        <v>8451</v>
      </c>
      <c r="K23" s="7" t="s">
        <v>8452</v>
      </c>
      <c r="L23" s="7" t="s">
        <v>2604</v>
      </c>
      <c r="M23" s="7" t="s">
        <v>8453</v>
      </c>
      <c r="N23" s="7" t="s">
        <v>8454</v>
      </c>
      <c r="O23" s="7" t="s">
        <v>8455</v>
      </c>
    </row>
    <row r="24" customFormat="false" ht="15" hidden="false" customHeight="false" outlineLevel="0" collapsed="false">
      <c r="A24" s="7" t="s">
        <v>8456</v>
      </c>
      <c r="B24" s="7" t="s">
        <v>24</v>
      </c>
      <c r="C24" s="7" t="s">
        <v>8457</v>
      </c>
      <c r="D24" s="7" t="s">
        <v>1321</v>
      </c>
      <c r="E24" s="7" t="s">
        <v>78</v>
      </c>
      <c r="F24" s="7" t="s">
        <v>8458</v>
      </c>
      <c r="G24" s="7" t="s">
        <v>8316</v>
      </c>
      <c r="H24" s="10" t="n">
        <v>7000</v>
      </c>
      <c r="I24" s="7" t="s">
        <v>377</v>
      </c>
      <c r="J24" s="7"/>
      <c r="K24" s="7" t="s">
        <v>8459</v>
      </c>
      <c r="L24" s="7" t="s">
        <v>2622</v>
      </c>
      <c r="M24" s="7" t="s">
        <v>8460</v>
      </c>
      <c r="N24" s="7" t="s">
        <v>8461</v>
      </c>
      <c r="O24" s="7" t="s">
        <v>8462</v>
      </c>
    </row>
    <row r="25" customFormat="false" ht="15" hidden="false" customHeight="false" outlineLevel="0" collapsed="false">
      <c r="A25" s="7" t="s">
        <v>8463</v>
      </c>
      <c r="B25" s="7" t="s">
        <v>24</v>
      </c>
      <c r="C25" s="7" t="s">
        <v>8464</v>
      </c>
      <c r="D25" s="7" t="s">
        <v>154</v>
      </c>
      <c r="E25" s="7" t="s">
        <v>155</v>
      </c>
      <c r="F25" s="7" t="s">
        <v>8465</v>
      </c>
      <c r="G25" s="7" t="s">
        <v>8316</v>
      </c>
      <c r="H25" s="10" t="n">
        <v>1900</v>
      </c>
      <c r="I25" s="7" t="s">
        <v>377</v>
      </c>
      <c r="J25" s="7"/>
      <c r="K25" s="7" t="s">
        <v>8466</v>
      </c>
      <c r="L25" s="7" t="s">
        <v>8402</v>
      </c>
      <c r="M25" s="7" t="s">
        <v>8467</v>
      </c>
      <c r="N25" s="7" t="s">
        <v>8468</v>
      </c>
      <c r="O25" s="7" t="s">
        <v>8469</v>
      </c>
    </row>
    <row r="26" customFormat="false" ht="15" hidden="false" customHeight="false" outlineLevel="0" collapsed="false">
      <c r="A26" s="7" t="s">
        <v>8470</v>
      </c>
      <c r="B26" s="7" t="s">
        <v>24</v>
      </c>
      <c r="C26" s="7" t="s">
        <v>2618</v>
      </c>
      <c r="D26" s="7" t="s">
        <v>337</v>
      </c>
      <c r="E26" s="7" t="s">
        <v>338</v>
      </c>
      <c r="F26" s="7" t="s">
        <v>8471</v>
      </c>
      <c r="G26" s="7" t="s">
        <v>8316</v>
      </c>
      <c r="H26" s="10" t="n">
        <v>4200</v>
      </c>
      <c r="I26" s="7" t="s">
        <v>377</v>
      </c>
      <c r="J26" s="7"/>
      <c r="K26" s="7" t="s">
        <v>8472</v>
      </c>
      <c r="L26" s="7" t="s">
        <v>2549</v>
      </c>
      <c r="M26" s="7" t="s">
        <v>8473</v>
      </c>
      <c r="N26" s="7" t="s">
        <v>8474</v>
      </c>
      <c r="O26" s="7" t="s">
        <v>8475</v>
      </c>
    </row>
    <row r="27" customFormat="false" ht="15" hidden="false" customHeight="false" outlineLevel="0" collapsed="false">
      <c r="A27" s="7" t="s">
        <v>8476</v>
      </c>
      <c r="B27" s="7" t="s">
        <v>24</v>
      </c>
      <c r="C27" s="7" t="s">
        <v>2618</v>
      </c>
      <c r="D27" s="7" t="s">
        <v>2424</v>
      </c>
      <c r="E27" s="7" t="s">
        <v>338</v>
      </c>
      <c r="F27" s="7" t="s">
        <v>8477</v>
      </c>
      <c r="G27" s="7" t="s">
        <v>8316</v>
      </c>
      <c r="H27" s="10" t="n">
        <v>3500</v>
      </c>
      <c r="I27" s="7" t="s">
        <v>377</v>
      </c>
      <c r="J27" s="7"/>
      <c r="K27" s="7" t="s">
        <v>8478</v>
      </c>
      <c r="L27" s="7" t="s">
        <v>414</v>
      </c>
      <c r="M27" s="7" t="s">
        <v>8479</v>
      </c>
      <c r="N27" s="7" t="s">
        <v>8480</v>
      </c>
      <c r="O27" s="7" t="s">
        <v>8481</v>
      </c>
    </row>
    <row r="28" customFormat="false" ht="15" hidden="false" customHeight="false" outlineLevel="0" collapsed="false">
      <c r="A28" s="7" t="s">
        <v>8482</v>
      </c>
      <c r="B28" s="7" t="s">
        <v>24</v>
      </c>
      <c r="C28" s="7" t="s">
        <v>8483</v>
      </c>
      <c r="D28" s="7" t="s">
        <v>264</v>
      </c>
      <c r="E28" s="7" t="s">
        <v>250</v>
      </c>
      <c r="F28" s="7" t="s">
        <v>8484</v>
      </c>
      <c r="G28" s="7" t="s">
        <v>8316</v>
      </c>
      <c r="H28" s="10" t="n">
        <v>1400</v>
      </c>
      <c r="I28" s="7" t="s">
        <v>377</v>
      </c>
      <c r="J28" s="7"/>
      <c r="K28" s="7" t="s">
        <v>8485</v>
      </c>
      <c r="L28" s="7" t="s">
        <v>8486</v>
      </c>
      <c r="M28" s="7" t="s">
        <v>8487</v>
      </c>
      <c r="N28" s="7" t="s">
        <v>8488</v>
      </c>
      <c r="O28" s="7" t="s">
        <v>8489</v>
      </c>
    </row>
    <row r="29" customFormat="false" ht="15" hidden="false" customHeight="false" outlineLevel="0" collapsed="false">
      <c r="A29" s="7" t="s">
        <v>8490</v>
      </c>
      <c r="B29" s="7" t="s">
        <v>24</v>
      </c>
      <c r="C29" s="7" t="s">
        <v>8491</v>
      </c>
      <c r="D29" s="7" t="s">
        <v>154</v>
      </c>
      <c r="E29" s="7" t="s">
        <v>155</v>
      </c>
      <c r="F29" s="7" t="s">
        <v>8492</v>
      </c>
      <c r="G29" s="7" t="s">
        <v>8316</v>
      </c>
      <c r="H29" s="10" t="n">
        <v>7500</v>
      </c>
      <c r="I29" s="7" t="s">
        <v>377</v>
      </c>
      <c r="J29" s="7"/>
      <c r="K29" s="7" t="s">
        <v>8493</v>
      </c>
      <c r="L29" s="7" t="s">
        <v>8494</v>
      </c>
      <c r="M29" s="7" t="s">
        <v>8495</v>
      </c>
      <c r="N29" s="7" t="s">
        <v>8496</v>
      </c>
      <c r="O29" s="7" t="s">
        <v>8497</v>
      </c>
    </row>
    <row r="30" customFormat="false" ht="15" hidden="false" customHeight="false" outlineLevel="0" collapsed="false">
      <c r="A30" s="7" t="s">
        <v>8498</v>
      </c>
      <c r="B30" s="7" t="s">
        <v>24</v>
      </c>
      <c r="C30" s="7" t="s">
        <v>2653</v>
      </c>
      <c r="D30" s="7" t="s">
        <v>5523</v>
      </c>
      <c r="E30" s="7" t="s">
        <v>88</v>
      </c>
      <c r="F30" s="7" t="s">
        <v>8499</v>
      </c>
      <c r="G30" s="7" t="s">
        <v>8316</v>
      </c>
      <c r="H30" s="10" t="n">
        <v>600</v>
      </c>
      <c r="I30" s="7" t="s">
        <v>377</v>
      </c>
      <c r="J30" s="7"/>
      <c r="K30" s="7" t="s">
        <v>8500</v>
      </c>
      <c r="L30" s="7" t="s">
        <v>8501</v>
      </c>
      <c r="M30" s="7" t="s">
        <v>8502</v>
      </c>
      <c r="N30" s="7" t="s">
        <v>8503</v>
      </c>
      <c r="O30" s="7" t="s">
        <v>8504</v>
      </c>
    </row>
    <row r="31" customFormat="false" ht="15" hidden="false" customHeight="false" outlineLevel="0" collapsed="false">
      <c r="A31" s="7" t="s">
        <v>8505</v>
      </c>
      <c r="B31" s="7" t="s">
        <v>24</v>
      </c>
      <c r="C31" s="7" t="s">
        <v>8506</v>
      </c>
      <c r="D31" s="7" t="s">
        <v>1245</v>
      </c>
      <c r="E31" s="7" t="s">
        <v>78</v>
      </c>
      <c r="F31" s="7" t="s">
        <v>8507</v>
      </c>
      <c r="G31" s="7" t="s">
        <v>8316</v>
      </c>
      <c r="H31" s="10" t="n">
        <v>1000</v>
      </c>
      <c r="I31" s="7" t="s">
        <v>377</v>
      </c>
      <c r="J31" s="7"/>
      <c r="K31" s="7" t="s">
        <v>8508</v>
      </c>
      <c r="L31" s="7" t="s">
        <v>321</v>
      </c>
      <c r="M31" s="7" t="s">
        <v>8509</v>
      </c>
      <c r="N31" s="7" t="s">
        <v>8510</v>
      </c>
      <c r="O31" s="7" t="s">
        <v>8511</v>
      </c>
    </row>
    <row r="32" customFormat="false" ht="15" hidden="false" customHeight="false" outlineLevel="0" collapsed="false">
      <c r="A32" s="7" t="s">
        <v>8512</v>
      </c>
      <c r="B32" s="7" t="s">
        <v>24</v>
      </c>
      <c r="C32" s="7" t="s">
        <v>2520</v>
      </c>
      <c r="D32" s="7" t="s">
        <v>8513</v>
      </c>
      <c r="E32" s="7" t="s">
        <v>206</v>
      </c>
      <c r="F32" s="7" t="s">
        <v>8514</v>
      </c>
      <c r="G32" s="7" t="s">
        <v>8316</v>
      </c>
      <c r="H32" s="10" t="n">
        <v>3200</v>
      </c>
      <c r="I32" s="7" t="s">
        <v>350</v>
      </c>
      <c r="J32" s="7"/>
      <c r="K32" s="7" t="s">
        <v>8515</v>
      </c>
      <c r="L32" s="7" t="s">
        <v>2549</v>
      </c>
      <c r="M32" s="7" t="s">
        <v>8516</v>
      </c>
      <c r="N32" s="7" t="s">
        <v>8517</v>
      </c>
      <c r="O32" s="7" t="s">
        <v>2509</v>
      </c>
    </row>
    <row r="33" customFormat="false" ht="15" hidden="false" customHeight="false" outlineLevel="0" collapsed="false">
      <c r="A33" s="7" t="s">
        <v>8518</v>
      </c>
      <c r="B33" s="7" t="s">
        <v>24</v>
      </c>
      <c r="C33" s="7" t="s">
        <v>2609</v>
      </c>
      <c r="D33" s="7" t="s">
        <v>4421</v>
      </c>
      <c r="E33" s="7" t="s">
        <v>1030</v>
      </c>
      <c r="F33" s="7" t="s">
        <v>8519</v>
      </c>
      <c r="G33" s="7" t="s">
        <v>8316</v>
      </c>
      <c r="H33" s="10" t="n">
        <v>9000</v>
      </c>
      <c r="I33" s="7" t="s">
        <v>377</v>
      </c>
      <c r="J33" s="7"/>
      <c r="K33" s="7" t="s">
        <v>8520</v>
      </c>
      <c r="L33" s="7" t="s">
        <v>8521</v>
      </c>
      <c r="M33" s="7" t="s">
        <v>8522</v>
      </c>
      <c r="N33" s="7" t="s">
        <v>8523</v>
      </c>
      <c r="O33" s="7" t="s">
        <v>8524</v>
      </c>
    </row>
    <row r="34" customFormat="false" ht="15" hidden="false" customHeight="false" outlineLevel="0" collapsed="false">
      <c r="A34" s="7" t="s">
        <v>8525</v>
      </c>
      <c r="B34" s="7" t="s">
        <v>24</v>
      </c>
      <c r="C34" s="7" t="s">
        <v>8457</v>
      </c>
      <c r="D34" s="7" t="s">
        <v>8526</v>
      </c>
      <c r="E34" s="7" t="s">
        <v>88</v>
      </c>
      <c r="F34" s="7" t="s">
        <v>8527</v>
      </c>
      <c r="G34" s="7" t="s">
        <v>8316</v>
      </c>
      <c r="H34" s="10" t="n">
        <v>3500</v>
      </c>
      <c r="I34" s="7" t="s">
        <v>377</v>
      </c>
      <c r="J34" s="7"/>
      <c r="K34" s="7" t="s">
        <v>8528</v>
      </c>
      <c r="L34" s="7" t="s">
        <v>2622</v>
      </c>
      <c r="M34" s="7" t="s">
        <v>8529</v>
      </c>
      <c r="N34" s="7" t="s">
        <v>8530</v>
      </c>
      <c r="O34" s="7" t="s">
        <v>8531</v>
      </c>
    </row>
    <row r="35" customFormat="false" ht="15" hidden="false" customHeight="false" outlineLevel="0" collapsed="false">
      <c r="A35" s="7" t="s">
        <v>8532</v>
      </c>
      <c r="B35" s="7" t="s">
        <v>24</v>
      </c>
      <c r="C35" s="7" t="s">
        <v>8533</v>
      </c>
      <c r="D35" s="7" t="s">
        <v>8534</v>
      </c>
      <c r="E35" s="7" t="s">
        <v>78</v>
      </c>
      <c r="F35" s="7" t="s">
        <v>8535</v>
      </c>
      <c r="G35" s="7" t="s">
        <v>8316</v>
      </c>
      <c r="H35" s="10" t="n">
        <v>4000</v>
      </c>
      <c r="I35" s="7" t="s">
        <v>377</v>
      </c>
      <c r="J35" s="7"/>
      <c r="K35" s="7" t="s">
        <v>8536</v>
      </c>
      <c r="L35" s="7" t="s">
        <v>8537</v>
      </c>
      <c r="M35" s="7" t="s">
        <v>8538</v>
      </c>
      <c r="N35" s="7" t="s">
        <v>8539</v>
      </c>
      <c r="O35" s="7" t="s">
        <v>4490</v>
      </c>
    </row>
    <row r="36" customFormat="false" ht="15" hidden="false" customHeight="false" outlineLevel="0" collapsed="false">
      <c r="A36" s="7" t="s">
        <v>8540</v>
      </c>
      <c r="B36" s="7" t="s">
        <v>24</v>
      </c>
      <c r="C36" s="7" t="s">
        <v>2660</v>
      </c>
      <c r="D36" s="7" t="s">
        <v>154</v>
      </c>
      <c r="E36" s="7" t="s">
        <v>155</v>
      </c>
      <c r="F36" s="7" t="s">
        <v>8541</v>
      </c>
      <c r="G36" s="7" t="s">
        <v>8316</v>
      </c>
      <c r="H36" s="10" t="n">
        <v>6000</v>
      </c>
      <c r="I36" s="7" t="s">
        <v>350</v>
      </c>
      <c r="J36" s="7"/>
      <c r="K36" s="7" t="s">
        <v>8542</v>
      </c>
      <c r="L36" s="7" t="s">
        <v>331</v>
      </c>
      <c r="M36" s="7" t="s">
        <v>8543</v>
      </c>
      <c r="N36" s="7" t="s">
        <v>8544</v>
      </c>
      <c r="O36" s="7" t="s">
        <v>4490</v>
      </c>
    </row>
    <row r="37" customFormat="false" ht="15" hidden="false" customHeight="false" outlineLevel="0" collapsed="false">
      <c r="A37" s="7" t="s">
        <v>8545</v>
      </c>
      <c r="B37" s="7" t="s">
        <v>24</v>
      </c>
      <c r="C37" s="7" t="s">
        <v>8546</v>
      </c>
      <c r="D37" s="7" t="s">
        <v>515</v>
      </c>
      <c r="E37" s="7" t="s">
        <v>428</v>
      </c>
      <c r="F37" s="7" t="s">
        <v>8547</v>
      </c>
      <c r="G37" s="7" t="s">
        <v>8316</v>
      </c>
      <c r="H37" s="10" t="n">
        <v>3000</v>
      </c>
      <c r="I37" s="7" t="s">
        <v>377</v>
      </c>
      <c r="J37" s="7"/>
      <c r="K37" s="7" t="s">
        <v>8548</v>
      </c>
      <c r="L37" s="7" t="s">
        <v>2604</v>
      </c>
      <c r="M37" s="7" t="s">
        <v>8549</v>
      </c>
      <c r="N37" s="7" t="s">
        <v>8550</v>
      </c>
      <c r="O37" s="7" t="s">
        <v>8551</v>
      </c>
    </row>
    <row r="38" customFormat="false" ht="15" hidden="false" customHeight="false" outlineLevel="0" collapsed="false">
      <c r="A38" s="7" t="s">
        <v>8552</v>
      </c>
      <c r="B38" s="7" t="s">
        <v>24</v>
      </c>
      <c r="C38" s="7" t="s">
        <v>8553</v>
      </c>
      <c r="D38" s="7" t="s">
        <v>3149</v>
      </c>
      <c r="E38" s="7" t="s">
        <v>172</v>
      </c>
      <c r="F38" s="7" t="s">
        <v>8554</v>
      </c>
      <c r="G38" s="7" t="s">
        <v>8316</v>
      </c>
      <c r="H38" s="10" t="n">
        <v>800</v>
      </c>
      <c r="I38" s="7" t="s">
        <v>377</v>
      </c>
      <c r="J38" s="7"/>
      <c r="K38" s="7" t="s">
        <v>8555</v>
      </c>
      <c r="L38" s="7" t="s">
        <v>2637</v>
      </c>
      <c r="M38" s="7" t="s">
        <v>8556</v>
      </c>
      <c r="N38" s="7" t="s">
        <v>8557</v>
      </c>
      <c r="O38" s="7" t="s">
        <v>8558</v>
      </c>
    </row>
    <row r="39" customFormat="false" ht="15" hidden="false" customHeight="false" outlineLevel="0" collapsed="false">
      <c r="A39" s="7" t="s">
        <v>8559</v>
      </c>
      <c r="B39" s="7" t="s">
        <v>24</v>
      </c>
      <c r="C39" s="7" t="s">
        <v>2527</v>
      </c>
      <c r="D39" s="7" t="s">
        <v>8560</v>
      </c>
      <c r="E39" s="7" t="s">
        <v>222</v>
      </c>
      <c r="F39" s="7" t="s">
        <v>8561</v>
      </c>
      <c r="G39" s="7" t="s">
        <v>8316</v>
      </c>
      <c r="H39" s="10" t="n">
        <v>2700</v>
      </c>
      <c r="I39" s="7" t="s">
        <v>377</v>
      </c>
      <c r="J39" s="7"/>
      <c r="K39" s="7" t="s">
        <v>8562</v>
      </c>
      <c r="L39" s="7" t="s">
        <v>8494</v>
      </c>
      <c r="M39" s="7" t="s">
        <v>8563</v>
      </c>
      <c r="N39" s="7" t="s">
        <v>8564</v>
      </c>
      <c r="O39" s="7" t="s">
        <v>8565</v>
      </c>
    </row>
    <row r="40" customFormat="false" ht="15" hidden="false" customHeight="false" outlineLevel="0" collapsed="false">
      <c r="A40" s="7" t="s">
        <v>8566</v>
      </c>
      <c r="B40" s="7" t="s">
        <v>24</v>
      </c>
      <c r="C40" s="7" t="s">
        <v>2653</v>
      </c>
      <c r="D40" s="7" t="s">
        <v>970</v>
      </c>
      <c r="E40" s="7" t="s">
        <v>250</v>
      </c>
      <c r="F40" s="7" t="s">
        <v>8567</v>
      </c>
      <c r="G40" s="7" t="s">
        <v>8316</v>
      </c>
      <c r="H40" s="10" t="n">
        <v>600</v>
      </c>
      <c r="I40" s="7" t="s">
        <v>377</v>
      </c>
      <c r="J40" s="7"/>
      <c r="K40" s="7" t="s">
        <v>8568</v>
      </c>
      <c r="L40" s="7" t="s">
        <v>8569</v>
      </c>
      <c r="M40" s="7" t="s">
        <v>8570</v>
      </c>
      <c r="N40" s="7" t="s">
        <v>8571</v>
      </c>
      <c r="O40" s="7" t="s">
        <v>2559</v>
      </c>
    </row>
    <row r="41" customFormat="false" ht="15" hidden="false" customHeight="false" outlineLevel="0" collapsed="false">
      <c r="A41" s="7" t="s">
        <v>8572</v>
      </c>
      <c r="B41" s="7" t="s">
        <v>24</v>
      </c>
      <c r="C41" s="7" t="s">
        <v>4729</v>
      </c>
      <c r="D41" s="7" t="s">
        <v>249</v>
      </c>
      <c r="E41" s="7" t="s">
        <v>250</v>
      </c>
      <c r="F41" s="7" t="s">
        <v>8573</v>
      </c>
      <c r="G41" s="7" t="s">
        <v>8316</v>
      </c>
      <c r="H41" s="10" t="n">
        <v>2300</v>
      </c>
      <c r="I41" s="7" t="s">
        <v>377</v>
      </c>
      <c r="J41" s="7"/>
      <c r="K41" s="7" t="s">
        <v>8574</v>
      </c>
      <c r="L41" s="7" t="s">
        <v>2549</v>
      </c>
      <c r="M41" s="7" t="s">
        <v>8575</v>
      </c>
      <c r="N41" s="7" t="s">
        <v>8576</v>
      </c>
      <c r="O41" s="7" t="s">
        <v>8577</v>
      </c>
    </row>
    <row r="42" customFormat="false" ht="15" hidden="false" customHeight="false" outlineLevel="0" collapsed="false">
      <c r="A42" s="7" t="s">
        <v>8578</v>
      </c>
      <c r="B42" s="7" t="s">
        <v>24</v>
      </c>
      <c r="C42" s="7" t="s">
        <v>8579</v>
      </c>
      <c r="D42" s="7" t="s">
        <v>8580</v>
      </c>
      <c r="E42" s="7" t="s">
        <v>163</v>
      </c>
      <c r="F42" s="7" t="s">
        <v>8581</v>
      </c>
      <c r="G42" s="7" t="s">
        <v>8316</v>
      </c>
      <c r="H42" s="10" t="n">
        <v>6000</v>
      </c>
      <c r="I42" s="7" t="s">
        <v>377</v>
      </c>
      <c r="J42" s="7"/>
      <c r="K42" s="7" t="s">
        <v>8582</v>
      </c>
      <c r="L42" s="7" t="s">
        <v>8583</v>
      </c>
      <c r="M42" s="7" t="s">
        <v>8584</v>
      </c>
      <c r="N42" s="7" t="s">
        <v>8585</v>
      </c>
      <c r="O42" s="7" t="s">
        <v>8586</v>
      </c>
    </row>
    <row r="43" customFormat="false" ht="15" hidden="false" customHeight="false" outlineLevel="0" collapsed="false">
      <c r="A43" s="7" t="s">
        <v>8587</v>
      </c>
      <c r="B43" s="7" t="s">
        <v>24</v>
      </c>
      <c r="C43" s="7" t="s">
        <v>8588</v>
      </c>
      <c r="D43" s="7" t="s">
        <v>3392</v>
      </c>
      <c r="E43" s="7" t="s">
        <v>147</v>
      </c>
      <c r="F43" s="7" t="s">
        <v>8589</v>
      </c>
      <c r="G43" s="7" t="s">
        <v>8316</v>
      </c>
      <c r="H43" s="10" t="n">
        <v>1100</v>
      </c>
      <c r="I43" s="7" t="s">
        <v>377</v>
      </c>
      <c r="J43" s="7"/>
      <c r="K43" s="7" t="s">
        <v>8590</v>
      </c>
      <c r="L43" s="7" t="s">
        <v>8591</v>
      </c>
      <c r="M43" s="7" t="s">
        <v>8592</v>
      </c>
      <c r="N43" s="7" t="s">
        <v>8593</v>
      </c>
      <c r="O43" s="7" t="s">
        <v>8594</v>
      </c>
    </row>
    <row r="44" customFormat="false" ht="15" hidden="false" customHeight="false" outlineLevel="0" collapsed="false">
      <c r="A44" s="7" t="s">
        <v>8595</v>
      </c>
      <c r="B44" s="7" t="s">
        <v>24</v>
      </c>
      <c r="C44" s="7" t="s">
        <v>8596</v>
      </c>
      <c r="D44" s="7" t="s">
        <v>953</v>
      </c>
      <c r="E44" s="7" t="s">
        <v>954</v>
      </c>
      <c r="F44" s="7" t="s">
        <v>8597</v>
      </c>
      <c r="G44" s="7" t="s">
        <v>8316</v>
      </c>
      <c r="H44" s="10" t="n">
        <v>6500</v>
      </c>
      <c r="I44" s="7" t="s">
        <v>377</v>
      </c>
      <c r="J44" s="7"/>
      <c r="K44" s="7" t="s">
        <v>8598</v>
      </c>
      <c r="L44" s="7" t="s">
        <v>331</v>
      </c>
      <c r="M44" s="7" t="s">
        <v>8599</v>
      </c>
      <c r="N44" s="7" t="s">
        <v>8600</v>
      </c>
      <c r="O44" s="7" t="s">
        <v>8601</v>
      </c>
    </row>
    <row r="45" customFormat="false" ht="15" hidden="false" customHeight="false" outlineLevel="0" collapsed="false">
      <c r="A45" s="7" t="s">
        <v>8602</v>
      </c>
      <c r="B45" s="7" t="s">
        <v>24</v>
      </c>
      <c r="C45" s="7" t="s">
        <v>2660</v>
      </c>
      <c r="D45" s="7" t="s">
        <v>420</v>
      </c>
      <c r="E45" s="7" t="s">
        <v>78</v>
      </c>
      <c r="F45" s="7" t="s">
        <v>8603</v>
      </c>
      <c r="G45" s="7" t="s">
        <v>8316</v>
      </c>
      <c r="H45" s="10" t="n">
        <v>4500</v>
      </c>
      <c r="I45" s="7" t="s">
        <v>377</v>
      </c>
      <c r="J45" s="7"/>
      <c r="K45" s="7" t="s">
        <v>8604</v>
      </c>
      <c r="L45" s="7" t="s">
        <v>331</v>
      </c>
      <c r="M45" s="7" t="s">
        <v>8605</v>
      </c>
      <c r="N45" s="7" t="s">
        <v>8606</v>
      </c>
      <c r="O45" s="7" t="s">
        <v>8607</v>
      </c>
    </row>
    <row r="46" customFormat="false" ht="15" hidden="false" customHeight="false" outlineLevel="0" collapsed="false">
      <c r="A46" s="7" t="s">
        <v>8608</v>
      </c>
      <c r="B46" s="7" t="s">
        <v>25</v>
      </c>
      <c r="C46" s="7" t="s">
        <v>8609</v>
      </c>
      <c r="D46" s="7" t="s">
        <v>112</v>
      </c>
      <c r="E46" s="7" t="s">
        <v>113</v>
      </c>
      <c r="F46" s="7" t="s">
        <v>8610</v>
      </c>
      <c r="G46" s="7" t="s">
        <v>8316</v>
      </c>
      <c r="H46" s="10" t="n">
        <v>3500</v>
      </c>
      <c r="I46" s="7" t="s">
        <v>69</v>
      </c>
      <c r="J46" s="7" t="s">
        <v>8611</v>
      </c>
      <c r="K46" s="7" t="s">
        <v>8612</v>
      </c>
      <c r="L46" s="7" t="s">
        <v>8613</v>
      </c>
      <c r="M46" s="7" t="s">
        <v>8614</v>
      </c>
      <c r="N46" s="7" t="s">
        <v>8615</v>
      </c>
      <c r="O46" s="7" t="s">
        <v>8616</v>
      </c>
    </row>
    <row r="47" customFormat="false" ht="15" hidden="false" customHeight="false" outlineLevel="0" collapsed="false">
      <c r="A47" s="7" t="s">
        <v>8617</v>
      </c>
      <c r="B47" s="7" t="s">
        <v>25</v>
      </c>
      <c r="C47" s="7" t="s">
        <v>8609</v>
      </c>
      <c r="D47" s="7" t="s">
        <v>112</v>
      </c>
      <c r="E47" s="7" t="s">
        <v>113</v>
      </c>
      <c r="F47" s="7" t="s">
        <v>8618</v>
      </c>
      <c r="G47" s="7" t="s">
        <v>8316</v>
      </c>
      <c r="H47" s="10" t="n">
        <v>10000</v>
      </c>
      <c r="I47" s="7" t="s">
        <v>350</v>
      </c>
      <c r="J47" s="7"/>
      <c r="K47" s="7" t="s">
        <v>8619</v>
      </c>
      <c r="L47" s="7" t="s">
        <v>8620</v>
      </c>
      <c r="M47" s="7" t="s">
        <v>8621</v>
      </c>
      <c r="N47" s="7" t="s">
        <v>8622</v>
      </c>
      <c r="O47" s="7" t="s">
        <v>8623</v>
      </c>
    </row>
    <row r="48" customFormat="false" ht="15" hidden="false" customHeight="false" outlineLevel="0" collapsed="false">
      <c r="A48" s="7" t="s">
        <v>8624</v>
      </c>
      <c r="B48" s="7" t="s">
        <v>25</v>
      </c>
      <c r="C48" s="7" t="s">
        <v>8625</v>
      </c>
      <c r="D48" s="7" t="s">
        <v>515</v>
      </c>
      <c r="E48" s="7" t="s">
        <v>428</v>
      </c>
      <c r="F48" s="7" t="s">
        <v>8626</v>
      </c>
      <c r="G48" s="7" t="s">
        <v>8316</v>
      </c>
      <c r="H48" s="10" t="n">
        <v>60000</v>
      </c>
      <c r="I48" s="7" t="s">
        <v>386</v>
      </c>
      <c r="J48" s="7"/>
      <c r="K48" s="7" t="s">
        <v>8627</v>
      </c>
      <c r="L48" s="7" t="s">
        <v>8628</v>
      </c>
      <c r="M48" s="7" t="s">
        <v>8629</v>
      </c>
      <c r="N48" s="7" t="s">
        <v>8630</v>
      </c>
      <c r="O48" s="7" t="s">
        <v>8631</v>
      </c>
    </row>
    <row r="49" customFormat="false" ht="15" hidden="false" customHeight="false" outlineLevel="0" collapsed="false">
      <c r="A49" s="7" t="s">
        <v>8632</v>
      </c>
      <c r="B49" s="7" t="s">
        <v>25</v>
      </c>
      <c r="C49" s="7" t="s">
        <v>8633</v>
      </c>
      <c r="D49" s="7" t="s">
        <v>3827</v>
      </c>
      <c r="E49" s="7" t="s">
        <v>88</v>
      </c>
      <c r="F49" s="7" t="s">
        <v>8634</v>
      </c>
      <c r="G49" s="7" t="s">
        <v>8316</v>
      </c>
      <c r="H49" s="10" t="n">
        <v>18000</v>
      </c>
      <c r="I49" s="7" t="s">
        <v>69</v>
      </c>
      <c r="J49" s="7" t="s">
        <v>157</v>
      </c>
      <c r="K49" s="7" t="s">
        <v>8635</v>
      </c>
      <c r="L49" s="7" t="s">
        <v>8636</v>
      </c>
      <c r="M49" s="7" t="s">
        <v>8637</v>
      </c>
      <c r="N49" s="7" t="s">
        <v>8638</v>
      </c>
      <c r="O49" s="7" t="s">
        <v>8639</v>
      </c>
    </row>
    <row r="50" customFormat="false" ht="15" hidden="false" customHeight="false" outlineLevel="0" collapsed="false">
      <c r="A50" s="7" t="s">
        <v>8640</v>
      </c>
      <c r="B50" s="7" t="s">
        <v>25</v>
      </c>
      <c r="C50" s="7" t="s">
        <v>8641</v>
      </c>
      <c r="D50" s="7" t="s">
        <v>154</v>
      </c>
      <c r="E50" s="7" t="s">
        <v>155</v>
      </c>
      <c r="F50" s="7" t="s">
        <v>8642</v>
      </c>
      <c r="G50" s="7" t="s">
        <v>8316</v>
      </c>
      <c r="H50" s="10" t="n">
        <v>7000</v>
      </c>
      <c r="I50" s="7" t="s">
        <v>377</v>
      </c>
      <c r="J50" s="7"/>
      <c r="K50" s="7" t="s">
        <v>8643</v>
      </c>
      <c r="L50" s="7" t="s">
        <v>8644</v>
      </c>
      <c r="M50" s="7" t="s">
        <v>8645</v>
      </c>
      <c r="N50" s="7" t="s">
        <v>8646</v>
      </c>
      <c r="O50" s="7" t="s">
        <v>417</v>
      </c>
    </row>
    <row r="51" customFormat="false" ht="15" hidden="false" customHeight="false" outlineLevel="0" collapsed="false">
      <c r="A51" s="7" t="s">
        <v>8647</v>
      </c>
      <c r="B51" s="7" t="s">
        <v>25</v>
      </c>
      <c r="C51" s="7" t="s">
        <v>8648</v>
      </c>
      <c r="D51" s="7" t="s">
        <v>1889</v>
      </c>
      <c r="E51" s="7" t="s">
        <v>88</v>
      </c>
      <c r="F51" s="7" t="s">
        <v>8649</v>
      </c>
      <c r="G51" s="7" t="s">
        <v>8316</v>
      </c>
      <c r="H51" s="10" t="n">
        <v>9000</v>
      </c>
      <c r="I51" s="7" t="s">
        <v>377</v>
      </c>
      <c r="J51" s="7"/>
      <c r="K51" s="7" t="s">
        <v>8650</v>
      </c>
      <c r="L51" s="7" t="s">
        <v>8651</v>
      </c>
      <c r="M51" s="7" t="s">
        <v>8652</v>
      </c>
      <c r="N51" s="7" t="s">
        <v>8653</v>
      </c>
      <c r="O51" s="7" t="s">
        <v>8654</v>
      </c>
    </row>
    <row r="52" customFormat="false" ht="15" hidden="false" customHeight="false" outlineLevel="0" collapsed="false">
      <c r="A52" s="7" t="s">
        <v>8655</v>
      </c>
      <c r="B52" s="7" t="s">
        <v>25</v>
      </c>
      <c r="C52" s="7" t="s">
        <v>8656</v>
      </c>
      <c r="D52" s="7" t="s">
        <v>154</v>
      </c>
      <c r="E52" s="7" t="s">
        <v>155</v>
      </c>
      <c r="F52" s="7" t="s">
        <v>8657</v>
      </c>
      <c r="G52" s="7" t="s">
        <v>8316</v>
      </c>
      <c r="H52" s="10" t="n">
        <v>5300</v>
      </c>
      <c r="I52" s="7" t="s">
        <v>350</v>
      </c>
      <c r="J52" s="7"/>
      <c r="K52" s="7" t="s">
        <v>8658</v>
      </c>
      <c r="L52" s="7" t="s">
        <v>8659</v>
      </c>
      <c r="M52" s="7" t="s">
        <v>8660</v>
      </c>
      <c r="N52" s="7" t="s">
        <v>8661</v>
      </c>
      <c r="O52" s="7" t="s">
        <v>8662</v>
      </c>
    </row>
    <row r="53" customFormat="false" ht="15" hidden="false" customHeight="false" outlineLevel="0" collapsed="false">
      <c r="A53" s="7" t="s">
        <v>8663</v>
      </c>
      <c r="B53" s="7" t="s">
        <v>25</v>
      </c>
      <c r="C53" s="7" t="s">
        <v>8664</v>
      </c>
      <c r="D53" s="7" t="s">
        <v>1599</v>
      </c>
      <c r="E53" s="7" t="s">
        <v>78</v>
      </c>
      <c r="F53" s="7" t="s">
        <v>8665</v>
      </c>
      <c r="G53" s="7" t="s">
        <v>8316</v>
      </c>
      <c r="H53" s="10" t="n">
        <v>9000</v>
      </c>
      <c r="I53" s="7" t="s">
        <v>377</v>
      </c>
      <c r="J53" s="7"/>
      <c r="K53" s="7" t="s">
        <v>8666</v>
      </c>
      <c r="L53" s="7" t="s">
        <v>8667</v>
      </c>
      <c r="M53" s="7" t="s">
        <v>8668</v>
      </c>
      <c r="N53" s="7" t="s">
        <v>8669</v>
      </c>
      <c r="O53" s="7" t="s">
        <v>8670</v>
      </c>
    </row>
    <row r="54" customFormat="false" ht="15" hidden="false" customHeight="false" outlineLevel="0" collapsed="false">
      <c r="A54" s="7" t="s">
        <v>8671</v>
      </c>
      <c r="B54" s="7" t="s">
        <v>25</v>
      </c>
      <c r="C54" s="7" t="s">
        <v>8672</v>
      </c>
      <c r="D54" s="7" t="s">
        <v>515</v>
      </c>
      <c r="E54" s="7" t="s">
        <v>428</v>
      </c>
      <c r="F54" s="7" t="s">
        <v>8673</v>
      </c>
      <c r="G54" s="7" t="s">
        <v>8316</v>
      </c>
      <c r="H54" s="10" t="n">
        <v>4500</v>
      </c>
      <c r="I54" s="7" t="s">
        <v>517</v>
      </c>
      <c r="J54" s="7"/>
      <c r="K54" s="7" t="s">
        <v>8674</v>
      </c>
      <c r="L54" s="7" t="s">
        <v>8675</v>
      </c>
      <c r="M54" s="7" t="s">
        <v>8676</v>
      </c>
      <c r="N54" s="7" t="s">
        <v>8677</v>
      </c>
      <c r="O54" s="7" t="s">
        <v>8678</v>
      </c>
    </row>
    <row r="55" customFormat="false" ht="15" hidden="false" customHeight="false" outlineLevel="0" collapsed="false">
      <c r="A55" s="7" t="s">
        <v>8679</v>
      </c>
      <c r="B55" s="7" t="s">
        <v>25</v>
      </c>
      <c r="C55" s="7" t="s">
        <v>8680</v>
      </c>
      <c r="D55" s="7" t="s">
        <v>112</v>
      </c>
      <c r="E55" s="7" t="s">
        <v>113</v>
      </c>
      <c r="F55" s="7" t="s">
        <v>8681</v>
      </c>
      <c r="G55" s="7" t="s">
        <v>8316</v>
      </c>
      <c r="H55" s="10" t="n">
        <v>7000</v>
      </c>
      <c r="I55" s="7" t="s">
        <v>386</v>
      </c>
      <c r="J55" s="7"/>
      <c r="K55" s="7" t="s">
        <v>8682</v>
      </c>
      <c r="L55" s="7" t="s">
        <v>536</v>
      </c>
      <c r="M55" s="7" t="s">
        <v>8683</v>
      </c>
      <c r="N55" s="7" t="s">
        <v>8684</v>
      </c>
      <c r="O55" s="7" t="s">
        <v>417</v>
      </c>
    </row>
    <row r="56" customFormat="false" ht="15" hidden="false" customHeight="false" outlineLevel="0" collapsed="false">
      <c r="A56" s="7" t="s">
        <v>8685</v>
      </c>
      <c r="B56" s="7" t="s">
        <v>25</v>
      </c>
      <c r="C56" s="7" t="s">
        <v>8686</v>
      </c>
      <c r="D56" s="7" t="s">
        <v>394</v>
      </c>
      <c r="E56" s="7" t="s">
        <v>78</v>
      </c>
      <c r="F56" s="7" t="s">
        <v>8687</v>
      </c>
      <c r="G56" s="7" t="s">
        <v>8316</v>
      </c>
      <c r="H56" s="10" t="n">
        <v>10000</v>
      </c>
      <c r="I56" s="7" t="s">
        <v>386</v>
      </c>
      <c r="J56" s="7"/>
      <c r="K56" s="7" t="s">
        <v>8688</v>
      </c>
      <c r="L56" s="7" t="s">
        <v>8689</v>
      </c>
      <c r="M56" s="7" t="s">
        <v>8690</v>
      </c>
      <c r="N56" s="7" t="s">
        <v>8691</v>
      </c>
      <c r="O56" s="7" t="s">
        <v>8692</v>
      </c>
    </row>
    <row r="57" customFormat="false" ht="15" hidden="false" customHeight="false" outlineLevel="0" collapsed="false">
      <c r="A57" s="7" t="s">
        <v>8693</v>
      </c>
      <c r="B57" s="7" t="s">
        <v>25</v>
      </c>
      <c r="C57" s="7" t="s">
        <v>8694</v>
      </c>
      <c r="D57" s="7" t="s">
        <v>347</v>
      </c>
      <c r="E57" s="7" t="s">
        <v>348</v>
      </c>
      <c r="F57" s="7" t="s">
        <v>8695</v>
      </c>
      <c r="G57" s="7" t="s">
        <v>8316</v>
      </c>
      <c r="H57" s="10" t="n">
        <v>20000</v>
      </c>
      <c r="I57" s="7" t="s">
        <v>386</v>
      </c>
      <c r="J57" s="7"/>
      <c r="K57" s="7" t="s">
        <v>8696</v>
      </c>
      <c r="L57" s="7" t="s">
        <v>8697</v>
      </c>
      <c r="M57" s="7" t="s">
        <v>8698</v>
      </c>
      <c r="N57" s="7" t="s">
        <v>8699</v>
      </c>
      <c r="O57" s="7" t="s">
        <v>417</v>
      </c>
    </row>
    <row r="58" customFormat="false" ht="15" hidden="false" customHeight="false" outlineLevel="0" collapsed="false">
      <c r="A58" s="7" t="s">
        <v>8700</v>
      </c>
      <c r="B58" s="7" t="s">
        <v>25</v>
      </c>
      <c r="C58" s="7" t="s">
        <v>8701</v>
      </c>
      <c r="D58" s="7" t="s">
        <v>112</v>
      </c>
      <c r="E58" s="7" t="s">
        <v>113</v>
      </c>
      <c r="F58" s="7" t="s">
        <v>8702</v>
      </c>
      <c r="G58" s="7" t="s">
        <v>8316</v>
      </c>
      <c r="H58" s="10" t="n">
        <v>14000</v>
      </c>
      <c r="I58" s="7" t="s">
        <v>350</v>
      </c>
      <c r="J58" s="7"/>
      <c r="K58" s="7" t="s">
        <v>8703</v>
      </c>
      <c r="L58" s="7" t="s">
        <v>8704</v>
      </c>
      <c r="M58" s="7" t="s">
        <v>8705</v>
      </c>
      <c r="N58" s="7" t="s">
        <v>485</v>
      </c>
      <c r="O58" s="7" t="s">
        <v>8706</v>
      </c>
    </row>
    <row r="59" customFormat="false" ht="15" hidden="false" customHeight="false" outlineLevel="0" collapsed="false">
      <c r="A59" s="7" t="s">
        <v>8707</v>
      </c>
      <c r="B59" s="7" t="s">
        <v>25</v>
      </c>
      <c r="C59" s="7" t="s">
        <v>478</v>
      </c>
      <c r="D59" s="7" t="s">
        <v>154</v>
      </c>
      <c r="E59" s="7" t="s">
        <v>155</v>
      </c>
      <c r="F59" s="7" t="s">
        <v>8708</v>
      </c>
      <c r="G59" s="7" t="s">
        <v>8316</v>
      </c>
      <c r="H59" s="10" t="n">
        <v>10000</v>
      </c>
      <c r="I59" s="7" t="s">
        <v>69</v>
      </c>
      <c r="J59" s="7" t="s">
        <v>819</v>
      </c>
      <c r="K59" s="7" t="s">
        <v>8709</v>
      </c>
      <c r="L59" s="7" t="s">
        <v>8710</v>
      </c>
      <c r="M59" s="7" t="s">
        <v>8711</v>
      </c>
      <c r="N59" s="7" t="s">
        <v>8712</v>
      </c>
      <c r="O59" s="7" t="s">
        <v>8713</v>
      </c>
    </row>
    <row r="60" customFormat="false" ht="15" hidden="false" customHeight="false" outlineLevel="0" collapsed="false">
      <c r="A60" s="7" t="s">
        <v>8714</v>
      </c>
      <c r="B60" s="7" t="s">
        <v>25</v>
      </c>
      <c r="C60" s="7" t="s">
        <v>8715</v>
      </c>
      <c r="D60" s="7" t="s">
        <v>8716</v>
      </c>
      <c r="E60" s="7" t="s">
        <v>155</v>
      </c>
      <c r="F60" s="7" t="s">
        <v>8717</v>
      </c>
      <c r="G60" s="7" t="s">
        <v>8316</v>
      </c>
      <c r="H60" s="10" t="n">
        <v>13000</v>
      </c>
      <c r="I60" s="7" t="s">
        <v>350</v>
      </c>
      <c r="J60" s="7"/>
      <c r="K60" s="7" t="s">
        <v>8718</v>
      </c>
      <c r="L60" s="7" t="s">
        <v>8719</v>
      </c>
      <c r="M60" s="7" t="s">
        <v>8720</v>
      </c>
      <c r="N60" s="7" t="s">
        <v>354</v>
      </c>
      <c r="O60" s="7" t="s">
        <v>8721</v>
      </c>
    </row>
    <row r="61" customFormat="false" ht="15" hidden="false" customHeight="false" outlineLevel="0" collapsed="false">
      <c r="A61" s="7" t="s">
        <v>8722</v>
      </c>
      <c r="B61" s="7" t="s">
        <v>26</v>
      </c>
      <c r="C61" s="7" t="s">
        <v>8723</v>
      </c>
      <c r="D61" s="7" t="s">
        <v>171</v>
      </c>
      <c r="E61" s="7" t="s">
        <v>172</v>
      </c>
      <c r="F61" s="7" t="s">
        <v>8724</v>
      </c>
      <c r="G61" s="7" t="s">
        <v>8316</v>
      </c>
      <c r="H61" s="10" t="n">
        <v>6500</v>
      </c>
      <c r="I61" s="7" t="s">
        <v>377</v>
      </c>
      <c r="J61" s="7"/>
      <c r="K61" s="7" t="s">
        <v>8725</v>
      </c>
      <c r="L61" s="7" t="s">
        <v>8726</v>
      </c>
      <c r="M61" s="7" t="s">
        <v>8727</v>
      </c>
      <c r="N61" s="7" t="s">
        <v>8728</v>
      </c>
      <c r="O61" s="7" t="s">
        <v>5124</v>
      </c>
    </row>
    <row r="62" customFormat="false" ht="15" hidden="false" customHeight="false" outlineLevel="0" collapsed="false">
      <c r="A62" s="7" t="s">
        <v>8729</v>
      </c>
      <c r="B62" s="7" t="s">
        <v>26</v>
      </c>
      <c r="C62" s="7" t="s">
        <v>8730</v>
      </c>
      <c r="D62" s="7" t="s">
        <v>2528</v>
      </c>
      <c r="E62" s="7" t="s">
        <v>66</v>
      </c>
      <c r="F62" s="7" t="s">
        <v>8731</v>
      </c>
      <c r="G62" s="7" t="s">
        <v>8316</v>
      </c>
      <c r="H62" s="10" t="n">
        <v>2000</v>
      </c>
      <c r="I62" s="7" t="s">
        <v>377</v>
      </c>
      <c r="J62" s="7"/>
      <c r="K62" s="7" t="s">
        <v>8732</v>
      </c>
      <c r="L62" s="7" t="s">
        <v>8733</v>
      </c>
      <c r="M62" s="7" t="s">
        <v>8734</v>
      </c>
      <c r="N62" s="7" t="s">
        <v>8735</v>
      </c>
      <c r="O62" s="7" t="s">
        <v>2755</v>
      </c>
    </row>
    <row r="63" customFormat="false" ht="15" hidden="false" customHeight="false" outlineLevel="0" collapsed="false">
      <c r="A63" s="7" t="s">
        <v>8736</v>
      </c>
      <c r="B63" s="7" t="s">
        <v>26</v>
      </c>
      <c r="C63" s="7" t="s">
        <v>8737</v>
      </c>
      <c r="D63" s="7" t="s">
        <v>121</v>
      </c>
      <c r="E63" s="7" t="s">
        <v>122</v>
      </c>
      <c r="F63" s="7" t="s">
        <v>8738</v>
      </c>
      <c r="G63" s="7" t="s">
        <v>8316</v>
      </c>
      <c r="H63" s="10" t="n">
        <v>3300</v>
      </c>
      <c r="I63" s="7" t="s">
        <v>517</v>
      </c>
      <c r="J63" s="7"/>
      <c r="K63" s="7"/>
      <c r="L63" s="7" t="s">
        <v>8733</v>
      </c>
      <c r="M63" s="7" t="s">
        <v>8739</v>
      </c>
      <c r="N63" s="7" t="s">
        <v>8740</v>
      </c>
      <c r="O63" s="7" t="s">
        <v>5160</v>
      </c>
    </row>
    <row r="64" customFormat="false" ht="15" hidden="false" customHeight="false" outlineLevel="0" collapsed="false">
      <c r="A64" s="7" t="s">
        <v>8741</v>
      </c>
      <c r="B64" s="7" t="s">
        <v>26</v>
      </c>
      <c r="C64" s="7" t="s">
        <v>8742</v>
      </c>
      <c r="D64" s="7" t="s">
        <v>970</v>
      </c>
      <c r="E64" s="7" t="s">
        <v>250</v>
      </c>
      <c r="F64" s="7" t="s">
        <v>8743</v>
      </c>
      <c r="G64" s="7" t="s">
        <v>8316</v>
      </c>
      <c r="H64" s="10" t="n">
        <v>2600</v>
      </c>
      <c r="I64" s="7" t="s">
        <v>377</v>
      </c>
      <c r="J64" s="7"/>
      <c r="K64" s="7"/>
      <c r="L64" s="7" t="s">
        <v>8744</v>
      </c>
      <c r="M64" s="7" t="s">
        <v>8745</v>
      </c>
      <c r="N64" s="7" t="s">
        <v>8746</v>
      </c>
      <c r="O64" s="7" t="s">
        <v>5124</v>
      </c>
    </row>
    <row r="65" customFormat="false" ht="15" hidden="false" customHeight="false" outlineLevel="0" collapsed="false">
      <c r="A65" s="7" t="s">
        <v>8747</v>
      </c>
      <c r="B65" s="7" t="s">
        <v>26</v>
      </c>
      <c r="C65" s="7" t="s">
        <v>8748</v>
      </c>
      <c r="D65" s="7" t="s">
        <v>8749</v>
      </c>
      <c r="E65" s="7" t="s">
        <v>854</v>
      </c>
      <c r="F65" s="7" t="s">
        <v>8750</v>
      </c>
      <c r="G65" s="7" t="s">
        <v>8316</v>
      </c>
      <c r="H65" s="10" t="n">
        <v>5000</v>
      </c>
      <c r="I65" s="7" t="s">
        <v>350</v>
      </c>
      <c r="J65" s="7"/>
      <c r="K65" s="7" t="s">
        <v>8751</v>
      </c>
      <c r="L65" s="7" t="s">
        <v>8744</v>
      </c>
      <c r="M65" s="7" t="s">
        <v>8752</v>
      </c>
      <c r="N65" s="7" t="s">
        <v>2740</v>
      </c>
      <c r="O65" s="7" t="s">
        <v>2741</v>
      </c>
    </row>
    <row r="66" customFormat="false" ht="15" hidden="false" customHeight="false" outlineLevel="0" collapsed="false">
      <c r="A66" s="7" t="s">
        <v>8753</v>
      </c>
      <c r="B66" s="7" t="s">
        <v>26</v>
      </c>
      <c r="C66" s="7" t="s">
        <v>5275</v>
      </c>
      <c r="D66" s="7" t="s">
        <v>1434</v>
      </c>
      <c r="E66" s="7" t="s">
        <v>250</v>
      </c>
      <c r="F66" s="7" t="s">
        <v>8754</v>
      </c>
      <c r="G66" s="7" t="s">
        <v>8316</v>
      </c>
      <c r="H66" s="10" t="n">
        <v>5000</v>
      </c>
      <c r="I66" s="7" t="s">
        <v>69</v>
      </c>
      <c r="J66" s="7" t="s">
        <v>8755</v>
      </c>
      <c r="K66" s="7"/>
      <c r="L66" s="7" t="s">
        <v>2738</v>
      </c>
      <c r="M66" s="7" t="s">
        <v>8756</v>
      </c>
      <c r="N66" s="7" t="s">
        <v>2740</v>
      </c>
      <c r="O66" s="7" t="s">
        <v>2741</v>
      </c>
    </row>
    <row r="67" customFormat="false" ht="15" hidden="false" customHeight="false" outlineLevel="0" collapsed="false">
      <c r="A67" s="7" t="s">
        <v>8757</v>
      </c>
      <c r="B67" s="7" t="s">
        <v>26</v>
      </c>
      <c r="C67" s="7" t="s">
        <v>8758</v>
      </c>
      <c r="D67" s="7" t="s">
        <v>8759</v>
      </c>
      <c r="E67" s="7" t="s">
        <v>113</v>
      </c>
      <c r="F67" s="7" t="s">
        <v>8760</v>
      </c>
      <c r="G67" s="7" t="s">
        <v>8316</v>
      </c>
      <c r="H67" s="10" t="n">
        <v>1800</v>
      </c>
      <c r="I67" s="7" t="s">
        <v>377</v>
      </c>
      <c r="J67" s="7"/>
      <c r="K67" s="7" t="s">
        <v>8761</v>
      </c>
      <c r="L67" s="7" t="s">
        <v>8762</v>
      </c>
      <c r="M67" s="7" t="s">
        <v>8763</v>
      </c>
      <c r="N67" s="7" t="s">
        <v>8764</v>
      </c>
      <c r="O67" s="7" t="s">
        <v>5124</v>
      </c>
    </row>
    <row r="68" customFormat="false" ht="15" hidden="false" customHeight="false" outlineLevel="0" collapsed="false">
      <c r="A68" s="7" t="s">
        <v>8765</v>
      </c>
      <c r="B68" s="7" t="s">
        <v>26</v>
      </c>
      <c r="C68" s="7" t="s">
        <v>8766</v>
      </c>
      <c r="D68" s="7" t="s">
        <v>8767</v>
      </c>
      <c r="E68" s="7" t="s">
        <v>155</v>
      </c>
      <c r="F68" s="7" t="s">
        <v>8768</v>
      </c>
      <c r="G68" s="7" t="s">
        <v>8316</v>
      </c>
      <c r="H68" s="10" t="n">
        <v>400</v>
      </c>
      <c r="I68" s="7" t="s">
        <v>3239</v>
      </c>
      <c r="J68" s="7"/>
      <c r="K68" s="7"/>
      <c r="L68" s="7" t="s">
        <v>2738</v>
      </c>
      <c r="M68" s="7" t="s">
        <v>8769</v>
      </c>
      <c r="N68" s="7" t="s">
        <v>8770</v>
      </c>
      <c r="O68" s="7" t="s">
        <v>5194</v>
      </c>
    </row>
    <row r="69" customFormat="false" ht="15" hidden="false" customHeight="false" outlineLevel="0" collapsed="false">
      <c r="A69" s="7" t="s">
        <v>8771</v>
      </c>
      <c r="B69" s="7" t="s">
        <v>26</v>
      </c>
      <c r="C69" s="7" t="s">
        <v>5137</v>
      </c>
      <c r="D69" s="7" t="s">
        <v>1972</v>
      </c>
      <c r="E69" s="7" t="s">
        <v>113</v>
      </c>
      <c r="F69" s="7" t="s">
        <v>8772</v>
      </c>
      <c r="G69" s="7" t="s">
        <v>8316</v>
      </c>
      <c r="H69" s="10" t="n">
        <v>7000</v>
      </c>
      <c r="I69" s="7" t="s">
        <v>377</v>
      </c>
      <c r="J69" s="7"/>
      <c r="K69" s="7" t="s">
        <v>8773</v>
      </c>
      <c r="L69" s="7" t="s">
        <v>8744</v>
      </c>
      <c r="M69" s="7" t="s">
        <v>8774</v>
      </c>
      <c r="N69" s="7" t="s">
        <v>8775</v>
      </c>
      <c r="O69" s="7" t="s">
        <v>5124</v>
      </c>
    </row>
    <row r="70" customFormat="false" ht="15" hidden="false" customHeight="false" outlineLevel="0" collapsed="false">
      <c r="A70" s="7" t="s">
        <v>8776</v>
      </c>
      <c r="B70" s="7" t="s">
        <v>26</v>
      </c>
      <c r="C70" s="7" t="s">
        <v>8777</v>
      </c>
      <c r="D70" s="7" t="s">
        <v>3073</v>
      </c>
      <c r="E70" s="7" t="s">
        <v>172</v>
      </c>
      <c r="F70" s="7" t="s">
        <v>8778</v>
      </c>
      <c r="G70" s="7" t="s">
        <v>8316</v>
      </c>
      <c r="H70" s="10" t="n">
        <v>4000</v>
      </c>
      <c r="I70" s="7" t="s">
        <v>377</v>
      </c>
      <c r="J70" s="7"/>
      <c r="K70" s="7" t="s">
        <v>8779</v>
      </c>
      <c r="L70" s="7" t="s">
        <v>8733</v>
      </c>
      <c r="M70" s="7" t="s">
        <v>8780</v>
      </c>
      <c r="N70" s="7" t="s">
        <v>8781</v>
      </c>
      <c r="O70" s="7" t="s">
        <v>2755</v>
      </c>
    </row>
    <row r="71" customFormat="false" ht="15" hidden="false" customHeight="false" outlineLevel="0" collapsed="false">
      <c r="A71" s="7" t="s">
        <v>8782</v>
      </c>
      <c r="B71" s="7" t="s">
        <v>27</v>
      </c>
      <c r="C71" s="7" t="s">
        <v>5412</v>
      </c>
      <c r="D71" s="7" t="s">
        <v>445</v>
      </c>
      <c r="E71" s="7" t="s">
        <v>250</v>
      </c>
      <c r="F71" s="7" t="s">
        <v>8783</v>
      </c>
      <c r="G71" s="7" t="s">
        <v>8316</v>
      </c>
      <c r="H71" s="10" t="n">
        <v>60000</v>
      </c>
      <c r="I71" s="7" t="s">
        <v>350</v>
      </c>
      <c r="J71" s="7"/>
      <c r="K71" s="7" t="s">
        <v>8784</v>
      </c>
      <c r="L71" s="7" t="s">
        <v>1109</v>
      </c>
      <c r="M71" s="7" t="s">
        <v>8785</v>
      </c>
      <c r="N71" s="7" t="s">
        <v>8786</v>
      </c>
      <c r="O71" s="7" t="s">
        <v>8787</v>
      </c>
    </row>
    <row r="72" customFormat="false" ht="15" hidden="false" customHeight="false" outlineLevel="0" collapsed="false">
      <c r="A72" s="7" t="s">
        <v>8788</v>
      </c>
      <c r="B72" s="7" t="s">
        <v>27</v>
      </c>
      <c r="C72" s="7" t="s">
        <v>2757</v>
      </c>
      <c r="D72" s="7" t="s">
        <v>723</v>
      </c>
      <c r="E72" s="7" t="s">
        <v>105</v>
      </c>
      <c r="F72" s="7" t="s">
        <v>8789</v>
      </c>
      <c r="G72" s="7" t="s">
        <v>8316</v>
      </c>
      <c r="H72" s="10" t="n">
        <v>10000</v>
      </c>
      <c r="I72" s="7" t="s">
        <v>69</v>
      </c>
      <c r="J72" s="7" t="s">
        <v>8790</v>
      </c>
      <c r="K72" s="7" t="s">
        <v>8791</v>
      </c>
      <c r="L72" s="7" t="s">
        <v>2760</v>
      </c>
      <c r="M72" s="7" t="s">
        <v>8792</v>
      </c>
      <c r="N72" s="7" t="s">
        <v>8793</v>
      </c>
      <c r="O72" s="7" t="s">
        <v>8794</v>
      </c>
    </row>
    <row r="73" customFormat="false" ht="15" hidden="false" customHeight="false" outlineLevel="0" collapsed="false">
      <c r="A73" s="7" t="s">
        <v>8795</v>
      </c>
      <c r="B73" s="7" t="s">
        <v>27</v>
      </c>
      <c r="C73" s="7" t="s">
        <v>2757</v>
      </c>
      <c r="D73" s="7" t="s">
        <v>6450</v>
      </c>
      <c r="E73" s="7" t="s">
        <v>779</v>
      </c>
      <c r="F73" s="7" t="s">
        <v>8796</v>
      </c>
      <c r="G73" s="7" t="s">
        <v>8316</v>
      </c>
      <c r="H73" s="10" t="n">
        <v>2000</v>
      </c>
      <c r="I73" s="7" t="s">
        <v>69</v>
      </c>
      <c r="J73" s="7" t="s">
        <v>1775</v>
      </c>
      <c r="K73" s="7" t="s">
        <v>8797</v>
      </c>
      <c r="L73" s="7" t="s">
        <v>2760</v>
      </c>
      <c r="M73" s="7" t="s">
        <v>8798</v>
      </c>
      <c r="N73" s="7" t="s">
        <v>8799</v>
      </c>
      <c r="O73" s="7" t="s">
        <v>8800</v>
      </c>
    </row>
    <row r="74" customFormat="false" ht="15" hidden="false" customHeight="false" outlineLevel="0" collapsed="false">
      <c r="A74" s="7" t="s">
        <v>8801</v>
      </c>
      <c r="B74" s="7" t="s">
        <v>27</v>
      </c>
      <c r="C74" s="7" t="s">
        <v>5377</v>
      </c>
      <c r="D74" s="7" t="s">
        <v>8802</v>
      </c>
      <c r="E74" s="7" t="s">
        <v>190</v>
      </c>
      <c r="F74" s="7" t="s">
        <v>8803</v>
      </c>
      <c r="G74" s="7" t="s">
        <v>8316</v>
      </c>
      <c r="H74" s="10" t="n">
        <v>5000</v>
      </c>
      <c r="I74" s="7" t="s">
        <v>69</v>
      </c>
      <c r="J74" s="7" t="s">
        <v>8804</v>
      </c>
      <c r="K74" s="7" t="s">
        <v>8805</v>
      </c>
      <c r="L74" s="7" t="s">
        <v>2760</v>
      </c>
      <c r="M74" s="7" t="s">
        <v>8806</v>
      </c>
      <c r="N74" s="7" t="s">
        <v>8807</v>
      </c>
      <c r="O74" s="7" t="s">
        <v>2769</v>
      </c>
    </row>
    <row r="75" customFormat="false" ht="15" hidden="false" customHeight="false" outlineLevel="0" collapsed="false">
      <c r="A75" s="7" t="s">
        <v>8808</v>
      </c>
      <c r="B75" s="7" t="s">
        <v>27</v>
      </c>
      <c r="C75" s="7" t="s">
        <v>8809</v>
      </c>
      <c r="D75" s="7" t="s">
        <v>1245</v>
      </c>
      <c r="E75" s="7" t="s">
        <v>78</v>
      </c>
      <c r="F75" s="7" t="s">
        <v>8810</v>
      </c>
      <c r="G75" s="7" t="s">
        <v>8316</v>
      </c>
      <c r="H75" s="10" t="n">
        <v>75000</v>
      </c>
      <c r="I75" s="7" t="s">
        <v>69</v>
      </c>
      <c r="J75" s="7" t="s">
        <v>8811</v>
      </c>
      <c r="K75" s="7" t="s">
        <v>8812</v>
      </c>
      <c r="L75" s="7" t="s">
        <v>8813</v>
      </c>
      <c r="M75" s="7" t="s">
        <v>8814</v>
      </c>
      <c r="N75" s="7" t="s">
        <v>8815</v>
      </c>
      <c r="O75" s="7" t="s">
        <v>8816</v>
      </c>
    </row>
    <row r="76" customFormat="false" ht="15" hidden="false" customHeight="false" outlineLevel="0" collapsed="false">
      <c r="A76" s="7" t="s">
        <v>8817</v>
      </c>
      <c r="B76" s="7" t="s">
        <v>27</v>
      </c>
      <c r="C76" s="7" t="s">
        <v>8818</v>
      </c>
      <c r="D76" s="7" t="s">
        <v>420</v>
      </c>
      <c r="E76" s="7" t="s">
        <v>78</v>
      </c>
      <c r="F76" s="7" t="s">
        <v>8819</v>
      </c>
      <c r="G76" s="7" t="s">
        <v>8316</v>
      </c>
      <c r="H76" s="10" t="n">
        <v>6000</v>
      </c>
      <c r="I76" s="7" t="s">
        <v>350</v>
      </c>
      <c r="J76" s="7"/>
      <c r="K76" s="7" t="s">
        <v>8820</v>
      </c>
      <c r="L76" s="7" t="s">
        <v>5250</v>
      </c>
      <c r="M76" s="7" t="s">
        <v>8821</v>
      </c>
      <c r="N76" s="7" t="s">
        <v>8822</v>
      </c>
      <c r="O76" s="7" t="s">
        <v>8823</v>
      </c>
    </row>
    <row r="77" customFormat="false" ht="15" hidden="false" customHeight="false" outlineLevel="0" collapsed="false">
      <c r="A77" s="7" t="s">
        <v>8824</v>
      </c>
      <c r="B77" s="7" t="s">
        <v>28</v>
      </c>
      <c r="C77" s="7" t="s">
        <v>2797</v>
      </c>
      <c r="D77" s="7" t="s">
        <v>154</v>
      </c>
      <c r="E77" s="7" t="s">
        <v>155</v>
      </c>
      <c r="F77" s="7" t="s">
        <v>8825</v>
      </c>
      <c r="G77" s="7" t="s">
        <v>8316</v>
      </c>
      <c r="H77" s="10" t="n">
        <v>2500</v>
      </c>
      <c r="I77" s="7" t="s">
        <v>69</v>
      </c>
      <c r="J77" s="7" t="s">
        <v>8826</v>
      </c>
      <c r="K77" s="7" t="s">
        <v>8827</v>
      </c>
      <c r="L77" s="7" t="s">
        <v>2846</v>
      </c>
      <c r="M77" s="7" t="s">
        <v>8828</v>
      </c>
      <c r="N77" s="7" t="s">
        <v>8829</v>
      </c>
      <c r="O77" s="7" t="s">
        <v>8830</v>
      </c>
    </row>
    <row r="78" customFormat="false" ht="15" hidden="false" customHeight="false" outlineLevel="0" collapsed="false">
      <c r="A78" s="7" t="s">
        <v>8831</v>
      </c>
      <c r="B78" s="7" t="s">
        <v>28</v>
      </c>
      <c r="C78" s="7" t="s">
        <v>834</v>
      </c>
      <c r="D78" s="7" t="s">
        <v>8832</v>
      </c>
      <c r="E78" s="7" t="s">
        <v>88</v>
      </c>
      <c r="F78" s="7" t="s">
        <v>8833</v>
      </c>
      <c r="G78" s="7" t="s">
        <v>8316</v>
      </c>
      <c r="H78" s="10" t="n">
        <v>5000</v>
      </c>
      <c r="I78" s="7" t="s">
        <v>377</v>
      </c>
      <c r="J78" s="7"/>
      <c r="K78" s="7" t="s">
        <v>8834</v>
      </c>
      <c r="L78" s="7" t="s">
        <v>8835</v>
      </c>
      <c r="M78" s="7" t="s">
        <v>8836</v>
      </c>
      <c r="N78" s="7" t="s">
        <v>8837</v>
      </c>
      <c r="O78" s="7" t="s">
        <v>8838</v>
      </c>
    </row>
    <row r="79" customFormat="false" ht="15" hidden="false" customHeight="false" outlineLevel="0" collapsed="false">
      <c r="A79" s="7" t="s">
        <v>8839</v>
      </c>
      <c r="B79" s="7" t="s">
        <v>28</v>
      </c>
      <c r="C79" s="7" t="s">
        <v>806</v>
      </c>
      <c r="D79" s="7" t="s">
        <v>2126</v>
      </c>
      <c r="E79" s="7" t="s">
        <v>854</v>
      </c>
      <c r="F79" s="7" t="s">
        <v>8840</v>
      </c>
      <c r="G79" s="7" t="s">
        <v>8316</v>
      </c>
      <c r="H79" s="10" t="n">
        <v>3500</v>
      </c>
      <c r="I79" s="7" t="s">
        <v>69</v>
      </c>
      <c r="J79" s="7" t="s">
        <v>1118</v>
      </c>
      <c r="K79" s="7" t="s">
        <v>8841</v>
      </c>
      <c r="L79" s="7" t="s">
        <v>8842</v>
      </c>
      <c r="M79" s="7" t="s">
        <v>8843</v>
      </c>
      <c r="N79" s="7" t="s">
        <v>8844</v>
      </c>
      <c r="O79" s="7" t="s">
        <v>8845</v>
      </c>
    </row>
    <row r="80" customFormat="false" ht="15" hidden="false" customHeight="false" outlineLevel="0" collapsed="false">
      <c r="A80" s="7" t="s">
        <v>8846</v>
      </c>
      <c r="B80" s="7" t="s">
        <v>28</v>
      </c>
      <c r="C80" s="7" t="s">
        <v>2818</v>
      </c>
      <c r="D80" s="7" t="s">
        <v>8847</v>
      </c>
      <c r="E80" s="7" t="s">
        <v>760</v>
      </c>
      <c r="F80" s="7" t="s">
        <v>8848</v>
      </c>
      <c r="G80" s="7" t="s">
        <v>8316</v>
      </c>
      <c r="H80" s="10" t="n">
        <v>2500</v>
      </c>
      <c r="I80" s="7" t="s">
        <v>377</v>
      </c>
      <c r="J80" s="7"/>
      <c r="K80" s="7" t="s">
        <v>8849</v>
      </c>
      <c r="L80" s="7" t="s">
        <v>8850</v>
      </c>
      <c r="M80" s="7" t="s">
        <v>8851</v>
      </c>
      <c r="N80" s="7" t="s">
        <v>8852</v>
      </c>
      <c r="O80" s="7" t="s">
        <v>8853</v>
      </c>
    </row>
    <row r="81" customFormat="false" ht="15" hidden="false" customHeight="false" outlineLevel="0" collapsed="false">
      <c r="A81" s="7" t="s">
        <v>8854</v>
      </c>
      <c r="B81" s="7" t="s">
        <v>28</v>
      </c>
      <c r="C81" s="7" t="s">
        <v>806</v>
      </c>
      <c r="D81" s="7" t="s">
        <v>2213</v>
      </c>
      <c r="E81" s="7" t="s">
        <v>600</v>
      </c>
      <c r="F81" s="7" t="s">
        <v>8855</v>
      </c>
      <c r="G81" s="7" t="s">
        <v>8316</v>
      </c>
      <c r="H81" s="10" t="n">
        <v>3500</v>
      </c>
      <c r="I81" s="7" t="s">
        <v>69</v>
      </c>
      <c r="J81" s="7" t="s">
        <v>865</v>
      </c>
      <c r="K81" s="7" t="s">
        <v>8856</v>
      </c>
      <c r="L81" s="7" t="s">
        <v>8857</v>
      </c>
      <c r="M81" s="7" t="s">
        <v>8858</v>
      </c>
      <c r="N81" s="7" t="s">
        <v>8859</v>
      </c>
      <c r="O81" s="7" t="s">
        <v>8860</v>
      </c>
    </row>
    <row r="82" customFormat="false" ht="15" hidden="false" customHeight="false" outlineLevel="0" collapsed="false">
      <c r="A82" s="7" t="s">
        <v>8861</v>
      </c>
      <c r="B82" s="7" t="s">
        <v>28</v>
      </c>
      <c r="C82" s="7" t="s">
        <v>8862</v>
      </c>
      <c r="D82" s="7" t="s">
        <v>1010</v>
      </c>
      <c r="E82" s="7" t="s">
        <v>88</v>
      </c>
      <c r="F82" s="7" t="s">
        <v>8863</v>
      </c>
      <c r="G82" s="7" t="s">
        <v>8316</v>
      </c>
      <c r="H82" s="10" t="n">
        <v>12000</v>
      </c>
      <c r="I82" s="7" t="s">
        <v>350</v>
      </c>
      <c r="J82" s="7"/>
      <c r="K82" s="7" t="s">
        <v>8864</v>
      </c>
      <c r="L82" s="7" t="s">
        <v>2838</v>
      </c>
      <c r="M82" s="7" t="s">
        <v>8865</v>
      </c>
      <c r="N82" s="7" t="s">
        <v>8866</v>
      </c>
      <c r="O82" s="7" t="s">
        <v>8867</v>
      </c>
    </row>
    <row r="83" customFormat="false" ht="15" hidden="false" customHeight="false" outlineLevel="0" collapsed="false">
      <c r="A83" s="7" t="s">
        <v>8868</v>
      </c>
      <c r="B83" s="7" t="s">
        <v>28</v>
      </c>
      <c r="C83" s="7" t="s">
        <v>703</v>
      </c>
      <c r="D83" s="7" t="s">
        <v>8869</v>
      </c>
      <c r="E83" s="7" t="s">
        <v>338</v>
      </c>
      <c r="F83" s="7" t="s">
        <v>8870</v>
      </c>
      <c r="G83" s="7" t="s">
        <v>8316</v>
      </c>
      <c r="H83" s="10" t="n">
        <v>55000</v>
      </c>
      <c r="I83" s="7" t="s">
        <v>377</v>
      </c>
      <c r="J83" s="7"/>
      <c r="K83" s="7" t="s">
        <v>8871</v>
      </c>
      <c r="L83" s="7" t="s">
        <v>2910</v>
      </c>
      <c r="M83" s="7" t="s">
        <v>8872</v>
      </c>
      <c r="N83" s="7" t="s">
        <v>8873</v>
      </c>
      <c r="O83" s="7" t="s">
        <v>8874</v>
      </c>
    </row>
    <row r="84" customFormat="false" ht="15" hidden="false" customHeight="false" outlineLevel="0" collapsed="false">
      <c r="A84" s="7" t="s">
        <v>8875</v>
      </c>
      <c r="B84" s="7" t="s">
        <v>28</v>
      </c>
      <c r="C84" s="7" t="s">
        <v>8876</v>
      </c>
      <c r="D84" s="7" t="s">
        <v>1245</v>
      </c>
      <c r="E84" s="7" t="s">
        <v>78</v>
      </c>
      <c r="F84" s="7" t="s">
        <v>8877</v>
      </c>
      <c r="G84" s="7" t="s">
        <v>8316</v>
      </c>
      <c r="H84" s="10"/>
      <c r="I84" s="7" t="s">
        <v>69</v>
      </c>
      <c r="J84" s="7" t="s">
        <v>90</v>
      </c>
      <c r="K84" s="7" t="s">
        <v>8878</v>
      </c>
      <c r="L84" s="7" t="s">
        <v>8879</v>
      </c>
      <c r="M84" s="7" t="s">
        <v>8880</v>
      </c>
      <c r="N84" s="7" t="s">
        <v>8881</v>
      </c>
      <c r="O84" s="7" t="s">
        <v>747</v>
      </c>
    </row>
    <row r="85" customFormat="false" ht="15" hidden="false" customHeight="false" outlineLevel="0" collapsed="false">
      <c r="A85" s="7" t="s">
        <v>8882</v>
      </c>
      <c r="B85" s="7" t="s">
        <v>28</v>
      </c>
      <c r="C85" s="7" t="s">
        <v>8862</v>
      </c>
      <c r="D85" s="7" t="s">
        <v>146</v>
      </c>
      <c r="E85" s="7" t="s">
        <v>147</v>
      </c>
      <c r="F85" s="7" t="s">
        <v>8883</v>
      </c>
      <c r="G85" s="7" t="s">
        <v>8316</v>
      </c>
      <c r="H85" s="10" t="n">
        <v>2000</v>
      </c>
      <c r="I85" s="7" t="s">
        <v>377</v>
      </c>
      <c r="J85" s="7"/>
      <c r="K85" s="7" t="s">
        <v>8884</v>
      </c>
      <c r="L85" s="7" t="s">
        <v>2838</v>
      </c>
      <c r="M85" s="7" t="s">
        <v>8885</v>
      </c>
      <c r="N85" s="7" t="s">
        <v>8886</v>
      </c>
      <c r="O85" s="7" t="s">
        <v>8887</v>
      </c>
    </row>
    <row r="86" customFormat="false" ht="15" hidden="false" customHeight="false" outlineLevel="0" collapsed="false">
      <c r="A86" s="7" t="s">
        <v>8888</v>
      </c>
      <c r="B86" s="7" t="s">
        <v>28</v>
      </c>
      <c r="C86" s="7" t="s">
        <v>806</v>
      </c>
      <c r="D86" s="7" t="s">
        <v>8889</v>
      </c>
      <c r="E86" s="7" t="s">
        <v>338</v>
      </c>
      <c r="F86" s="7" t="s">
        <v>8890</v>
      </c>
      <c r="G86" s="7" t="s">
        <v>8316</v>
      </c>
      <c r="H86" s="10" t="n">
        <v>1500</v>
      </c>
      <c r="I86" s="7" t="s">
        <v>69</v>
      </c>
      <c r="J86" s="7" t="s">
        <v>8891</v>
      </c>
      <c r="K86" s="7" t="s">
        <v>8892</v>
      </c>
      <c r="L86" s="7" t="s">
        <v>8893</v>
      </c>
      <c r="M86" s="7" t="s">
        <v>8894</v>
      </c>
      <c r="N86" s="7" t="s">
        <v>8895</v>
      </c>
      <c r="O86" s="7" t="s">
        <v>8896</v>
      </c>
    </row>
    <row r="87" customFormat="false" ht="15" hidden="false" customHeight="false" outlineLevel="0" collapsed="false">
      <c r="A87" s="7" t="s">
        <v>8897</v>
      </c>
      <c r="B87" s="7" t="s">
        <v>28</v>
      </c>
      <c r="C87" s="7" t="s">
        <v>8898</v>
      </c>
      <c r="D87" s="7" t="s">
        <v>986</v>
      </c>
      <c r="E87" s="7" t="s">
        <v>215</v>
      </c>
      <c r="F87" s="7" t="s">
        <v>8899</v>
      </c>
      <c r="G87" s="7" t="s">
        <v>8316</v>
      </c>
      <c r="H87" s="10" t="n">
        <v>2400</v>
      </c>
      <c r="I87" s="7" t="s">
        <v>69</v>
      </c>
      <c r="J87" s="7" t="s">
        <v>715</v>
      </c>
      <c r="K87" s="7" t="s">
        <v>8900</v>
      </c>
      <c r="L87" s="7" t="s">
        <v>736</v>
      </c>
      <c r="M87" s="7" t="s">
        <v>8901</v>
      </c>
      <c r="N87" s="7" t="s">
        <v>8902</v>
      </c>
      <c r="O87" s="7" t="s">
        <v>8903</v>
      </c>
    </row>
    <row r="88" customFormat="false" ht="15" hidden="false" customHeight="false" outlineLevel="0" collapsed="false">
      <c r="A88" s="7" t="s">
        <v>8904</v>
      </c>
      <c r="B88" s="7" t="s">
        <v>28</v>
      </c>
      <c r="C88" s="7" t="s">
        <v>8905</v>
      </c>
      <c r="D88" s="7" t="s">
        <v>4725</v>
      </c>
      <c r="E88" s="7" t="s">
        <v>250</v>
      </c>
      <c r="F88" s="7" t="s">
        <v>8906</v>
      </c>
      <c r="G88" s="7" t="s">
        <v>8316</v>
      </c>
      <c r="H88" s="10" t="n">
        <v>6000</v>
      </c>
      <c r="I88" s="7" t="s">
        <v>377</v>
      </c>
      <c r="J88" s="7"/>
      <c r="K88" s="7" t="s">
        <v>8907</v>
      </c>
      <c r="L88" s="7" t="s">
        <v>8908</v>
      </c>
      <c r="M88" s="7" t="s">
        <v>8909</v>
      </c>
      <c r="N88" s="7" t="s">
        <v>8910</v>
      </c>
      <c r="O88" s="7" t="s">
        <v>8911</v>
      </c>
    </row>
    <row r="89" customFormat="false" ht="15" hidden="false" customHeight="false" outlineLevel="0" collapsed="false">
      <c r="A89" s="7" t="s">
        <v>8912</v>
      </c>
      <c r="B89" s="7" t="s">
        <v>28</v>
      </c>
      <c r="C89" s="7" t="s">
        <v>2804</v>
      </c>
      <c r="D89" s="7" t="s">
        <v>2570</v>
      </c>
      <c r="E89" s="7" t="s">
        <v>88</v>
      </c>
      <c r="F89" s="7" t="s">
        <v>8913</v>
      </c>
      <c r="G89" s="7" t="s">
        <v>8316</v>
      </c>
      <c r="H89" s="10" t="n">
        <v>1500</v>
      </c>
      <c r="I89" s="7" t="s">
        <v>386</v>
      </c>
      <c r="J89" s="7"/>
      <c r="K89" s="7"/>
      <c r="L89" s="7" t="s">
        <v>2807</v>
      </c>
      <c r="M89" s="7" t="s">
        <v>8914</v>
      </c>
      <c r="N89" s="7" t="s">
        <v>8915</v>
      </c>
      <c r="O89" s="7" t="s">
        <v>8916</v>
      </c>
    </row>
    <row r="90" customFormat="false" ht="15" hidden="false" customHeight="false" outlineLevel="0" collapsed="false">
      <c r="A90" s="7" t="s">
        <v>8917</v>
      </c>
      <c r="B90" s="7" t="s">
        <v>28</v>
      </c>
      <c r="C90" s="7" t="s">
        <v>788</v>
      </c>
      <c r="D90" s="7" t="s">
        <v>515</v>
      </c>
      <c r="E90" s="7" t="s">
        <v>428</v>
      </c>
      <c r="F90" s="7" t="s">
        <v>8918</v>
      </c>
      <c r="G90" s="7" t="s">
        <v>8316</v>
      </c>
      <c r="H90" s="10" t="n">
        <v>13000</v>
      </c>
      <c r="I90" s="7" t="s">
        <v>350</v>
      </c>
      <c r="J90" s="7"/>
      <c r="K90" s="7" t="s">
        <v>8919</v>
      </c>
      <c r="L90" s="7" t="s">
        <v>8920</v>
      </c>
      <c r="M90" s="7" t="s">
        <v>8921</v>
      </c>
      <c r="N90" s="7" t="s">
        <v>8922</v>
      </c>
      <c r="O90" s="7" t="s">
        <v>8923</v>
      </c>
    </row>
    <row r="91" customFormat="false" ht="15" hidden="false" customHeight="false" outlineLevel="0" collapsed="false">
      <c r="A91" s="7" t="s">
        <v>8924</v>
      </c>
      <c r="B91" s="7" t="s">
        <v>28</v>
      </c>
      <c r="C91" s="7" t="s">
        <v>2797</v>
      </c>
      <c r="D91" s="7" t="s">
        <v>420</v>
      </c>
      <c r="E91" s="7" t="s">
        <v>78</v>
      </c>
      <c r="F91" s="7" t="s">
        <v>8925</v>
      </c>
      <c r="G91" s="7" t="s">
        <v>8316</v>
      </c>
      <c r="H91" s="10" t="n">
        <v>1500</v>
      </c>
      <c r="I91" s="7" t="s">
        <v>69</v>
      </c>
      <c r="J91" s="7" t="s">
        <v>8926</v>
      </c>
      <c r="K91" s="7" t="s">
        <v>8927</v>
      </c>
      <c r="L91" s="7" t="s">
        <v>8928</v>
      </c>
      <c r="M91" s="7" t="s">
        <v>8929</v>
      </c>
      <c r="N91" s="7" t="s">
        <v>8930</v>
      </c>
      <c r="O91" s="7" t="s">
        <v>8931</v>
      </c>
    </row>
    <row r="92" customFormat="false" ht="15" hidden="false" customHeight="false" outlineLevel="0" collapsed="false">
      <c r="A92" s="7" t="s">
        <v>8932</v>
      </c>
      <c r="B92" s="7" t="s">
        <v>28</v>
      </c>
      <c r="C92" s="7" t="s">
        <v>8933</v>
      </c>
      <c r="D92" s="7" t="s">
        <v>1481</v>
      </c>
      <c r="E92" s="7" t="s">
        <v>338</v>
      </c>
      <c r="F92" s="7" t="s">
        <v>8934</v>
      </c>
      <c r="G92" s="7" t="s">
        <v>8316</v>
      </c>
      <c r="H92" s="10" t="n">
        <v>16000</v>
      </c>
      <c r="I92" s="7" t="s">
        <v>377</v>
      </c>
      <c r="J92" s="7"/>
      <c r="K92" s="7" t="s">
        <v>8935</v>
      </c>
      <c r="L92" s="7" t="s">
        <v>8936</v>
      </c>
      <c r="M92" s="7" t="s">
        <v>8937</v>
      </c>
      <c r="N92" s="7" t="s">
        <v>8938</v>
      </c>
      <c r="O92" s="7" t="s">
        <v>8939</v>
      </c>
    </row>
    <row r="93" customFormat="false" ht="15" hidden="false" customHeight="false" outlineLevel="0" collapsed="false">
      <c r="A93" s="7" t="s">
        <v>8940</v>
      </c>
      <c r="B93" s="7" t="s">
        <v>28</v>
      </c>
      <c r="C93" s="7" t="s">
        <v>8941</v>
      </c>
      <c r="D93" s="7" t="s">
        <v>5779</v>
      </c>
      <c r="E93" s="7" t="s">
        <v>215</v>
      </c>
      <c r="F93" s="7" t="s">
        <v>8942</v>
      </c>
      <c r="G93" s="7" t="s">
        <v>8316</v>
      </c>
      <c r="H93" s="10" t="n">
        <v>4000</v>
      </c>
      <c r="I93" s="7" t="s">
        <v>69</v>
      </c>
      <c r="J93" s="7" t="s">
        <v>8943</v>
      </c>
      <c r="K93" s="7" t="s">
        <v>8944</v>
      </c>
      <c r="L93" s="7" t="s">
        <v>8945</v>
      </c>
      <c r="M93" s="7" t="s">
        <v>8946</v>
      </c>
      <c r="N93" s="7" t="s">
        <v>8947</v>
      </c>
      <c r="O93" s="7" t="s">
        <v>8948</v>
      </c>
    </row>
    <row r="94" customFormat="false" ht="15" hidden="false" customHeight="false" outlineLevel="0" collapsed="false">
      <c r="A94" s="7" t="s">
        <v>8949</v>
      </c>
      <c r="B94" s="7" t="s">
        <v>28</v>
      </c>
      <c r="C94" s="7" t="s">
        <v>2818</v>
      </c>
      <c r="D94" s="7" t="s">
        <v>5572</v>
      </c>
      <c r="E94" s="7" t="s">
        <v>428</v>
      </c>
      <c r="F94" s="7" t="s">
        <v>8950</v>
      </c>
      <c r="G94" s="7" t="s">
        <v>8316</v>
      </c>
      <c r="H94" s="10" t="n">
        <v>2500</v>
      </c>
      <c r="I94" s="7" t="s">
        <v>350</v>
      </c>
      <c r="J94" s="7"/>
      <c r="K94" s="7" t="s">
        <v>8951</v>
      </c>
      <c r="L94" s="7" t="s">
        <v>8952</v>
      </c>
      <c r="M94" s="7" t="s">
        <v>8953</v>
      </c>
      <c r="N94" s="7" t="s">
        <v>8954</v>
      </c>
      <c r="O94" s="7" t="s">
        <v>8955</v>
      </c>
    </row>
    <row r="95" customFormat="false" ht="15" hidden="false" customHeight="false" outlineLevel="0" collapsed="false">
      <c r="A95" s="7" t="s">
        <v>8956</v>
      </c>
      <c r="B95" s="7" t="s">
        <v>28</v>
      </c>
      <c r="C95" s="7" t="s">
        <v>2818</v>
      </c>
      <c r="D95" s="7" t="s">
        <v>2570</v>
      </c>
      <c r="E95" s="7" t="s">
        <v>88</v>
      </c>
      <c r="F95" s="7" t="s">
        <v>8957</v>
      </c>
      <c r="G95" s="7" t="s">
        <v>8316</v>
      </c>
      <c r="H95" s="10" t="n">
        <v>2000</v>
      </c>
      <c r="I95" s="7" t="s">
        <v>377</v>
      </c>
      <c r="J95" s="7"/>
      <c r="K95" s="7" t="s">
        <v>8958</v>
      </c>
      <c r="L95" s="7" t="s">
        <v>8952</v>
      </c>
      <c r="M95" s="7" t="s">
        <v>8959</v>
      </c>
      <c r="N95" s="7" t="s">
        <v>8960</v>
      </c>
      <c r="O95" s="7" t="s">
        <v>8961</v>
      </c>
    </row>
    <row r="96" customFormat="false" ht="15" hidden="false" customHeight="false" outlineLevel="0" collapsed="false">
      <c r="A96" s="7" t="s">
        <v>8962</v>
      </c>
      <c r="B96" s="7" t="s">
        <v>29</v>
      </c>
      <c r="C96" s="7" t="s">
        <v>8963</v>
      </c>
      <c r="D96" s="7" t="s">
        <v>358</v>
      </c>
      <c r="E96" s="7" t="s">
        <v>359</v>
      </c>
      <c r="F96" s="7" t="s">
        <v>8964</v>
      </c>
      <c r="G96" s="7" t="s">
        <v>8316</v>
      </c>
      <c r="H96" s="10" t="n">
        <v>6000</v>
      </c>
      <c r="I96" s="7" t="s">
        <v>69</v>
      </c>
      <c r="J96" s="7" t="s">
        <v>837</v>
      </c>
      <c r="K96" s="7" t="s">
        <v>8965</v>
      </c>
      <c r="L96" s="7" t="s">
        <v>8966</v>
      </c>
      <c r="M96" s="7" t="s">
        <v>8967</v>
      </c>
      <c r="N96" s="7" t="s">
        <v>8968</v>
      </c>
      <c r="O96" s="7" t="s">
        <v>8969</v>
      </c>
    </row>
    <row r="97" customFormat="false" ht="15" hidden="false" customHeight="false" outlineLevel="0" collapsed="false">
      <c r="A97" s="7" t="s">
        <v>8970</v>
      </c>
      <c r="B97" s="7" t="s">
        <v>29</v>
      </c>
      <c r="C97" s="7" t="s">
        <v>8971</v>
      </c>
      <c r="D97" s="7" t="s">
        <v>112</v>
      </c>
      <c r="E97" s="7" t="s">
        <v>113</v>
      </c>
      <c r="F97" s="7" t="s">
        <v>8972</v>
      </c>
      <c r="G97" s="7" t="s">
        <v>8316</v>
      </c>
      <c r="H97" s="10" t="n">
        <v>6000</v>
      </c>
      <c r="I97" s="7" t="s">
        <v>69</v>
      </c>
      <c r="J97" s="7" t="s">
        <v>507</v>
      </c>
      <c r="K97" s="7" t="s">
        <v>8973</v>
      </c>
      <c r="L97" s="7" t="s">
        <v>8966</v>
      </c>
      <c r="M97" s="7" t="s">
        <v>8974</v>
      </c>
      <c r="N97" s="7" t="s">
        <v>8975</v>
      </c>
      <c r="O97" s="7" t="s">
        <v>8976</v>
      </c>
    </row>
    <row r="98" customFormat="false" ht="15" hidden="false" customHeight="false" outlineLevel="0" collapsed="false">
      <c r="A98" s="7" t="s">
        <v>8977</v>
      </c>
      <c r="B98" s="7" t="s">
        <v>29</v>
      </c>
      <c r="C98" s="7" t="s">
        <v>2997</v>
      </c>
      <c r="D98" s="7" t="s">
        <v>1599</v>
      </c>
      <c r="E98" s="7" t="s">
        <v>78</v>
      </c>
      <c r="F98" s="7" t="s">
        <v>8978</v>
      </c>
      <c r="G98" s="7" t="s">
        <v>8316</v>
      </c>
      <c r="H98" s="10" t="n">
        <v>3500</v>
      </c>
      <c r="I98" s="7" t="s">
        <v>350</v>
      </c>
      <c r="J98" s="7"/>
      <c r="K98" s="7" t="s">
        <v>8979</v>
      </c>
      <c r="L98" s="7" t="s">
        <v>1120</v>
      </c>
      <c r="M98" s="7" t="s">
        <v>8980</v>
      </c>
      <c r="N98" s="7" t="s">
        <v>8981</v>
      </c>
      <c r="O98" s="7" t="s">
        <v>8982</v>
      </c>
    </row>
    <row r="99" customFormat="false" ht="15" hidden="false" customHeight="false" outlineLevel="0" collapsed="false">
      <c r="A99" s="7" t="s">
        <v>8983</v>
      </c>
      <c r="B99" s="7" t="s">
        <v>29</v>
      </c>
      <c r="C99" s="7" t="s">
        <v>8984</v>
      </c>
      <c r="D99" s="7" t="s">
        <v>1660</v>
      </c>
      <c r="E99" s="7" t="s">
        <v>147</v>
      </c>
      <c r="F99" s="7" t="s">
        <v>8985</v>
      </c>
      <c r="G99" s="7" t="s">
        <v>8316</v>
      </c>
      <c r="H99" s="10" t="n">
        <v>6000</v>
      </c>
      <c r="I99" s="7" t="s">
        <v>350</v>
      </c>
      <c r="J99" s="7"/>
      <c r="K99" s="7" t="s">
        <v>8986</v>
      </c>
      <c r="L99" s="7" t="s">
        <v>1120</v>
      </c>
      <c r="M99" s="7" t="s">
        <v>8987</v>
      </c>
      <c r="N99" s="7" t="s">
        <v>8988</v>
      </c>
      <c r="O99" s="7" t="s">
        <v>1208</v>
      </c>
    </row>
    <row r="100" customFormat="false" ht="15" hidden="false" customHeight="false" outlineLevel="0" collapsed="false">
      <c r="A100" s="7" t="s">
        <v>8989</v>
      </c>
      <c r="B100" s="7" t="s">
        <v>29</v>
      </c>
      <c r="C100" s="7" t="s">
        <v>2937</v>
      </c>
      <c r="D100" s="7" t="s">
        <v>454</v>
      </c>
      <c r="E100" s="7" t="s">
        <v>190</v>
      </c>
      <c r="F100" s="7" t="s">
        <v>8990</v>
      </c>
      <c r="G100" s="7" t="s">
        <v>8316</v>
      </c>
      <c r="H100" s="10" t="n">
        <v>2200</v>
      </c>
      <c r="I100" s="7" t="s">
        <v>350</v>
      </c>
      <c r="J100" s="7"/>
      <c r="K100" s="7" t="s">
        <v>8991</v>
      </c>
      <c r="L100" s="7" t="s">
        <v>2940</v>
      </c>
      <c r="M100" s="7" t="s">
        <v>8992</v>
      </c>
      <c r="N100" s="7" t="s">
        <v>8993</v>
      </c>
      <c r="O100" s="7" t="s">
        <v>8994</v>
      </c>
    </row>
    <row r="101" customFormat="false" ht="15" hidden="false" customHeight="false" outlineLevel="0" collapsed="false">
      <c r="A101" s="7" t="s">
        <v>8995</v>
      </c>
      <c r="B101" s="7" t="s">
        <v>29</v>
      </c>
      <c r="C101" s="7" t="s">
        <v>2937</v>
      </c>
      <c r="D101" s="7" t="s">
        <v>827</v>
      </c>
      <c r="E101" s="7" t="s">
        <v>480</v>
      </c>
      <c r="F101" s="7" t="s">
        <v>8996</v>
      </c>
      <c r="G101" s="7" t="s">
        <v>8316</v>
      </c>
      <c r="H101" s="10" t="n">
        <v>2200</v>
      </c>
      <c r="I101" s="7" t="s">
        <v>350</v>
      </c>
      <c r="J101" s="7"/>
      <c r="K101" s="7" t="s">
        <v>8997</v>
      </c>
      <c r="L101" s="7" t="s">
        <v>2940</v>
      </c>
      <c r="M101" s="7" t="s">
        <v>8998</v>
      </c>
      <c r="N101" s="7" t="s">
        <v>8999</v>
      </c>
      <c r="O101" s="7" t="s">
        <v>3019</v>
      </c>
    </row>
    <row r="102" customFormat="false" ht="15" hidden="false" customHeight="false" outlineLevel="0" collapsed="false">
      <c r="A102" s="7" t="s">
        <v>9000</v>
      </c>
      <c r="B102" s="7" t="s">
        <v>30</v>
      </c>
      <c r="C102" s="7" t="s">
        <v>9001</v>
      </c>
      <c r="D102" s="7" t="s">
        <v>1881</v>
      </c>
      <c r="E102" s="7" t="s">
        <v>250</v>
      </c>
      <c r="F102" s="7" t="s">
        <v>9002</v>
      </c>
      <c r="G102" s="7" t="s">
        <v>8316</v>
      </c>
      <c r="H102" s="10" t="n">
        <v>4000</v>
      </c>
      <c r="I102" s="7" t="s">
        <v>377</v>
      </c>
      <c r="J102" s="7"/>
      <c r="K102" s="7" t="s">
        <v>9003</v>
      </c>
      <c r="L102" s="7" t="s">
        <v>1222</v>
      </c>
      <c r="M102" s="7" t="s">
        <v>9004</v>
      </c>
      <c r="N102" s="7" t="s">
        <v>9005</v>
      </c>
      <c r="O102" s="7" t="s">
        <v>9006</v>
      </c>
    </row>
    <row r="103" customFormat="false" ht="15" hidden="false" customHeight="false" outlineLevel="0" collapsed="false">
      <c r="A103" s="7" t="s">
        <v>9007</v>
      </c>
      <c r="B103" s="7" t="s">
        <v>30</v>
      </c>
      <c r="C103" s="7" t="s">
        <v>9008</v>
      </c>
      <c r="D103" s="7" t="s">
        <v>154</v>
      </c>
      <c r="E103" s="7" t="s">
        <v>155</v>
      </c>
      <c r="F103" s="7" t="s">
        <v>9009</v>
      </c>
      <c r="G103" s="7" t="s">
        <v>8316</v>
      </c>
      <c r="H103" s="10" t="n">
        <v>18000</v>
      </c>
      <c r="I103" s="7" t="s">
        <v>517</v>
      </c>
      <c r="J103" s="7"/>
      <c r="K103" s="7" t="s">
        <v>8944</v>
      </c>
      <c r="L103" s="7" t="s">
        <v>1222</v>
      </c>
      <c r="M103" s="7" t="s">
        <v>9010</v>
      </c>
      <c r="N103" s="7" t="s">
        <v>9011</v>
      </c>
      <c r="O103" s="7" t="s">
        <v>9012</v>
      </c>
    </row>
    <row r="104" customFormat="false" ht="15" hidden="false" customHeight="false" outlineLevel="0" collapsed="false">
      <c r="A104" s="7" t="s">
        <v>9013</v>
      </c>
      <c r="B104" s="7" t="s">
        <v>30</v>
      </c>
      <c r="C104" s="7" t="s">
        <v>9014</v>
      </c>
      <c r="D104" s="7" t="s">
        <v>9015</v>
      </c>
      <c r="E104" s="7" t="s">
        <v>163</v>
      </c>
      <c r="F104" s="7" t="s">
        <v>9016</v>
      </c>
      <c r="G104" s="7" t="s">
        <v>8316</v>
      </c>
      <c r="H104" s="10" t="n">
        <v>5500</v>
      </c>
      <c r="I104" s="7" t="s">
        <v>3239</v>
      </c>
      <c r="J104" s="7"/>
      <c r="K104" s="7" t="s">
        <v>9017</v>
      </c>
      <c r="L104" s="7" t="s">
        <v>9018</v>
      </c>
      <c r="M104" s="7" t="s">
        <v>9019</v>
      </c>
      <c r="N104" s="7" t="s">
        <v>9020</v>
      </c>
      <c r="O104" s="7" t="s">
        <v>6256</v>
      </c>
    </row>
    <row r="105" customFormat="false" ht="15" hidden="false" customHeight="false" outlineLevel="0" collapsed="false">
      <c r="A105" s="7" t="s">
        <v>9021</v>
      </c>
      <c r="B105" s="7" t="s">
        <v>30</v>
      </c>
      <c r="C105" s="7" t="s">
        <v>9022</v>
      </c>
      <c r="D105" s="7" t="s">
        <v>6943</v>
      </c>
      <c r="E105" s="7" t="s">
        <v>155</v>
      </c>
      <c r="F105" s="7" t="s">
        <v>9023</v>
      </c>
      <c r="G105" s="7" t="s">
        <v>8316</v>
      </c>
      <c r="H105" s="10" t="n">
        <v>6000</v>
      </c>
      <c r="I105" s="7" t="s">
        <v>69</v>
      </c>
      <c r="J105" s="7" t="s">
        <v>115</v>
      </c>
      <c r="K105" s="7"/>
      <c r="L105" s="7" t="s">
        <v>1222</v>
      </c>
      <c r="M105" s="7" t="s">
        <v>9024</v>
      </c>
      <c r="N105" s="7" t="s">
        <v>9025</v>
      </c>
      <c r="O105" s="7" t="s">
        <v>9026</v>
      </c>
    </row>
    <row r="106" customFormat="false" ht="15" hidden="false" customHeight="false" outlineLevel="0" collapsed="false">
      <c r="A106" s="7" t="s">
        <v>9027</v>
      </c>
      <c r="B106" s="7" t="s">
        <v>30</v>
      </c>
      <c r="C106" s="7" t="s">
        <v>9028</v>
      </c>
      <c r="D106" s="7" t="s">
        <v>9029</v>
      </c>
      <c r="E106" s="7" t="s">
        <v>172</v>
      </c>
      <c r="F106" s="7" t="s">
        <v>9030</v>
      </c>
      <c r="G106" s="7" t="s">
        <v>8316</v>
      </c>
      <c r="H106" s="10" t="n">
        <v>19000</v>
      </c>
      <c r="I106" s="7" t="s">
        <v>3239</v>
      </c>
      <c r="J106" s="7"/>
      <c r="K106" s="7" t="s">
        <v>9031</v>
      </c>
      <c r="L106" s="7" t="s">
        <v>2339</v>
      </c>
      <c r="M106" s="7" t="s">
        <v>9032</v>
      </c>
      <c r="N106" s="7" t="s">
        <v>9033</v>
      </c>
      <c r="O106" s="7" t="s">
        <v>9034</v>
      </c>
    </row>
    <row r="107" customFormat="false" ht="15" hidden="false" customHeight="false" outlineLevel="0" collapsed="false">
      <c r="A107" s="7" t="s">
        <v>9035</v>
      </c>
      <c r="B107" s="7" t="s">
        <v>30</v>
      </c>
      <c r="C107" s="7" t="s">
        <v>9036</v>
      </c>
      <c r="D107" s="7" t="s">
        <v>713</v>
      </c>
      <c r="E107" s="7" t="s">
        <v>155</v>
      </c>
      <c r="F107" s="7" t="s">
        <v>9037</v>
      </c>
      <c r="G107" s="7" t="s">
        <v>8316</v>
      </c>
      <c r="H107" s="10" t="n">
        <v>4000</v>
      </c>
      <c r="I107" s="7" t="s">
        <v>69</v>
      </c>
      <c r="J107" s="7" t="s">
        <v>1032</v>
      </c>
      <c r="K107" s="7" t="s">
        <v>9038</v>
      </c>
      <c r="L107" s="7" t="s">
        <v>1222</v>
      </c>
      <c r="M107" s="7" t="s">
        <v>9039</v>
      </c>
      <c r="N107" s="7" t="s">
        <v>9040</v>
      </c>
      <c r="O107" s="7" t="s">
        <v>9041</v>
      </c>
    </row>
    <row r="108" customFormat="false" ht="15" hidden="false" customHeight="false" outlineLevel="0" collapsed="false">
      <c r="A108" s="7" t="s">
        <v>9042</v>
      </c>
      <c r="B108" s="7" t="s">
        <v>30</v>
      </c>
      <c r="C108" s="7" t="s">
        <v>9043</v>
      </c>
      <c r="D108" s="7" t="s">
        <v>337</v>
      </c>
      <c r="E108" s="7" t="s">
        <v>338</v>
      </c>
      <c r="F108" s="7" t="s">
        <v>9044</v>
      </c>
      <c r="G108" s="7" t="s">
        <v>8316</v>
      </c>
      <c r="H108" s="10" t="n">
        <v>8000</v>
      </c>
      <c r="I108" s="7" t="s">
        <v>377</v>
      </c>
      <c r="J108" s="7"/>
      <c r="K108" s="7" t="s">
        <v>9045</v>
      </c>
      <c r="L108" s="7" t="s">
        <v>1222</v>
      </c>
      <c r="M108" s="7" t="s">
        <v>9046</v>
      </c>
      <c r="N108" s="7" t="s">
        <v>9047</v>
      </c>
      <c r="O108" s="7" t="s">
        <v>9048</v>
      </c>
    </row>
    <row r="109" customFormat="false" ht="15" hidden="false" customHeight="false" outlineLevel="0" collapsed="false">
      <c r="A109" s="7" t="s">
        <v>9049</v>
      </c>
      <c r="B109" s="7" t="s">
        <v>30</v>
      </c>
      <c r="C109" s="7" t="s">
        <v>9050</v>
      </c>
      <c r="D109" s="7" t="s">
        <v>5338</v>
      </c>
      <c r="E109" s="7" t="s">
        <v>105</v>
      </c>
      <c r="F109" s="7" t="s">
        <v>9051</v>
      </c>
      <c r="G109" s="7" t="s">
        <v>8316</v>
      </c>
      <c r="H109" s="10" t="n">
        <v>13000</v>
      </c>
      <c r="I109" s="7" t="s">
        <v>377</v>
      </c>
      <c r="J109" s="7"/>
      <c r="K109" s="7" t="s">
        <v>9052</v>
      </c>
      <c r="L109" s="7" t="s">
        <v>9053</v>
      </c>
      <c r="M109" s="7" t="s">
        <v>9054</v>
      </c>
      <c r="N109" s="7" t="s">
        <v>9055</v>
      </c>
      <c r="O109" s="7" t="s">
        <v>9056</v>
      </c>
    </row>
    <row r="110" customFormat="false" ht="15" hidden="false" customHeight="false" outlineLevel="0" collapsed="false">
      <c r="A110" s="7" t="s">
        <v>9057</v>
      </c>
      <c r="B110" s="7" t="s">
        <v>30</v>
      </c>
      <c r="C110" s="7" t="s">
        <v>9058</v>
      </c>
      <c r="D110" s="7" t="s">
        <v>4846</v>
      </c>
      <c r="E110" s="7" t="s">
        <v>155</v>
      </c>
      <c r="F110" s="7" t="s">
        <v>9059</v>
      </c>
      <c r="G110" s="7" t="s">
        <v>8316</v>
      </c>
      <c r="H110" s="10" t="n">
        <v>5500</v>
      </c>
      <c r="I110" s="7" t="s">
        <v>3239</v>
      </c>
      <c r="J110" s="7"/>
      <c r="K110" s="7" t="s">
        <v>9060</v>
      </c>
      <c r="L110" s="7" t="s">
        <v>9061</v>
      </c>
      <c r="M110" s="7" t="s">
        <v>9062</v>
      </c>
      <c r="N110" s="7" t="s">
        <v>269</v>
      </c>
      <c r="O110" s="7" t="s">
        <v>9063</v>
      </c>
    </row>
    <row r="111" customFormat="false" ht="15" hidden="false" customHeight="false" outlineLevel="0" collapsed="false">
      <c r="A111" s="7" t="s">
        <v>9064</v>
      </c>
      <c r="B111" s="7" t="s">
        <v>30</v>
      </c>
      <c r="C111" s="7" t="s">
        <v>9065</v>
      </c>
      <c r="D111" s="7" t="s">
        <v>970</v>
      </c>
      <c r="E111" s="7" t="s">
        <v>250</v>
      </c>
      <c r="F111" s="7" t="s">
        <v>9066</v>
      </c>
      <c r="G111" s="7" t="s">
        <v>8316</v>
      </c>
      <c r="H111" s="10" t="n">
        <v>2800</v>
      </c>
      <c r="I111" s="7" t="s">
        <v>377</v>
      </c>
      <c r="J111" s="7"/>
      <c r="K111" s="7" t="s">
        <v>9067</v>
      </c>
      <c r="L111" s="7" t="s">
        <v>3224</v>
      </c>
      <c r="M111" s="7" t="s">
        <v>9068</v>
      </c>
      <c r="N111" s="7" t="s">
        <v>9069</v>
      </c>
      <c r="O111" s="7" t="s">
        <v>9070</v>
      </c>
    </row>
    <row r="112" customFormat="false" ht="15" hidden="false" customHeight="false" outlineLevel="0" collapsed="false">
      <c r="A112" s="7" t="s">
        <v>9071</v>
      </c>
      <c r="B112" s="7" t="s">
        <v>30</v>
      </c>
      <c r="C112" s="7" t="s">
        <v>9072</v>
      </c>
      <c r="D112" s="7" t="s">
        <v>9073</v>
      </c>
      <c r="E112" s="7" t="s">
        <v>2464</v>
      </c>
      <c r="F112" s="7" t="s">
        <v>9074</v>
      </c>
      <c r="G112" s="7" t="s">
        <v>8316</v>
      </c>
      <c r="H112" s="10" t="n">
        <v>5000</v>
      </c>
      <c r="I112" s="7" t="s">
        <v>69</v>
      </c>
      <c r="J112" s="7" t="s">
        <v>1160</v>
      </c>
      <c r="K112" s="7" t="s">
        <v>9075</v>
      </c>
      <c r="L112" s="7" t="s">
        <v>1222</v>
      </c>
      <c r="M112" s="7" t="s">
        <v>9076</v>
      </c>
      <c r="N112" s="7" t="s">
        <v>9077</v>
      </c>
      <c r="O112" s="7" t="s">
        <v>9078</v>
      </c>
    </row>
    <row r="113" customFormat="false" ht="15" hidden="false" customHeight="false" outlineLevel="0" collapsed="false">
      <c r="A113" s="7" t="s">
        <v>9079</v>
      </c>
      <c r="B113" s="7" t="s">
        <v>30</v>
      </c>
      <c r="C113" s="7" t="s">
        <v>9080</v>
      </c>
      <c r="D113" s="7" t="s">
        <v>154</v>
      </c>
      <c r="E113" s="7" t="s">
        <v>155</v>
      </c>
      <c r="F113" s="7" t="s">
        <v>9081</v>
      </c>
      <c r="G113" s="7" t="s">
        <v>8316</v>
      </c>
      <c r="H113" s="10" t="n">
        <v>3500</v>
      </c>
      <c r="I113" s="7" t="s">
        <v>517</v>
      </c>
      <c r="J113" s="7"/>
      <c r="K113" s="7" t="s">
        <v>9082</v>
      </c>
      <c r="L113" s="7" t="s">
        <v>3224</v>
      </c>
      <c r="M113" s="7" t="s">
        <v>9083</v>
      </c>
      <c r="N113" s="7" t="s">
        <v>9084</v>
      </c>
      <c r="O113" s="7" t="s">
        <v>9085</v>
      </c>
    </row>
    <row r="114" customFormat="false" ht="15" hidden="false" customHeight="false" outlineLevel="0" collapsed="false">
      <c r="A114" s="7" t="s">
        <v>9086</v>
      </c>
      <c r="B114" s="7" t="s">
        <v>30</v>
      </c>
      <c r="C114" s="7" t="s">
        <v>9087</v>
      </c>
      <c r="D114" s="7" t="s">
        <v>1450</v>
      </c>
      <c r="E114" s="7" t="s">
        <v>172</v>
      </c>
      <c r="F114" s="7" t="s">
        <v>9088</v>
      </c>
      <c r="G114" s="7" t="s">
        <v>8316</v>
      </c>
      <c r="H114" s="10" t="n">
        <v>6500</v>
      </c>
      <c r="I114" s="7" t="s">
        <v>350</v>
      </c>
      <c r="J114" s="7"/>
      <c r="K114" s="7" t="s">
        <v>9089</v>
      </c>
      <c r="L114" s="7" t="s">
        <v>1222</v>
      </c>
      <c r="M114" s="7" t="s">
        <v>9090</v>
      </c>
      <c r="N114" s="7" t="s">
        <v>9091</v>
      </c>
      <c r="O114" s="7" t="s">
        <v>9092</v>
      </c>
    </row>
    <row r="115" customFormat="false" ht="15" hidden="false" customHeight="false" outlineLevel="0" collapsed="false">
      <c r="A115" s="7" t="s">
        <v>9093</v>
      </c>
      <c r="B115" s="7" t="s">
        <v>30</v>
      </c>
      <c r="C115" s="7" t="s">
        <v>9094</v>
      </c>
      <c r="D115" s="7" t="s">
        <v>249</v>
      </c>
      <c r="E115" s="7" t="s">
        <v>250</v>
      </c>
      <c r="F115" s="7" t="s">
        <v>9095</v>
      </c>
      <c r="G115" s="7" t="s">
        <v>8316</v>
      </c>
      <c r="H115" s="10" t="n">
        <v>8600</v>
      </c>
      <c r="I115" s="7" t="s">
        <v>377</v>
      </c>
      <c r="J115" s="7"/>
      <c r="K115" s="7" t="s">
        <v>9096</v>
      </c>
      <c r="L115" s="7" t="s">
        <v>1222</v>
      </c>
      <c r="M115" s="7" t="s">
        <v>9097</v>
      </c>
      <c r="N115" s="7" t="s">
        <v>9098</v>
      </c>
      <c r="O115" s="7" t="s">
        <v>6499</v>
      </c>
    </row>
    <row r="116" customFormat="false" ht="15" hidden="false" customHeight="false" outlineLevel="0" collapsed="false">
      <c r="A116" s="7" t="s">
        <v>9099</v>
      </c>
      <c r="B116" s="7" t="s">
        <v>30</v>
      </c>
      <c r="C116" s="7" t="s">
        <v>6394</v>
      </c>
      <c r="D116" s="7" t="s">
        <v>6389</v>
      </c>
      <c r="E116" s="7" t="s">
        <v>338</v>
      </c>
      <c r="F116" s="7" t="s">
        <v>9100</v>
      </c>
      <c r="G116" s="7" t="s">
        <v>8316</v>
      </c>
      <c r="H116" s="10" t="n">
        <v>3500</v>
      </c>
      <c r="I116" s="7" t="s">
        <v>377</v>
      </c>
      <c r="J116" s="7"/>
      <c r="K116" s="7" t="s">
        <v>9101</v>
      </c>
      <c r="L116" s="7" t="s">
        <v>9018</v>
      </c>
      <c r="M116" s="7" t="s">
        <v>9102</v>
      </c>
      <c r="N116" s="7" t="s">
        <v>9103</v>
      </c>
      <c r="O116" s="7" t="s">
        <v>9104</v>
      </c>
    </row>
    <row r="117" customFormat="false" ht="15" hidden="false" customHeight="false" outlineLevel="0" collapsed="false">
      <c r="A117" s="7" t="s">
        <v>9105</v>
      </c>
      <c r="B117" s="7" t="s">
        <v>31</v>
      </c>
      <c r="C117" s="7" t="s">
        <v>9106</v>
      </c>
      <c r="D117" s="7" t="s">
        <v>1612</v>
      </c>
      <c r="E117" s="7" t="s">
        <v>147</v>
      </c>
      <c r="F117" s="7" t="s">
        <v>9107</v>
      </c>
      <c r="G117" s="7" t="s">
        <v>8316</v>
      </c>
      <c r="H117" s="10" t="n">
        <v>20000</v>
      </c>
      <c r="I117" s="7" t="s">
        <v>69</v>
      </c>
      <c r="J117" s="7" t="s">
        <v>8264</v>
      </c>
      <c r="K117" s="7" t="s">
        <v>9108</v>
      </c>
      <c r="L117" s="7" t="s">
        <v>9109</v>
      </c>
      <c r="M117" s="7" t="s">
        <v>9110</v>
      </c>
      <c r="N117" s="7" t="s">
        <v>9111</v>
      </c>
      <c r="O117" s="7" t="s">
        <v>9112</v>
      </c>
    </row>
    <row r="118" customFormat="false" ht="15" hidden="false" customHeight="false" outlineLevel="0" collapsed="false">
      <c r="A118" s="7" t="s">
        <v>9113</v>
      </c>
      <c r="B118" s="7" t="s">
        <v>31</v>
      </c>
      <c r="C118" s="7" t="s">
        <v>9114</v>
      </c>
      <c r="D118" s="7" t="s">
        <v>4520</v>
      </c>
      <c r="E118" s="7" t="s">
        <v>480</v>
      </c>
      <c r="F118" s="7" t="s">
        <v>9115</v>
      </c>
      <c r="G118" s="7" t="s">
        <v>8316</v>
      </c>
      <c r="H118" s="10" t="n">
        <v>60000</v>
      </c>
      <c r="I118" s="7" t="s">
        <v>377</v>
      </c>
      <c r="J118" s="7"/>
      <c r="K118" s="7" t="s">
        <v>9116</v>
      </c>
      <c r="L118" s="7" t="s">
        <v>9109</v>
      </c>
      <c r="M118" s="7" t="s">
        <v>9117</v>
      </c>
      <c r="N118" s="7" t="s">
        <v>9118</v>
      </c>
      <c r="O118" s="7" t="s">
        <v>9119</v>
      </c>
    </row>
    <row r="119" customFormat="false" ht="15" hidden="false" customHeight="false" outlineLevel="0" collapsed="false">
      <c r="A119" s="7" t="s">
        <v>9120</v>
      </c>
      <c r="B119" s="7" t="s">
        <v>31</v>
      </c>
      <c r="C119" s="7" t="s">
        <v>3290</v>
      </c>
      <c r="D119" s="7" t="s">
        <v>112</v>
      </c>
      <c r="E119" s="7" t="s">
        <v>113</v>
      </c>
      <c r="F119" s="7" t="s">
        <v>9121</v>
      </c>
      <c r="G119" s="7" t="s">
        <v>8316</v>
      </c>
      <c r="H119" s="10" t="n">
        <v>6000</v>
      </c>
      <c r="I119" s="7" t="s">
        <v>386</v>
      </c>
      <c r="J119" s="7"/>
      <c r="K119" s="7" t="s">
        <v>9122</v>
      </c>
      <c r="L119" s="7" t="s">
        <v>3256</v>
      </c>
      <c r="M119" s="7" t="s">
        <v>9123</v>
      </c>
      <c r="N119" s="7" t="s">
        <v>9124</v>
      </c>
      <c r="O119" s="7" t="s">
        <v>9125</v>
      </c>
    </row>
    <row r="120" customFormat="false" ht="15" hidden="false" customHeight="false" outlineLevel="0" collapsed="false">
      <c r="A120" s="7" t="s">
        <v>9126</v>
      </c>
      <c r="B120" s="7" t="s">
        <v>31</v>
      </c>
      <c r="C120" s="7" t="s">
        <v>9127</v>
      </c>
      <c r="D120" s="7" t="s">
        <v>249</v>
      </c>
      <c r="E120" s="7" t="s">
        <v>250</v>
      </c>
      <c r="F120" s="7" t="s">
        <v>9128</v>
      </c>
      <c r="G120" s="7" t="s">
        <v>8316</v>
      </c>
      <c r="H120" s="10" t="n">
        <v>7000</v>
      </c>
      <c r="I120" s="7" t="s">
        <v>3239</v>
      </c>
      <c r="J120" s="7"/>
      <c r="K120" s="7" t="s">
        <v>9129</v>
      </c>
      <c r="L120" s="7" t="s">
        <v>9109</v>
      </c>
      <c r="M120" s="7" t="s">
        <v>9130</v>
      </c>
      <c r="N120" s="7" t="s">
        <v>9131</v>
      </c>
      <c r="O120" s="7" t="s">
        <v>6692</v>
      </c>
    </row>
    <row r="121" customFormat="false" ht="15" hidden="false" customHeight="false" outlineLevel="0" collapsed="false">
      <c r="A121" s="7" t="s">
        <v>9132</v>
      </c>
      <c r="B121" s="7" t="s">
        <v>31</v>
      </c>
      <c r="C121" s="7" t="s">
        <v>9133</v>
      </c>
      <c r="D121" s="7" t="s">
        <v>9134</v>
      </c>
      <c r="E121" s="7" t="s">
        <v>137</v>
      </c>
      <c r="F121" s="7" t="s">
        <v>9135</v>
      </c>
      <c r="G121" s="7" t="s">
        <v>8316</v>
      </c>
      <c r="H121" s="10" t="n">
        <v>12000</v>
      </c>
      <c r="I121" s="7" t="s">
        <v>377</v>
      </c>
      <c r="J121" s="7"/>
      <c r="K121" s="7" t="s">
        <v>9136</v>
      </c>
      <c r="L121" s="7" t="s">
        <v>9109</v>
      </c>
      <c r="M121" s="7" t="s">
        <v>9137</v>
      </c>
      <c r="N121" s="7" t="s">
        <v>9138</v>
      </c>
      <c r="O121" s="7" t="s">
        <v>9139</v>
      </c>
    </row>
    <row r="122" customFormat="false" ht="15" hidden="false" customHeight="false" outlineLevel="0" collapsed="false">
      <c r="A122" s="7" t="s">
        <v>9140</v>
      </c>
      <c r="B122" s="7" t="s">
        <v>31</v>
      </c>
      <c r="C122" s="7" t="s">
        <v>9141</v>
      </c>
      <c r="D122" s="7" t="s">
        <v>154</v>
      </c>
      <c r="E122" s="7" t="s">
        <v>155</v>
      </c>
      <c r="F122" s="7" t="s">
        <v>9142</v>
      </c>
      <c r="G122" s="7" t="s">
        <v>8316</v>
      </c>
      <c r="H122" s="10" t="n">
        <v>30000</v>
      </c>
      <c r="I122" s="7" t="s">
        <v>69</v>
      </c>
      <c r="J122" s="7" t="s">
        <v>9143</v>
      </c>
      <c r="K122" s="7" t="s">
        <v>9144</v>
      </c>
      <c r="L122" s="7" t="s">
        <v>9145</v>
      </c>
      <c r="M122" s="7" t="s">
        <v>9146</v>
      </c>
      <c r="N122" s="7" t="s">
        <v>9147</v>
      </c>
      <c r="O122" s="7" t="s">
        <v>9148</v>
      </c>
    </row>
    <row r="123" customFormat="false" ht="15" hidden="false" customHeight="false" outlineLevel="0" collapsed="false">
      <c r="A123" s="7" t="s">
        <v>9149</v>
      </c>
      <c r="B123" s="7" t="s">
        <v>31</v>
      </c>
      <c r="C123" s="7" t="s">
        <v>9150</v>
      </c>
      <c r="D123" s="7" t="s">
        <v>112</v>
      </c>
      <c r="E123" s="7" t="s">
        <v>113</v>
      </c>
      <c r="F123" s="7" t="s">
        <v>9151</v>
      </c>
      <c r="G123" s="7" t="s">
        <v>8316</v>
      </c>
      <c r="H123" s="10" t="n">
        <v>13000</v>
      </c>
      <c r="I123" s="7" t="s">
        <v>377</v>
      </c>
      <c r="J123" s="7"/>
      <c r="K123" s="7" t="s">
        <v>9152</v>
      </c>
      <c r="L123" s="7" t="s">
        <v>1256</v>
      </c>
      <c r="M123" s="7" t="s">
        <v>9153</v>
      </c>
      <c r="N123" s="7" t="s">
        <v>9154</v>
      </c>
      <c r="O123" s="7" t="s">
        <v>3354</v>
      </c>
    </row>
    <row r="124" customFormat="false" ht="15" hidden="false" customHeight="false" outlineLevel="0" collapsed="false">
      <c r="A124" s="7" t="s">
        <v>9155</v>
      </c>
      <c r="B124" s="7" t="s">
        <v>32</v>
      </c>
      <c r="C124" s="7" t="s">
        <v>9156</v>
      </c>
      <c r="D124" s="7" t="s">
        <v>9157</v>
      </c>
      <c r="E124" s="7" t="s">
        <v>147</v>
      </c>
      <c r="F124" s="7" t="s">
        <v>9158</v>
      </c>
      <c r="G124" s="7" t="s">
        <v>8316</v>
      </c>
      <c r="H124" s="10" t="n">
        <v>2500</v>
      </c>
      <c r="I124" s="7" t="s">
        <v>69</v>
      </c>
      <c r="J124" s="7" t="s">
        <v>964</v>
      </c>
      <c r="K124" s="7" t="s">
        <v>9159</v>
      </c>
      <c r="L124" s="7" t="s">
        <v>1109</v>
      </c>
      <c r="M124" s="7" t="s">
        <v>9160</v>
      </c>
      <c r="N124" s="7" t="s">
        <v>1334</v>
      </c>
      <c r="O124" s="7" t="s">
        <v>1478</v>
      </c>
    </row>
    <row r="125" customFormat="false" ht="15" hidden="false" customHeight="false" outlineLevel="0" collapsed="false">
      <c r="A125" s="7" t="s">
        <v>9161</v>
      </c>
      <c r="B125" s="7" t="s">
        <v>32</v>
      </c>
      <c r="C125" s="7" t="s">
        <v>9162</v>
      </c>
      <c r="D125" s="7" t="s">
        <v>9163</v>
      </c>
      <c r="E125" s="7" t="s">
        <v>155</v>
      </c>
      <c r="F125" s="7" t="s">
        <v>9164</v>
      </c>
      <c r="G125" s="7" t="s">
        <v>8316</v>
      </c>
      <c r="H125" s="10" t="n">
        <v>10000</v>
      </c>
      <c r="I125" s="7" t="s">
        <v>69</v>
      </c>
      <c r="J125" s="7" t="s">
        <v>1330</v>
      </c>
      <c r="K125" s="7" t="s">
        <v>9165</v>
      </c>
      <c r="L125" s="7" t="s">
        <v>1491</v>
      </c>
      <c r="M125" s="7" t="s">
        <v>9166</v>
      </c>
      <c r="N125" s="7" t="s">
        <v>9167</v>
      </c>
      <c r="O125" s="7" t="s">
        <v>1335</v>
      </c>
    </row>
    <row r="126" customFormat="false" ht="15" hidden="false" customHeight="false" outlineLevel="0" collapsed="false">
      <c r="A126" s="7" t="s">
        <v>9168</v>
      </c>
      <c r="B126" s="7" t="s">
        <v>32</v>
      </c>
      <c r="C126" s="7" t="s">
        <v>9169</v>
      </c>
      <c r="D126" s="7" t="s">
        <v>2570</v>
      </c>
      <c r="E126" s="7" t="s">
        <v>88</v>
      </c>
      <c r="F126" s="7" t="s">
        <v>9170</v>
      </c>
      <c r="G126" s="7" t="s">
        <v>8316</v>
      </c>
      <c r="H126" s="10" t="n">
        <v>1000</v>
      </c>
      <c r="I126" s="7" t="s">
        <v>69</v>
      </c>
      <c r="J126" s="7" t="s">
        <v>184</v>
      </c>
      <c r="K126" s="7" t="s">
        <v>9171</v>
      </c>
      <c r="L126" s="7" t="s">
        <v>9172</v>
      </c>
      <c r="M126" s="7" t="s">
        <v>9173</v>
      </c>
      <c r="N126" s="7" t="s">
        <v>9174</v>
      </c>
      <c r="O126" s="7" t="s">
        <v>1545</v>
      </c>
    </row>
    <row r="127" customFormat="false" ht="15" hidden="false" customHeight="false" outlineLevel="0" collapsed="false">
      <c r="A127" s="7" t="s">
        <v>9175</v>
      </c>
      <c r="B127" s="7" t="s">
        <v>32</v>
      </c>
      <c r="C127" s="7" t="s">
        <v>9176</v>
      </c>
      <c r="D127" s="7" t="s">
        <v>65</v>
      </c>
      <c r="E127" s="7" t="s">
        <v>66</v>
      </c>
      <c r="F127" s="7" t="s">
        <v>9177</v>
      </c>
      <c r="G127" s="7" t="s">
        <v>8316</v>
      </c>
      <c r="H127" s="10" t="n">
        <v>6000</v>
      </c>
      <c r="I127" s="7" t="s">
        <v>69</v>
      </c>
      <c r="J127" s="7" t="s">
        <v>1452</v>
      </c>
      <c r="K127" s="7" t="s">
        <v>9178</v>
      </c>
      <c r="L127" s="7" t="s">
        <v>9179</v>
      </c>
      <c r="M127" s="7" t="s">
        <v>9180</v>
      </c>
      <c r="N127" s="7" t="s">
        <v>9181</v>
      </c>
      <c r="O127" s="7" t="s">
        <v>1456</v>
      </c>
    </row>
    <row r="128" customFormat="false" ht="15" hidden="false" customHeight="false" outlineLevel="0" collapsed="false">
      <c r="A128" s="7" t="s">
        <v>9182</v>
      </c>
      <c r="B128" s="7" t="s">
        <v>32</v>
      </c>
      <c r="C128" s="7" t="s">
        <v>9183</v>
      </c>
      <c r="D128" s="7" t="s">
        <v>249</v>
      </c>
      <c r="E128" s="7" t="s">
        <v>250</v>
      </c>
      <c r="F128" s="7" t="s">
        <v>9184</v>
      </c>
      <c r="G128" s="7" t="s">
        <v>8316</v>
      </c>
      <c r="H128" s="10" t="n">
        <v>6000</v>
      </c>
      <c r="I128" s="7" t="s">
        <v>69</v>
      </c>
      <c r="J128" s="7" t="s">
        <v>1351</v>
      </c>
      <c r="K128" s="7" t="s">
        <v>9185</v>
      </c>
      <c r="L128" s="7" t="s">
        <v>1353</v>
      </c>
      <c r="M128" s="7" t="s">
        <v>9186</v>
      </c>
      <c r="N128" s="7" t="s">
        <v>9187</v>
      </c>
      <c r="O128" s="7" t="s">
        <v>1356</v>
      </c>
    </row>
    <row r="129" customFormat="false" ht="15" hidden="false" customHeight="false" outlineLevel="0" collapsed="false">
      <c r="A129" s="7" t="s">
        <v>9188</v>
      </c>
      <c r="B129" s="7" t="s">
        <v>32</v>
      </c>
      <c r="C129" s="7" t="s">
        <v>9189</v>
      </c>
      <c r="D129" s="7" t="s">
        <v>9190</v>
      </c>
      <c r="E129" s="7" t="s">
        <v>172</v>
      </c>
      <c r="F129" s="7" t="s">
        <v>9191</v>
      </c>
      <c r="G129" s="7" t="s">
        <v>8316</v>
      </c>
      <c r="H129" s="10" t="n">
        <v>10000</v>
      </c>
      <c r="I129" s="7" t="s">
        <v>69</v>
      </c>
      <c r="J129" s="7" t="s">
        <v>1436</v>
      </c>
      <c r="K129" s="7" t="s">
        <v>9192</v>
      </c>
      <c r="L129" s="7" t="s">
        <v>1109</v>
      </c>
      <c r="M129" s="7" t="s">
        <v>9193</v>
      </c>
      <c r="N129" s="7" t="s">
        <v>9194</v>
      </c>
      <c r="O129" s="7" t="s">
        <v>9195</v>
      </c>
    </row>
    <row r="130" customFormat="false" ht="15" hidden="false" customHeight="false" outlineLevel="0" collapsed="false">
      <c r="A130" s="7" t="s">
        <v>9196</v>
      </c>
      <c r="B130" s="7" t="s">
        <v>33</v>
      </c>
      <c r="C130" s="7" t="s">
        <v>1689</v>
      </c>
      <c r="D130" s="7" t="s">
        <v>249</v>
      </c>
      <c r="E130" s="7" t="s">
        <v>250</v>
      </c>
      <c r="F130" s="7" t="s">
        <v>9197</v>
      </c>
      <c r="G130" s="7" t="s">
        <v>8316</v>
      </c>
      <c r="H130" s="10" t="n">
        <v>3500</v>
      </c>
      <c r="I130" s="7" t="s">
        <v>377</v>
      </c>
      <c r="J130" s="7"/>
      <c r="K130" s="7" t="s">
        <v>9198</v>
      </c>
      <c r="L130" s="7" t="s">
        <v>1109</v>
      </c>
      <c r="M130" s="7" t="s">
        <v>9199</v>
      </c>
      <c r="N130" s="7" t="s">
        <v>9200</v>
      </c>
      <c r="O130" s="7" t="s">
        <v>9201</v>
      </c>
    </row>
    <row r="131" customFormat="false" ht="15" hidden="false" customHeight="false" outlineLevel="0" collapsed="false">
      <c r="A131" s="7" t="s">
        <v>9202</v>
      </c>
      <c r="B131" s="7" t="s">
        <v>33</v>
      </c>
      <c r="C131" s="7" t="s">
        <v>3512</v>
      </c>
      <c r="D131" s="7" t="s">
        <v>4640</v>
      </c>
      <c r="E131" s="7" t="s">
        <v>163</v>
      </c>
      <c r="F131" s="7" t="s">
        <v>9203</v>
      </c>
      <c r="G131" s="7" t="s">
        <v>8316</v>
      </c>
      <c r="H131" s="10" t="n">
        <v>17000</v>
      </c>
      <c r="I131" s="7" t="s">
        <v>350</v>
      </c>
      <c r="J131" s="7"/>
      <c r="K131" s="7" t="s">
        <v>9204</v>
      </c>
      <c r="L131" s="7" t="s">
        <v>1655</v>
      </c>
      <c r="M131" s="7" t="s">
        <v>9205</v>
      </c>
      <c r="N131" s="7" t="s">
        <v>9206</v>
      </c>
      <c r="O131" s="7" t="s">
        <v>3517</v>
      </c>
    </row>
    <row r="132" customFormat="false" ht="15" hidden="false" customHeight="false" outlineLevel="0" collapsed="false">
      <c r="A132" s="7" t="s">
        <v>9207</v>
      </c>
      <c r="B132" s="7" t="s">
        <v>33</v>
      </c>
      <c r="C132" s="7" t="s">
        <v>1680</v>
      </c>
      <c r="D132" s="7" t="s">
        <v>6205</v>
      </c>
      <c r="E132" s="7" t="s">
        <v>155</v>
      </c>
      <c r="F132" s="7" t="s">
        <v>9208</v>
      </c>
      <c r="G132" s="7" t="s">
        <v>8316</v>
      </c>
      <c r="H132" s="10" t="n">
        <v>10000</v>
      </c>
      <c r="I132" s="7" t="s">
        <v>377</v>
      </c>
      <c r="J132" s="7"/>
      <c r="K132" s="7" t="s">
        <v>9209</v>
      </c>
      <c r="L132" s="7" t="s">
        <v>1129</v>
      </c>
      <c r="M132" s="7" t="s">
        <v>9210</v>
      </c>
      <c r="N132" s="7" t="s">
        <v>9211</v>
      </c>
      <c r="O132" s="7" t="s">
        <v>9212</v>
      </c>
    </row>
    <row r="133" customFormat="false" ht="15" hidden="false" customHeight="false" outlineLevel="0" collapsed="false">
      <c r="A133" s="7" t="s">
        <v>9213</v>
      </c>
      <c r="B133" s="7" t="s">
        <v>33</v>
      </c>
      <c r="C133" s="7" t="s">
        <v>1651</v>
      </c>
      <c r="D133" s="7" t="s">
        <v>420</v>
      </c>
      <c r="E133" s="7" t="s">
        <v>78</v>
      </c>
      <c r="F133" s="7" t="s">
        <v>9214</v>
      </c>
      <c r="G133" s="7" t="s">
        <v>8316</v>
      </c>
      <c r="H133" s="10" t="n">
        <v>100000</v>
      </c>
      <c r="I133" s="7" t="s">
        <v>350</v>
      </c>
      <c r="J133" s="7"/>
      <c r="K133" s="7" t="s">
        <v>9215</v>
      </c>
      <c r="L133" s="7" t="s">
        <v>1109</v>
      </c>
      <c r="M133" s="7" t="s">
        <v>9216</v>
      </c>
      <c r="N133" s="7" t="s">
        <v>9217</v>
      </c>
      <c r="O133" s="7" t="s">
        <v>9218</v>
      </c>
    </row>
    <row r="134" customFormat="false" ht="15" hidden="false" customHeight="false" outlineLevel="0" collapsed="false">
      <c r="A134" s="7" t="s">
        <v>9219</v>
      </c>
      <c r="B134" s="7" t="s">
        <v>33</v>
      </c>
      <c r="C134" s="7" t="s">
        <v>1634</v>
      </c>
      <c r="D134" s="7" t="s">
        <v>1115</v>
      </c>
      <c r="E134" s="7" t="s">
        <v>1116</v>
      </c>
      <c r="F134" s="7" t="s">
        <v>9220</v>
      </c>
      <c r="G134" s="7" t="s">
        <v>8316</v>
      </c>
      <c r="H134" s="10" t="n">
        <v>12000</v>
      </c>
      <c r="I134" s="7" t="s">
        <v>517</v>
      </c>
      <c r="J134" s="7"/>
      <c r="K134" s="7" t="s">
        <v>9221</v>
      </c>
      <c r="L134" s="7" t="s">
        <v>1109</v>
      </c>
      <c r="M134" s="7" t="s">
        <v>9222</v>
      </c>
      <c r="N134" s="7" t="s">
        <v>9223</v>
      </c>
      <c r="O134" s="7" t="s">
        <v>1641</v>
      </c>
    </row>
    <row r="135" customFormat="false" ht="15" hidden="false" customHeight="false" outlineLevel="0" collapsed="false">
      <c r="A135" s="7" t="s">
        <v>9224</v>
      </c>
      <c r="B135" s="7" t="s">
        <v>33</v>
      </c>
      <c r="C135" s="7" t="s">
        <v>1634</v>
      </c>
      <c r="D135" s="7" t="s">
        <v>347</v>
      </c>
      <c r="E135" s="7" t="s">
        <v>348</v>
      </c>
      <c r="F135" s="7" t="s">
        <v>9225</v>
      </c>
      <c r="G135" s="7" t="s">
        <v>8316</v>
      </c>
      <c r="H135" s="10" t="n">
        <v>5500</v>
      </c>
      <c r="I135" s="7" t="s">
        <v>517</v>
      </c>
      <c r="J135" s="7"/>
      <c r="K135" s="7" t="s">
        <v>9226</v>
      </c>
      <c r="L135" s="7" t="s">
        <v>1109</v>
      </c>
      <c r="M135" s="7" t="s">
        <v>9227</v>
      </c>
      <c r="N135" s="7" t="s">
        <v>9228</v>
      </c>
      <c r="O135" s="7" t="s">
        <v>1641</v>
      </c>
    </row>
    <row r="136" customFormat="false" ht="15" hidden="false" customHeight="false" outlineLevel="0" collapsed="false">
      <c r="A136" s="7" t="s">
        <v>9229</v>
      </c>
      <c r="B136" s="7" t="s">
        <v>33</v>
      </c>
      <c r="C136" s="7" t="s">
        <v>1689</v>
      </c>
      <c r="D136" s="7" t="s">
        <v>9230</v>
      </c>
      <c r="E136" s="7" t="s">
        <v>206</v>
      </c>
      <c r="F136" s="7" t="s">
        <v>9231</v>
      </c>
      <c r="G136" s="7" t="s">
        <v>8316</v>
      </c>
      <c r="H136" s="10" t="n">
        <v>3500</v>
      </c>
      <c r="I136" s="7" t="s">
        <v>69</v>
      </c>
      <c r="J136" s="7" t="s">
        <v>9232</v>
      </c>
      <c r="K136" s="7" t="s">
        <v>9233</v>
      </c>
      <c r="L136" s="7" t="s">
        <v>1693</v>
      </c>
      <c r="M136" s="7" t="s">
        <v>9234</v>
      </c>
      <c r="N136" s="7" t="s">
        <v>9235</v>
      </c>
      <c r="O136" s="7" t="s">
        <v>9236</v>
      </c>
    </row>
    <row r="137" customFormat="false" ht="15" hidden="false" customHeight="false" outlineLevel="0" collapsed="false">
      <c r="A137" s="7" t="s">
        <v>9237</v>
      </c>
      <c r="B137" s="7" t="s">
        <v>33</v>
      </c>
      <c r="C137" s="7" t="s">
        <v>9238</v>
      </c>
      <c r="D137" s="7" t="s">
        <v>4449</v>
      </c>
      <c r="E137" s="7" t="s">
        <v>222</v>
      </c>
      <c r="F137" s="7" t="s">
        <v>9239</v>
      </c>
      <c r="G137" s="7" t="s">
        <v>8316</v>
      </c>
      <c r="H137" s="10" t="n">
        <v>50000</v>
      </c>
      <c r="I137" s="7" t="s">
        <v>377</v>
      </c>
      <c r="J137" s="7"/>
      <c r="K137" s="7" t="s">
        <v>9240</v>
      </c>
      <c r="L137" s="7" t="s">
        <v>1109</v>
      </c>
      <c r="M137" s="7" t="s">
        <v>9241</v>
      </c>
      <c r="N137" s="7" t="s">
        <v>9242</v>
      </c>
      <c r="O137" s="7" t="s">
        <v>9243</v>
      </c>
    </row>
    <row r="138" customFormat="false" ht="15" hidden="false" customHeight="false" outlineLevel="0" collapsed="false">
      <c r="A138" s="7" t="s">
        <v>9244</v>
      </c>
      <c r="B138" s="7" t="s">
        <v>33</v>
      </c>
      <c r="C138" s="7" t="s">
        <v>1689</v>
      </c>
      <c r="D138" s="7" t="s">
        <v>1467</v>
      </c>
      <c r="E138" s="7" t="s">
        <v>147</v>
      </c>
      <c r="F138" s="7" t="s">
        <v>9245</v>
      </c>
      <c r="G138" s="7" t="s">
        <v>8316</v>
      </c>
      <c r="H138" s="10" t="n">
        <v>2000</v>
      </c>
      <c r="I138" s="7" t="s">
        <v>377</v>
      </c>
      <c r="J138" s="7"/>
      <c r="K138" s="7" t="s">
        <v>9246</v>
      </c>
      <c r="L138" s="7" t="s">
        <v>1693</v>
      </c>
      <c r="M138" s="7" t="s">
        <v>9247</v>
      </c>
      <c r="N138" s="7" t="s">
        <v>9248</v>
      </c>
      <c r="O138" s="7" t="s">
        <v>9249</v>
      </c>
    </row>
    <row r="139" customFormat="false" ht="15" hidden="false" customHeight="false" outlineLevel="0" collapsed="false">
      <c r="A139" s="7" t="s">
        <v>9250</v>
      </c>
      <c r="B139" s="7" t="s">
        <v>33</v>
      </c>
      <c r="C139" s="7" t="s">
        <v>1689</v>
      </c>
      <c r="D139" s="7" t="s">
        <v>65</v>
      </c>
      <c r="E139" s="7" t="s">
        <v>66</v>
      </c>
      <c r="F139" s="7" t="s">
        <v>9251</v>
      </c>
      <c r="G139" s="7" t="s">
        <v>8316</v>
      </c>
      <c r="H139" s="10" t="n">
        <v>4000</v>
      </c>
      <c r="I139" s="7" t="s">
        <v>69</v>
      </c>
      <c r="J139" s="7" t="s">
        <v>8926</v>
      </c>
      <c r="K139" s="7" t="s">
        <v>9252</v>
      </c>
      <c r="L139" s="7" t="s">
        <v>1109</v>
      </c>
      <c r="M139" s="7" t="s">
        <v>9253</v>
      </c>
      <c r="N139" s="7" t="s">
        <v>9254</v>
      </c>
      <c r="O139" s="7" t="s">
        <v>9255</v>
      </c>
    </row>
    <row r="140" customFormat="false" ht="15" hidden="false" customHeight="false" outlineLevel="0" collapsed="false">
      <c r="A140" s="7" t="s">
        <v>9256</v>
      </c>
      <c r="B140" s="7" t="s">
        <v>33</v>
      </c>
      <c r="C140" s="7" t="s">
        <v>9238</v>
      </c>
      <c r="D140" s="7" t="s">
        <v>112</v>
      </c>
      <c r="E140" s="7" t="s">
        <v>113</v>
      </c>
      <c r="F140" s="7" t="s">
        <v>9257</v>
      </c>
      <c r="G140" s="7" t="s">
        <v>8316</v>
      </c>
      <c r="H140" s="10" t="n">
        <v>60000</v>
      </c>
      <c r="I140" s="7" t="s">
        <v>377</v>
      </c>
      <c r="J140" s="7"/>
      <c r="K140" s="7" t="s">
        <v>9258</v>
      </c>
      <c r="L140" s="7" t="s">
        <v>1655</v>
      </c>
      <c r="M140" s="7" t="s">
        <v>9259</v>
      </c>
      <c r="N140" s="7" t="s">
        <v>9260</v>
      </c>
      <c r="O140" s="7" t="s">
        <v>9261</v>
      </c>
    </row>
    <row r="141" customFormat="false" ht="15" hidden="false" customHeight="false" outlineLevel="0" collapsed="false">
      <c r="A141" s="7" t="s">
        <v>9262</v>
      </c>
      <c r="B141" s="7" t="s">
        <v>33</v>
      </c>
      <c r="C141" s="7" t="s">
        <v>1634</v>
      </c>
      <c r="D141" s="7" t="s">
        <v>9263</v>
      </c>
      <c r="E141" s="7" t="s">
        <v>338</v>
      </c>
      <c r="F141" s="7" t="s">
        <v>9264</v>
      </c>
      <c r="G141" s="7" t="s">
        <v>8316</v>
      </c>
      <c r="H141" s="10" t="n">
        <v>5000</v>
      </c>
      <c r="I141" s="7" t="s">
        <v>69</v>
      </c>
      <c r="J141" s="7" t="s">
        <v>980</v>
      </c>
      <c r="K141" s="7" t="s">
        <v>9265</v>
      </c>
      <c r="L141" s="7" t="s">
        <v>9266</v>
      </c>
      <c r="M141" s="7" t="s">
        <v>9267</v>
      </c>
      <c r="N141" s="7" t="s">
        <v>9268</v>
      </c>
      <c r="O141" s="7" t="s">
        <v>1641</v>
      </c>
    </row>
    <row r="142" customFormat="false" ht="15" hidden="false" customHeight="false" outlineLevel="0" collapsed="false">
      <c r="A142" s="7" t="s">
        <v>9269</v>
      </c>
      <c r="B142" s="7" t="s">
        <v>33</v>
      </c>
      <c r="C142" s="7" t="s">
        <v>9238</v>
      </c>
      <c r="D142" s="7" t="s">
        <v>112</v>
      </c>
      <c r="E142" s="7" t="s">
        <v>113</v>
      </c>
      <c r="F142" s="7" t="s">
        <v>9270</v>
      </c>
      <c r="G142" s="7" t="s">
        <v>8316</v>
      </c>
      <c r="H142" s="10" t="n">
        <v>125000</v>
      </c>
      <c r="I142" s="7" t="s">
        <v>377</v>
      </c>
      <c r="J142" s="7"/>
      <c r="K142" s="7" t="s">
        <v>9271</v>
      </c>
      <c r="L142" s="7" t="s">
        <v>1655</v>
      </c>
      <c r="M142" s="7" t="s">
        <v>9272</v>
      </c>
      <c r="N142" s="7" t="s">
        <v>9273</v>
      </c>
      <c r="O142" s="7" t="s">
        <v>9274</v>
      </c>
    </row>
    <row r="143" customFormat="false" ht="15" hidden="false" customHeight="false" outlineLevel="0" collapsed="false">
      <c r="A143" s="7" t="s">
        <v>9275</v>
      </c>
      <c r="B143" s="7" t="s">
        <v>33</v>
      </c>
      <c r="C143" s="7" t="s">
        <v>1634</v>
      </c>
      <c r="D143" s="7" t="s">
        <v>327</v>
      </c>
      <c r="E143" s="7" t="s">
        <v>328</v>
      </c>
      <c r="F143" s="7" t="s">
        <v>9276</v>
      </c>
      <c r="G143" s="7" t="s">
        <v>8316</v>
      </c>
      <c r="H143" s="10" t="n">
        <v>13000</v>
      </c>
      <c r="I143" s="7" t="s">
        <v>517</v>
      </c>
      <c r="J143" s="7"/>
      <c r="K143" s="7" t="s">
        <v>9277</v>
      </c>
      <c r="L143" s="7" t="s">
        <v>1120</v>
      </c>
      <c r="M143" s="7" t="s">
        <v>9278</v>
      </c>
      <c r="N143" s="7" t="s">
        <v>9279</v>
      </c>
      <c r="O143" s="7" t="s">
        <v>1641</v>
      </c>
    </row>
    <row r="144" customFormat="false" ht="15" hidden="false" customHeight="false" outlineLevel="0" collapsed="false">
      <c r="A144" s="7" t="s">
        <v>9280</v>
      </c>
      <c r="B144" s="7" t="s">
        <v>33</v>
      </c>
      <c r="C144" s="7" t="s">
        <v>1689</v>
      </c>
      <c r="D144" s="7" t="s">
        <v>1621</v>
      </c>
      <c r="E144" s="7" t="s">
        <v>779</v>
      </c>
      <c r="F144" s="7" t="s">
        <v>9281</v>
      </c>
      <c r="G144" s="7" t="s">
        <v>8316</v>
      </c>
      <c r="H144" s="10" t="n">
        <v>1500</v>
      </c>
      <c r="I144" s="7" t="s">
        <v>69</v>
      </c>
      <c r="J144" s="7" t="s">
        <v>781</v>
      </c>
      <c r="K144" s="7" t="s">
        <v>9282</v>
      </c>
      <c r="L144" s="7" t="s">
        <v>1693</v>
      </c>
      <c r="M144" s="7" t="s">
        <v>9283</v>
      </c>
      <c r="N144" s="7" t="s">
        <v>3485</v>
      </c>
      <c r="O144" s="7" t="s">
        <v>3486</v>
      </c>
    </row>
    <row r="145" customFormat="false" ht="15" hidden="false" customHeight="false" outlineLevel="0" collapsed="false">
      <c r="A145" s="7" t="s">
        <v>9284</v>
      </c>
      <c r="B145" s="7" t="s">
        <v>33</v>
      </c>
      <c r="C145" s="7" t="s">
        <v>3512</v>
      </c>
      <c r="D145" s="7" t="s">
        <v>154</v>
      </c>
      <c r="E145" s="7" t="s">
        <v>155</v>
      </c>
      <c r="F145" s="7" t="s">
        <v>9285</v>
      </c>
      <c r="G145" s="7" t="s">
        <v>8316</v>
      </c>
      <c r="H145" s="10" t="n">
        <v>19000</v>
      </c>
      <c r="I145" s="7" t="s">
        <v>69</v>
      </c>
      <c r="J145" s="7" t="s">
        <v>9286</v>
      </c>
      <c r="K145" s="7" t="s">
        <v>9287</v>
      </c>
      <c r="L145" s="7" t="s">
        <v>1109</v>
      </c>
      <c r="M145" s="7" t="s">
        <v>9288</v>
      </c>
      <c r="N145" s="7" t="s">
        <v>9289</v>
      </c>
      <c r="O145" s="7" t="s">
        <v>3517</v>
      </c>
    </row>
    <row r="146" customFormat="false" ht="15" hidden="false" customHeight="false" outlineLevel="0" collapsed="false">
      <c r="A146" s="7" t="s">
        <v>9290</v>
      </c>
      <c r="B146" s="7" t="s">
        <v>33</v>
      </c>
      <c r="C146" s="7" t="s">
        <v>1689</v>
      </c>
      <c r="D146" s="7" t="s">
        <v>182</v>
      </c>
      <c r="E146" s="7" t="s">
        <v>163</v>
      </c>
      <c r="F146" s="7" t="s">
        <v>9291</v>
      </c>
      <c r="G146" s="7" t="s">
        <v>8316</v>
      </c>
      <c r="H146" s="10" t="n">
        <v>7000</v>
      </c>
      <c r="I146" s="7" t="s">
        <v>377</v>
      </c>
      <c r="J146" s="7"/>
      <c r="K146" s="7" t="s">
        <v>9292</v>
      </c>
      <c r="L146" s="7" t="s">
        <v>1109</v>
      </c>
      <c r="M146" s="7" t="s">
        <v>9293</v>
      </c>
      <c r="N146" s="7" t="s">
        <v>9294</v>
      </c>
      <c r="O146" s="7" t="s">
        <v>9236</v>
      </c>
    </row>
    <row r="147" customFormat="false" ht="15" hidden="false" customHeight="false" outlineLevel="0" collapsed="false">
      <c r="A147" s="7" t="s">
        <v>9295</v>
      </c>
      <c r="B147" s="7" t="s">
        <v>33</v>
      </c>
      <c r="C147" s="7" t="s">
        <v>1634</v>
      </c>
      <c r="D147" s="7" t="s">
        <v>104</v>
      </c>
      <c r="E147" s="7" t="s">
        <v>105</v>
      </c>
      <c r="F147" s="7" t="s">
        <v>9296</v>
      </c>
      <c r="G147" s="7" t="s">
        <v>8316</v>
      </c>
      <c r="H147" s="10" t="n">
        <v>8000</v>
      </c>
      <c r="I147" s="7" t="s">
        <v>517</v>
      </c>
      <c r="J147" s="7"/>
      <c r="K147" s="7" t="s">
        <v>9297</v>
      </c>
      <c r="L147" s="7" t="s">
        <v>9298</v>
      </c>
      <c r="M147" s="7" t="s">
        <v>9299</v>
      </c>
      <c r="N147" s="7" t="s">
        <v>9300</v>
      </c>
      <c r="O147" s="7" t="s">
        <v>1641</v>
      </c>
    </row>
    <row r="148" customFormat="false" ht="15" hidden="false" customHeight="false" outlineLevel="0" collapsed="false">
      <c r="A148" s="7" t="s">
        <v>9301</v>
      </c>
      <c r="B148" s="7" t="s">
        <v>33</v>
      </c>
      <c r="C148" s="7" t="s">
        <v>1719</v>
      </c>
      <c r="D148" s="7" t="s">
        <v>112</v>
      </c>
      <c r="E148" s="7" t="s">
        <v>113</v>
      </c>
      <c r="F148" s="7" t="s">
        <v>9302</v>
      </c>
      <c r="G148" s="7" t="s">
        <v>8316</v>
      </c>
      <c r="H148" s="10" t="n">
        <v>6500</v>
      </c>
      <c r="I148" s="7" t="s">
        <v>69</v>
      </c>
      <c r="J148" s="7" t="s">
        <v>9303</v>
      </c>
      <c r="K148" s="7" t="s">
        <v>9304</v>
      </c>
      <c r="L148" s="7" t="s">
        <v>1109</v>
      </c>
      <c r="M148" s="7" t="s">
        <v>9305</v>
      </c>
      <c r="N148" s="7" t="s">
        <v>9306</v>
      </c>
      <c r="O148" s="7" t="s">
        <v>9307</v>
      </c>
    </row>
    <row r="149" customFormat="false" ht="15" hidden="false" customHeight="false" outlineLevel="0" collapsed="false">
      <c r="A149" s="7" t="s">
        <v>9308</v>
      </c>
      <c r="B149" s="7" t="s">
        <v>33</v>
      </c>
      <c r="C149" s="7" t="s">
        <v>1719</v>
      </c>
      <c r="D149" s="7" t="s">
        <v>337</v>
      </c>
      <c r="E149" s="7" t="s">
        <v>338</v>
      </c>
      <c r="F149" s="7" t="s">
        <v>9309</v>
      </c>
      <c r="G149" s="7" t="s">
        <v>8316</v>
      </c>
      <c r="H149" s="10" t="n">
        <v>3000</v>
      </c>
      <c r="I149" s="7" t="s">
        <v>386</v>
      </c>
      <c r="J149" s="7"/>
      <c r="K149" s="7" t="s">
        <v>9310</v>
      </c>
      <c r="L149" s="7" t="s">
        <v>1693</v>
      </c>
      <c r="M149" s="7" t="s">
        <v>9311</v>
      </c>
      <c r="N149" s="7" t="s">
        <v>9312</v>
      </c>
      <c r="O149" s="7" t="s">
        <v>9313</v>
      </c>
    </row>
    <row r="150" customFormat="false" ht="15" hidden="false" customHeight="false" outlineLevel="0" collapsed="false">
      <c r="A150" s="7" t="s">
        <v>9314</v>
      </c>
      <c r="B150" s="7" t="s">
        <v>33</v>
      </c>
      <c r="C150" s="7" t="s">
        <v>9238</v>
      </c>
      <c r="D150" s="7" t="s">
        <v>4343</v>
      </c>
      <c r="E150" s="7" t="s">
        <v>113</v>
      </c>
      <c r="F150" s="7" t="s">
        <v>9315</v>
      </c>
      <c r="G150" s="7" t="s">
        <v>8316</v>
      </c>
      <c r="H150" s="10" t="n">
        <v>40000</v>
      </c>
      <c r="I150" s="7" t="s">
        <v>350</v>
      </c>
      <c r="J150" s="7"/>
      <c r="K150" s="7" t="s">
        <v>9316</v>
      </c>
      <c r="L150" s="7" t="s">
        <v>1109</v>
      </c>
      <c r="M150" s="7" t="s">
        <v>9317</v>
      </c>
      <c r="N150" s="7" t="s">
        <v>9318</v>
      </c>
      <c r="O150" s="7" t="s">
        <v>9319</v>
      </c>
    </row>
    <row r="151" customFormat="false" ht="15" hidden="false" customHeight="false" outlineLevel="0" collapsed="false">
      <c r="A151" s="7" t="s">
        <v>9320</v>
      </c>
      <c r="B151" s="7" t="s">
        <v>33</v>
      </c>
      <c r="C151" s="7" t="s">
        <v>1634</v>
      </c>
      <c r="D151" s="7" t="s">
        <v>9321</v>
      </c>
      <c r="E151" s="7" t="s">
        <v>610</v>
      </c>
      <c r="F151" s="7" t="s">
        <v>9322</v>
      </c>
      <c r="G151" s="7" t="s">
        <v>8316</v>
      </c>
      <c r="H151" s="10" t="n">
        <v>7000</v>
      </c>
      <c r="I151" s="7" t="s">
        <v>69</v>
      </c>
      <c r="J151" s="7" t="s">
        <v>1032</v>
      </c>
      <c r="K151" s="7" t="s">
        <v>9323</v>
      </c>
      <c r="L151" s="7" t="s">
        <v>9324</v>
      </c>
      <c r="M151" s="7" t="s">
        <v>9325</v>
      </c>
      <c r="N151" s="7" t="s">
        <v>9326</v>
      </c>
      <c r="O151" s="7" t="s">
        <v>1641</v>
      </c>
    </row>
    <row r="152" customFormat="false" ht="15" hidden="false" customHeight="false" outlineLevel="0" collapsed="false">
      <c r="A152" s="7" t="s">
        <v>9327</v>
      </c>
      <c r="B152" s="7" t="s">
        <v>33</v>
      </c>
      <c r="C152" s="7" t="s">
        <v>1651</v>
      </c>
      <c r="D152" s="7" t="s">
        <v>214</v>
      </c>
      <c r="E152" s="7" t="s">
        <v>215</v>
      </c>
      <c r="F152" s="7" t="s">
        <v>9328</v>
      </c>
      <c r="G152" s="7" t="s">
        <v>8316</v>
      </c>
      <c r="H152" s="10" t="n">
        <v>55000</v>
      </c>
      <c r="I152" s="7" t="s">
        <v>377</v>
      </c>
      <c r="J152" s="7"/>
      <c r="K152" s="7" t="s">
        <v>9329</v>
      </c>
      <c r="L152" s="7" t="s">
        <v>1109</v>
      </c>
      <c r="M152" s="7" t="s">
        <v>9330</v>
      </c>
      <c r="N152" s="7" t="s">
        <v>9331</v>
      </c>
      <c r="O152" s="7" t="s">
        <v>9332</v>
      </c>
    </row>
    <row r="153" customFormat="false" ht="15" hidden="false" customHeight="false" outlineLevel="0" collapsed="false">
      <c r="A153" s="7" t="s">
        <v>9333</v>
      </c>
      <c r="B153" s="7" t="s">
        <v>33</v>
      </c>
      <c r="C153" s="7" t="s">
        <v>1634</v>
      </c>
      <c r="D153" s="7" t="s">
        <v>9334</v>
      </c>
      <c r="E153" s="7" t="s">
        <v>1116</v>
      </c>
      <c r="F153" s="7" t="s">
        <v>9335</v>
      </c>
      <c r="G153" s="7" t="s">
        <v>8316</v>
      </c>
      <c r="H153" s="10" t="n">
        <v>6500</v>
      </c>
      <c r="I153" s="7" t="s">
        <v>517</v>
      </c>
      <c r="J153" s="7"/>
      <c r="K153" s="7" t="s">
        <v>9336</v>
      </c>
      <c r="L153" s="7" t="s">
        <v>1491</v>
      </c>
      <c r="M153" s="7" t="s">
        <v>9337</v>
      </c>
      <c r="N153" s="7" t="s">
        <v>9338</v>
      </c>
      <c r="O153" s="7" t="s">
        <v>1641</v>
      </c>
    </row>
    <row r="154" customFormat="false" ht="15" hidden="false" customHeight="false" outlineLevel="0" collapsed="false">
      <c r="A154" s="7" t="s">
        <v>9339</v>
      </c>
      <c r="B154" s="7" t="s">
        <v>33</v>
      </c>
      <c r="C154" s="7" t="s">
        <v>3512</v>
      </c>
      <c r="D154" s="7" t="s">
        <v>146</v>
      </c>
      <c r="E154" s="7" t="s">
        <v>147</v>
      </c>
      <c r="F154" s="7" t="s">
        <v>9340</v>
      </c>
      <c r="G154" s="7" t="s">
        <v>8316</v>
      </c>
      <c r="H154" s="10" t="n">
        <v>4000</v>
      </c>
      <c r="I154" s="7" t="s">
        <v>377</v>
      </c>
      <c r="J154" s="7"/>
      <c r="K154" s="7" t="s">
        <v>9341</v>
      </c>
      <c r="L154" s="7" t="s">
        <v>1109</v>
      </c>
      <c r="M154" s="7" t="s">
        <v>9342</v>
      </c>
      <c r="N154" s="7" t="s">
        <v>9343</v>
      </c>
      <c r="O154" s="7" t="s">
        <v>3517</v>
      </c>
    </row>
    <row r="155" customFormat="false" ht="15" hidden="false" customHeight="false" outlineLevel="0" collapsed="false">
      <c r="A155" s="7" t="s">
        <v>9344</v>
      </c>
      <c r="B155" s="7" t="s">
        <v>33</v>
      </c>
      <c r="C155" s="7" t="s">
        <v>1689</v>
      </c>
      <c r="D155" s="7" t="s">
        <v>9345</v>
      </c>
      <c r="E155" s="7" t="s">
        <v>428</v>
      </c>
      <c r="F155" s="7" t="s">
        <v>9346</v>
      </c>
      <c r="G155" s="7" t="s">
        <v>8316</v>
      </c>
      <c r="H155" s="10" t="n">
        <v>4000</v>
      </c>
      <c r="I155" s="7" t="s">
        <v>377</v>
      </c>
      <c r="J155" s="7"/>
      <c r="K155" s="7" t="s">
        <v>9347</v>
      </c>
      <c r="L155" s="7" t="s">
        <v>1109</v>
      </c>
      <c r="M155" s="7" t="s">
        <v>9348</v>
      </c>
      <c r="N155" s="7" t="s">
        <v>9349</v>
      </c>
      <c r="O155" s="7" t="s">
        <v>9350</v>
      </c>
    </row>
    <row r="156" customFormat="false" ht="15" hidden="false" customHeight="false" outlineLevel="0" collapsed="false">
      <c r="A156" s="7" t="s">
        <v>9351</v>
      </c>
      <c r="B156" s="7" t="s">
        <v>33</v>
      </c>
      <c r="C156" s="7" t="s">
        <v>3512</v>
      </c>
      <c r="D156" s="7" t="s">
        <v>9352</v>
      </c>
      <c r="E156" s="7" t="s">
        <v>113</v>
      </c>
      <c r="F156" s="7" t="s">
        <v>9353</v>
      </c>
      <c r="G156" s="7" t="s">
        <v>8316</v>
      </c>
      <c r="H156" s="10" t="n">
        <v>10000</v>
      </c>
      <c r="I156" s="7" t="s">
        <v>69</v>
      </c>
      <c r="J156" s="7" t="s">
        <v>9354</v>
      </c>
      <c r="K156" s="7" t="s">
        <v>9355</v>
      </c>
      <c r="L156" s="7" t="s">
        <v>1109</v>
      </c>
      <c r="M156" s="7" t="s">
        <v>9356</v>
      </c>
      <c r="N156" s="7" t="s">
        <v>9357</v>
      </c>
      <c r="O156" s="7" t="s">
        <v>3517</v>
      </c>
    </row>
    <row r="157" customFormat="false" ht="15" hidden="false" customHeight="false" outlineLevel="0" collapsed="false">
      <c r="A157" s="7" t="s">
        <v>9358</v>
      </c>
      <c r="B157" s="7" t="s">
        <v>34</v>
      </c>
      <c r="C157" s="7" t="s">
        <v>9359</v>
      </c>
      <c r="D157" s="7" t="s">
        <v>5292</v>
      </c>
      <c r="E157" s="7" t="s">
        <v>113</v>
      </c>
      <c r="F157" s="7" t="s">
        <v>9360</v>
      </c>
      <c r="G157" s="7" t="s">
        <v>8316</v>
      </c>
      <c r="H157" s="10" t="n">
        <v>4000</v>
      </c>
      <c r="I157" s="7" t="s">
        <v>377</v>
      </c>
      <c r="J157" s="7"/>
      <c r="K157" s="7" t="s">
        <v>9361</v>
      </c>
      <c r="L157" s="7" t="s">
        <v>9362</v>
      </c>
      <c r="M157" s="7" t="s">
        <v>9363</v>
      </c>
      <c r="N157" s="7" t="s">
        <v>9364</v>
      </c>
      <c r="O157" s="7" t="s">
        <v>9365</v>
      </c>
    </row>
    <row r="158" customFormat="false" ht="15" hidden="false" customHeight="false" outlineLevel="0" collapsed="false">
      <c r="A158" s="7" t="s">
        <v>9366</v>
      </c>
      <c r="B158" s="7" t="s">
        <v>34</v>
      </c>
      <c r="C158" s="7" t="s">
        <v>9367</v>
      </c>
      <c r="D158" s="7" t="s">
        <v>1599</v>
      </c>
      <c r="E158" s="7" t="s">
        <v>78</v>
      </c>
      <c r="F158" s="7" t="s">
        <v>9368</v>
      </c>
      <c r="G158" s="7" t="s">
        <v>8316</v>
      </c>
      <c r="H158" s="10" t="n">
        <v>2000</v>
      </c>
      <c r="I158" s="7" t="s">
        <v>350</v>
      </c>
      <c r="J158" s="7"/>
      <c r="K158" s="7" t="s">
        <v>9369</v>
      </c>
      <c r="L158" s="7" t="s">
        <v>7908</v>
      </c>
      <c r="M158" s="7" t="s">
        <v>9370</v>
      </c>
      <c r="N158" s="7" t="s">
        <v>9371</v>
      </c>
      <c r="O158" s="7" t="s">
        <v>9372</v>
      </c>
    </row>
    <row r="159" customFormat="false" ht="15" hidden="false" customHeight="false" outlineLevel="0" collapsed="false">
      <c r="A159" s="7" t="s">
        <v>9373</v>
      </c>
      <c r="B159" s="7" t="s">
        <v>34</v>
      </c>
      <c r="C159" s="7" t="s">
        <v>9374</v>
      </c>
      <c r="D159" s="7" t="s">
        <v>9375</v>
      </c>
      <c r="E159" s="7" t="s">
        <v>172</v>
      </c>
      <c r="F159" s="7" t="s">
        <v>9376</v>
      </c>
      <c r="G159" s="7" t="s">
        <v>8316</v>
      </c>
      <c r="H159" s="10" t="n">
        <v>2500</v>
      </c>
      <c r="I159" s="7" t="s">
        <v>377</v>
      </c>
      <c r="J159" s="7"/>
      <c r="K159" s="7" t="s">
        <v>9377</v>
      </c>
      <c r="L159" s="7" t="s">
        <v>3608</v>
      </c>
      <c r="M159" s="7" t="s">
        <v>9378</v>
      </c>
      <c r="N159" s="7" t="s">
        <v>9379</v>
      </c>
      <c r="O159" s="7" t="s">
        <v>9380</v>
      </c>
    </row>
    <row r="160" customFormat="false" ht="15" hidden="false" customHeight="false" outlineLevel="0" collapsed="false">
      <c r="A160" s="7" t="s">
        <v>9381</v>
      </c>
      <c r="B160" s="7" t="s">
        <v>34</v>
      </c>
      <c r="C160" s="7" t="s">
        <v>9382</v>
      </c>
      <c r="D160" s="7" t="s">
        <v>112</v>
      </c>
      <c r="E160" s="7" t="s">
        <v>113</v>
      </c>
      <c r="F160" s="7" t="s">
        <v>9383</v>
      </c>
      <c r="G160" s="7" t="s">
        <v>8316</v>
      </c>
      <c r="H160" s="10" t="n">
        <v>400</v>
      </c>
      <c r="I160" s="7" t="s">
        <v>69</v>
      </c>
      <c r="J160" s="7" t="s">
        <v>9384</v>
      </c>
      <c r="K160" s="7" t="s">
        <v>9385</v>
      </c>
      <c r="L160" s="7" t="s">
        <v>9386</v>
      </c>
      <c r="M160" s="7" t="s">
        <v>9387</v>
      </c>
      <c r="N160" s="7" t="s">
        <v>9388</v>
      </c>
      <c r="O160" s="7" t="s">
        <v>1742</v>
      </c>
    </row>
    <row r="161" customFormat="false" ht="15" hidden="false" customHeight="false" outlineLevel="0" collapsed="false">
      <c r="A161" s="7" t="s">
        <v>9389</v>
      </c>
      <c r="B161" s="7" t="s">
        <v>34</v>
      </c>
      <c r="C161" s="7" t="s">
        <v>9390</v>
      </c>
      <c r="D161" s="7" t="s">
        <v>9230</v>
      </c>
      <c r="E161" s="7" t="s">
        <v>206</v>
      </c>
      <c r="F161" s="7" t="s">
        <v>9391</v>
      </c>
      <c r="G161" s="7" t="s">
        <v>8316</v>
      </c>
      <c r="H161" s="10" t="n">
        <v>700</v>
      </c>
      <c r="I161" s="7" t="s">
        <v>377</v>
      </c>
      <c r="J161" s="7"/>
      <c r="K161" s="7" t="s">
        <v>9392</v>
      </c>
      <c r="L161" s="7" t="s">
        <v>9393</v>
      </c>
      <c r="M161" s="7" t="s">
        <v>9394</v>
      </c>
      <c r="N161" s="7" t="s">
        <v>9395</v>
      </c>
      <c r="O161" s="7" t="s">
        <v>9396</v>
      </c>
    </row>
    <row r="162" customFormat="false" ht="15" hidden="false" customHeight="false" outlineLevel="0" collapsed="false">
      <c r="A162" s="7" t="s">
        <v>9397</v>
      </c>
      <c r="B162" s="7" t="s">
        <v>34</v>
      </c>
      <c r="C162" s="7" t="s">
        <v>9398</v>
      </c>
      <c r="D162" s="7" t="s">
        <v>420</v>
      </c>
      <c r="E162" s="7" t="s">
        <v>78</v>
      </c>
      <c r="F162" s="7" t="s">
        <v>9399</v>
      </c>
      <c r="G162" s="7" t="s">
        <v>8316</v>
      </c>
      <c r="H162" s="10" t="n">
        <v>10000</v>
      </c>
      <c r="I162" s="7" t="s">
        <v>377</v>
      </c>
      <c r="J162" s="7"/>
      <c r="K162" s="7" t="s">
        <v>9400</v>
      </c>
      <c r="L162" s="7" t="s">
        <v>9401</v>
      </c>
      <c r="M162" s="7" t="s">
        <v>9402</v>
      </c>
      <c r="N162" s="7" t="s">
        <v>9403</v>
      </c>
      <c r="O162" s="7" t="s">
        <v>9404</v>
      </c>
    </row>
    <row r="163" customFormat="false" ht="15" hidden="false" customHeight="false" outlineLevel="0" collapsed="false">
      <c r="A163" s="7" t="s">
        <v>9405</v>
      </c>
      <c r="B163" s="7" t="s">
        <v>34</v>
      </c>
      <c r="C163" s="7" t="s">
        <v>9406</v>
      </c>
      <c r="D163" s="7" t="s">
        <v>1404</v>
      </c>
      <c r="E163" s="7" t="s">
        <v>206</v>
      </c>
      <c r="F163" s="7" t="s">
        <v>9407</v>
      </c>
      <c r="G163" s="7" t="s">
        <v>8316</v>
      </c>
      <c r="H163" s="10" t="n">
        <v>600</v>
      </c>
      <c r="I163" s="7" t="s">
        <v>350</v>
      </c>
      <c r="J163" s="7" t="s">
        <v>9408</v>
      </c>
      <c r="K163" s="7" t="s">
        <v>9409</v>
      </c>
      <c r="L163" s="7" t="s">
        <v>9410</v>
      </c>
      <c r="M163" s="7" t="s">
        <v>9411</v>
      </c>
      <c r="N163" s="7" t="s">
        <v>9412</v>
      </c>
      <c r="O163" s="7" t="s">
        <v>1752</v>
      </c>
    </row>
    <row r="164" customFormat="false" ht="15" hidden="false" customHeight="false" outlineLevel="0" collapsed="false">
      <c r="A164" s="7" t="s">
        <v>9413</v>
      </c>
      <c r="B164" s="7" t="s">
        <v>34</v>
      </c>
      <c r="C164" s="7" t="s">
        <v>9414</v>
      </c>
      <c r="D164" s="7" t="s">
        <v>1245</v>
      </c>
      <c r="E164" s="7" t="s">
        <v>78</v>
      </c>
      <c r="F164" s="7" t="s">
        <v>9415</v>
      </c>
      <c r="G164" s="7" t="s">
        <v>8316</v>
      </c>
      <c r="H164" s="10" t="n">
        <v>1500</v>
      </c>
      <c r="I164" s="7" t="s">
        <v>377</v>
      </c>
      <c r="J164" s="7"/>
      <c r="K164" s="7" t="s">
        <v>9416</v>
      </c>
      <c r="L164" s="7" t="s">
        <v>3756</v>
      </c>
      <c r="M164" s="7" t="s">
        <v>9417</v>
      </c>
      <c r="N164" s="7" t="s">
        <v>9418</v>
      </c>
      <c r="O164" s="7" t="s">
        <v>9419</v>
      </c>
    </row>
    <row r="165" customFormat="false" ht="15" hidden="false" customHeight="false" outlineLevel="0" collapsed="false">
      <c r="A165" s="7" t="s">
        <v>9420</v>
      </c>
      <c r="B165" s="7" t="s">
        <v>34</v>
      </c>
      <c r="C165" s="7" t="s">
        <v>9421</v>
      </c>
      <c r="D165" s="7" t="s">
        <v>112</v>
      </c>
      <c r="E165" s="7" t="s">
        <v>113</v>
      </c>
      <c r="F165" s="7" t="s">
        <v>9422</v>
      </c>
      <c r="G165" s="7" t="s">
        <v>8316</v>
      </c>
      <c r="H165" s="10" t="n">
        <v>10000</v>
      </c>
      <c r="I165" s="7" t="s">
        <v>69</v>
      </c>
      <c r="J165" s="7" t="s">
        <v>7525</v>
      </c>
      <c r="K165" s="7" t="s">
        <v>9423</v>
      </c>
      <c r="L165" s="7" t="s">
        <v>3608</v>
      </c>
      <c r="M165" s="7" t="s">
        <v>9424</v>
      </c>
      <c r="N165" s="7" t="s">
        <v>9425</v>
      </c>
      <c r="O165" s="7" t="s">
        <v>9426</v>
      </c>
    </row>
    <row r="166" customFormat="false" ht="15" hidden="false" customHeight="false" outlineLevel="0" collapsed="false">
      <c r="A166" s="7" t="s">
        <v>9427</v>
      </c>
      <c r="B166" s="7" t="s">
        <v>34</v>
      </c>
      <c r="C166" s="7" t="s">
        <v>9428</v>
      </c>
      <c r="D166" s="7" t="s">
        <v>9429</v>
      </c>
      <c r="E166" s="7" t="s">
        <v>137</v>
      </c>
      <c r="F166" s="7" t="s">
        <v>9430</v>
      </c>
      <c r="G166" s="7" t="s">
        <v>8316</v>
      </c>
      <c r="H166" s="10" t="n">
        <v>5000</v>
      </c>
      <c r="I166" s="7" t="s">
        <v>377</v>
      </c>
      <c r="J166" s="7"/>
      <c r="K166" s="7" t="s">
        <v>9431</v>
      </c>
      <c r="L166" s="7" t="s">
        <v>9432</v>
      </c>
      <c r="M166" s="7" t="s">
        <v>9433</v>
      </c>
      <c r="N166" s="7" t="s">
        <v>9434</v>
      </c>
      <c r="O166" s="7" t="s">
        <v>9435</v>
      </c>
    </row>
    <row r="167" customFormat="false" ht="15" hidden="false" customHeight="false" outlineLevel="0" collapsed="false">
      <c r="A167" s="7" t="s">
        <v>9436</v>
      </c>
      <c r="B167" s="7" t="s">
        <v>34</v>
      </c>
      <c r="C167" s="7" t="s">
        <v>9437</v>
      </c>
      <c r="D167" s="7" t="s">
        <v>1202</v>
      </c>
      <c r="E167" s="7" t="s">
        <v>296</v>
      </c>
      <c r="F167" s="7" t="s">
        <v>9438</v>
      </c>
      <c r="G167" s="7" t="s">
        <v>8316</v>
      </c>
      <c r="H167" s="10" t="n">
        <v>5000</v>
      </c>
      <c r="I167" s="7" t="s">
        <v>377</v>
      </c>
      <c r="J167" s="7"/>
      <c r="K167" s="7" t="s">
        <v>9439</v>
      </c>
      <c r="L167" s="7" t="s">
        <v>9440</v>
      </c>
      <c r="M167" s="7" t="s">
        <v>9441</v>
      </c>
      <c r="N167" s="7" t="s">
        <v>9442</v>
      </c>
      <c r="O167" s="7" t="s">
        <v>9443</v>
      </c>
    </row>
    <row r="168" customFormat="false" ht="15" hidden="false" customHeight="false" outlineLevel="0" collapsed="false">
      <c r="A168" s="7" t="s">
        <v>9444</v>
      </c>
      <c r="B168" s="7" t="s">
        <v>34</v>
      </c>
      <c r="C168" s="7" t="s">
        <v>9445</v>
      </c>
      <c r="D168" s="7" t="s">
        <v>9446</v>
      </c>
      <c r="E168" s="7" t="s">
        <v>66</v>
      </c>
      <c r="F168" s="7" t="s">
        <v>9447</v>
      </c>
      <c r="G168" s="7" t="s">
        <v>8316</v>
      </c>
      <c r="H168" s="10" t="n">
        <v>13000</v>
      </c>
      <c r="I168" s="7" t="s">
        <v>377</v>
      </c>
      <c r="J168" s="7"/>
      <c r="K168" s="7" t="s">
        <v>9448</v>
      </c>
      <c r="L168" s="7" t="s">
        <v>9449</v>
      </c>
      <c r="M168" s="7" t="s">
        <v>9450</v>
      </c>
      <c r="N168" s="7" t="s">
        <v>9451</v>
      </c>
      <c r="O168" s="7" t="s">
        <v>9452</v>
      </c>
    </row>
    <row r="169" customFormat="false" ht="15" hidden="false" customHeight="false" outlineLevel="0" collapsed="false">
      <c r="A169" s="7" t="s">
        <v>9453</v>
      </c>
      <c r="B169" s="7" t="s">
        <v>34</v>
      </c>
      <c r="C169" s="7" t="s">
        <v>9454</v>
      </c>
      <c r="D169" s="7" t="s">
        <v>9455</v>
      </c>
      <c r="E169" s="7" t="s">
        <v>338</v>
      </c>
      <c r="F169" s="7" t="s">
        <v>9456</v>
      </c>
      <c r="G169" s="7" t="s">
        <v>8316</v>
      </c>
      <c r="H169" s="10" t="n">
        <v>12000</v>
      </c>
      <c r="I169" s="7" t="s">
        <v>377</v>
      </c>
      <c r="J169" s="7"/>
      <c r="K169" s="7" t="s">
        <v>9457</v>
      </c>
      <c r="L169" s="7" t="s">
        <v>9458</v>
      </c>
      <c r="M169" s="7" t="s">
        <v>9459</v>
      </c>
      <c r="N169" s="7" t="s">
        <v>9460</v>
      </c>
      <c r="O169" s="7" t="s">
        <v>9461</v>
      </c>
    </row>
    <row r="170" customFormat="false" ht="15" hidden="false" customHeight="false" outlineLevel="0" collapsed="false">
      <c r="A170" s="7" t="s">
        <v>9462</v>
      </c>
      <c r="B170" s="7" t="s">
        <v>34</v>
      </c>
      <c r="C170" s="7" t="s">
        <v>1772</v>
      </c>
      <c r="D170" s="7" t="s">
        <v>9463</v>
      </c>
      <c r="E170" s="7" t="s">
        <v>760</v>
      </c>
      <c r="F170" s="7" t="s">
        <v>9464</v>
      </c>
      <c r="G170" s="7" t="s">
        <v>8316</v>
      </c>
      <c r="H170" s="10" t="n">
        <v>2000</v>
      </c>
      <c r="I170" s="7" t="s">
        <v>377</v>
      </c>
      <c r="J170" s="7"/>
      <c r="K170" s="7" t="s">
        <v>9465</v>
      </c>
      <c r="L170" s="7" t="s">
        <v>9466</v>
      </c>
      <c r="M170" s="7" t="s">
        <v>9467</v>
      </c>
      <c r="N170" s="7" t="s">
        <v>9468</v>
      </c>
      <c r="O170" s="7" t="s">
        <v>9469</v>
      </c>
    </row>
    <row r="171" customFormat="false" ht="15" hidden="false" customHeight="false" outlineLevel="0" collapsed="false">
      <c r="A171" s="7" t="s">
        <v>9470</v>
      </c>
      <c r="B171" s="7" t="s">
        <v>34</v>
      </c>
      <c r="C171" s="7" t="s">
        <v>9471</v>
      </c>
      <c r="D171" s="7" t="s">
        <v>1245</v>
      </c>
      <c r="E171" s="7" t="s">
        <v>78</v>
      </c>
      <c r="F171" s="7" t="s">
        <v>9472</v>
      </c>
      <c r="G171" s="7" t="s">
        <v>8316</v>
      </c>
      <c r="H171" s="10" t="n">
        <v>600</v>
      </c>
      <c r="I171" s="7" t="s">
        <v>350</v>
      </c>
      <c r="J171" s="7"/>
      <c r="K171" s="7" t="s">
        <v>9473</v>
      </c>
      <c r="L171" s="7" t="s">
        <v>3683</v>
      </c>
      <c r="M171" s="7" t="s">
        <v>9474</v>
      </c>
      <c r="N171" s="7" t="s">
        <v>9475</v>
      </c>
      <c r="O171" s="7" t="s">
        <v>9476</v>
      </c>
    </row>
    <row r="172" customFormat="false" ht="15" hidden="false" customHeight="false" outlineLevel="0" collapsed="false">
      <c r="A172" s="7" t="s">
        <v>9477</v>
      </c>
      <c r="B172" s="7" t="s">
        <v>34</v>
      </c>
      <c r="C172" s="7" t="s">
        <v>9478</v>
      </c>
      <c r="D172" s="7" t="s">
        <v>9479</v>
      </c>
      <c r="E172" s="7" t="s">
        <v>428</v>
      </c>
      <c r="F172" s="7" t="s">
        <v>9480</v>
      </c>
      <c r="G172" s="7" t="s">
        <v>8316</v>
      </c>
      <c r="H172" s="10" t="n">
        <v>15000</v>
      </c>
      <c r="I172" s="7" t="s">
        <v>350</v>
      </c>
      <c r="J172" s="7"/>
      <c r="K172" s="7" t="s">
        <v>9481</v>
      </c>
      <c r="L172" s="7" t="s">
        <v>3691</v>
      </c>
      <c r="M172" s="7" t="s">
        <v>9482</v>
      </c>
      <c r="N172" s="7" t="s">
        <v>9483</v>
      </c>
      <c r="O172" s="7" t="s">
        <v>9484</v>
      </c>
    </row>
    <row r="173" customFormat="false" ht="15" hidden="false" customHeight="false" outlineLevel="0" collapsed="false">
      <c r="A173" s="7" t="s">
        <v>9485</v>
      </c>
      <c r="B173" s="7" t="s">
        <v>34</v>
      </c>
      <c r="C173" s="7" t="s">
        <v>9486</v>
      </c>
      <c r="D173" s="7" t="s">
        <v>9487</v>
      </c>
      <c r="E173" s="7" t="s">
        <v>78</v>
      </c>
      <c r="F173" s="7" t="s">
        <v>9488</v>
      </c>
      <c r="G173" s="7" t="s">
        <v>8316</v>
      </c>
      <c r="H173" s="10" t="n">
        <v>1400</v>
      </c>
      <c r="I173" s="7" t="s">
        <v>377</v>
      </c>
      <c r="J173" s="7"/>
      <c r="K173" s="7" t="s">
        <v>9489</v>
      </c>
      <c r="L173" s="7" t="s">
        <v>9490</v>
      </c>
      <c r="M173" s="7" t="s">
        <v>9491</v>
      </c>
      <c r="N173" s="7" t="s">
        <v>9492</v>
      </c>
      <c r="O173" s="7" t="s">
        <v>9493</v>
      </c>
    </row>
    <row r="174" customFormat="false" ht="15" hidden="false" customHeight="false" outlineLevel="0" collapsed="false">
      <c r="A174" s="7" t="s">
        <v>9494</v>
      </c>
      <c r="B174" s="7" t="s">
        <v>34</v>
      </c>
      <c r="C174" s="7" t="s">
        <v>9495</v>
      </c>
      <c r="D174" s="7" t="s">
        <v>2189</v>
      </c>
      <c r="E174" s="7" t="s">
        <v>428</v>
      </c>
      <c r="F174" s="7" t="s">
        <v>9496</v>
      </c>
      <c r="G174" s="7" t="s">
        <v>8316</v>
      </c>
      <c r="H174" s="10" t="n">
        <v>22000</v>
      </c>
      <c r="I174" s="7" t="s">
        <v>377</v>
      </c>
      <c r="J174" s="7" t="s">
        <v>1756</v>
      </c>
      <c r="K174" s="7" t="s">
        <v>9497</v>
      </c>
      <c r="L174" s="7" t="s">
        <v>9498</v>
      </c>
      <c r="M174" s="7" t="s">
        <v>9499</v>
      </c>
      <c r="N174" s="7" t="s">
        <v>9500</v>
      </c>
      <c r="O174" s="7" t="s">
        <v>9501</v>
      </c>
    </row>
    <row r="175" customFormat="false" ht="15" hidden="false" customHeight="false" outlineLevel="0" collapsed="false">
      <c r="A175" s="7" t="s">
        <v>9502</v>
      </c>
      <c r="B175" s="7" t="s">
        <v>34</v>
      </c>
      <c r="C175" s="7" t="s">
        <v>9503</v>
      </c>
      <c r="D175" s="7" t="s">
        <v>4421</v>
      </c>
      <c r="E175" s="7" t="s">
        <v>1030</v>
      </c>
      <c r="F175" s="7" t="s">
        <v>9504</v>
      </c>
      <c r="G175" s="7" t="s">
        <v>8316</v>
      </c>
      <c r="H175" s="10" t="n">
        <v>5500</v>
      </c>
      <c r="I175" s="7" t="s">
        <v>377</v>
      </c>
      <c r="J175" s="7"/>
      <c r="K175" s="7" t="s">
        <v>9505</v>
      </c>
      <c r="L175" s="7" t="s">
        <v>3796</v>
      </c>
      <c r="M175" s="7" t="s">
        <v>9506</v>
      </c>
      <c r="N175" s="7" t="s">
        <v>9507</v>
      </c>
      <c r="O175" s="7" t="s">
        <v>9508</v>
      </c>
    </row>
    <row r="176" customFormat="false" ht="15" hidden="false" customHeight="false" outlineLevel="0" collapsed="false">
      <c r="A176" s="7" t="s">
        <v>9509</v>
      </c>
      <c r="B176" s="7" t="s">
        <v>34</v>
      </c>
      <c r="C176" s="7" t="s">
        <v>9510</v>
      </c>
      <c r="D176" s="7" t="s">
        <v>557</v>
      </c>
      <c r="E176" s="7" t="s">
        <v>78</v>
      </c>
      <c r="F176" s="7" t="s">
        <v>9511</v>
      </c>
      <c r="G176" s="7" t="s">
        <v>8316</v>
      </c>
      <c r="H176" s="10" t="n">
        <v>7000</v>
      </c>
      <c r="I176" s="7" t="s">
        <v>69</v>
      </c>
      <c r="J176" s="7" t="s">
        <v>8926</v>
      </c>
      <c r="K176" s="7" t="s">
        <v>9512</v>
      </c>
      <c r="L176" s="7" t="s">
        <v>3813</v>
      </c>
      <c r="M176" s="7" t="s">
        <v>9513</v>
      </c>
      <c r="N176" s="7" t="s">
        <v>9514</v>
      </c>
      <c r="O176" s="7" t="s">
        <v>9515</v>
      </c>
    </row>
    <row r="177" customFormat="false" ht="15" hidden="false" customHeight="false" outlineLevel="0" collapsed="false">
      <c r="A177" s="7" t="s">
        <v>9516</v>
      </c>
      <c r="B177" s="7" t="s">
        <v>34</v>
      </c>
      <c r="C177" s="7" t="s">
        <v>9517</v>
      </c>
      <c r="D177" s="7" t="s">
        <v>1579</v>
      </c>
      <c r="E177" s="7" t="s">
        <v>854</v>
      </c>
      <c r="F177" s="7" t="s">
        <v>9518</v>
      </c>
      <c r="G177" s="7" t="s">
        <v>8316</v>
      </c>
      <c r="H177" s="10" t="n">
        <v>3600</v>
      </c>
      <c r="I177" s="7" t="s">
        <v>377</v>
      </c>
      <c r="J177" s="7"/>
      <c r="K177" s="7" t="s">
        <v>9519</v>
      </c>
      <c r="L177" s="7" t="s">
        <v>9520</v>
      </c>
      <c r="M177" s="7" t="s">
        <v>9521</v>
      </c>
      <c r="N177" s="7" t="s">
        <v>9522</v>
      </c>
      <c r="O177" s="7" t="s">
        <v>9523</v>
      </c>
    </row>
    <row r="178" customFormat="false" ht="15" hidden="false" customHeight="false" outlineLevel="0" collapsed="false">
      <c r="A178" s="7" t="s">
        <v>9524</v>
      </c>
      <c r="B178" s="7" t="s">
        <v>34</v>
      </c>
      <c r="C178" s="7" t="s">
        <v>9525</v>
      </c>
      <c r="D178" s="7" t="s">
        <v>9526</v>
      </c>
      <c r="E178" s="7" t="s">
        <v>206</v>
      </c>
      <c r="F178" s="7" t="s">
        <v>9527</v>
      </c>
      <c r="G178" s="7" t="s">
        <v>8316</v>
      </c>
      <c r="H178" s="10" t="n">
        <v>6000</v>
      </c>
      <c r="I178" s="7" t="s">
        <v>377</v>
      </c>
      <c r="J178" s="7"/>
      <c r="K178" s="7" t="s">
        <v>9528</v>
      </c>
      <c r="L178" s="7" t="s">
        <v>7527</v>
      </c>
      <c r="M178" s="7" t="s">
        <v>9529</v>
      </c>
      <c r="N178" s="7" t="s">
        <v>9530</v>
      </c>
      <c r="O178" s="7" t="s">
        <v>9531</v>
      </c>
    </row>
    <row r="179" customFormat="false" ht="15" hidden="false" customHeight="false" outlineLevel="0" collapsed="false">
      <c r="A179" s="7" t="s">
        <v>9532</v>
      </c>
      <c r="B179" s="7" t="s">
        <v>34</v>
      </c>
      <c r="C179" s="7" t="s">
        <v>9533</v>
      </c>
      <c r="D179" s="7" t="s">
        <v>1245</v>
      </c>
      <c r="E179" s="7" t="s">
        <v>78</v>
      </c>
      <c r="F179" s="7" t="s">
        <v>9534</v>
      </c>
      <c r="G179" s="7" t="s">
        <v>8316</v>
      </c>
      <c r="H179" s="10" t="n">
        <v>5000</v>
      </c>
      <c r="I179" s="7" t="s">
        <v>377</v>
      </c>
      <c r="J179" s="7"/>
      <c r="K179" s="7" t="s">
        <v>9535</v>
      </c>
      <c r="L179" s="7" t="s">
        <v>9536</v>
      </c>
      <c r="M179" s="7" t="s">
        <v>9537</v>
      </c>
      <c r="N179" s="7" t="s">
        <v>9538</v>
      </c>
      <c r="O179" s="7" t="s">
        <v>9539</v>
      </c>
    </row>
    <row r="180" customFormat="false" ht="15" hidden="false" customHeight="false" outlineLevel="0" collapsed="false">
      <c r="A180" s="7" t="s">
        <v>9540</v>
      </c>
      <c r="B180" s="7" t="s">
        <v>34</v>
      </c>
      <c r="C180" s="7" t="s">
        <v>9541</v>
      </c>
      <c r="D180" s="7" t="s">
        <v>7523</v>
      </c>
      <c r="E180" s="7" t="s">
        <v>78</v>
      </c>
      <c r="F180" s="7" t="s">
        <v>9542</v>
      </c>
      <c r="G180" s="7" t="s">
        <v>8316</v>
      </c>
      <c r="H180" s="10" t="n">
        <v>6000</v>
      </c>
      <c r="I180" s="7" t="s">
        <v>377</v>
      </c>
      <c r="J180" s="7" t="s">
        <v>7525</v>
      </c>
      <c r="K180" s="7" t="s">
        <v>9543</v>
      </c>
      <c r="L180" s="7" t="s">
        <v>3796</v>
      </c>
      <c r="M180" s="7" t="s">
        <v>9544</v>
      </c>
      <c r="N180" s="7" t="s">
        <v>9545</v>
      </c>
      <c r="O180" s="7" t="s">
        <v>9546</v>
      </c>
    </row>
    <row r="181" customFormat="false" ht="15" hidden="false" customHeight="false" outlineLevel="0" collapsed="false">
      <c r="A181" s="7" t="s">
        <v>9547</v>
      </c>
      <c r="B181" s="7" t="s">
        <v>34</v>
      </c>
      <c r="C181" s="7" t="s">
        <v>9548</v>
      </c>
      <c r="D181" s="7" t="s">
        <v>9549</v>
      </c>
      <c r="E181" s="7" t="s">
        <v>78</v>
      </c>
      <c r="F181" s="7" t="s">
        <v>9550</v>
      </c>
      <c r="G181" s="7" t="s">
        <v>8316</v>
      </c>
      <c r="H181" s="10" t="n">
        <v>1500</v>
      </c>
      <c r="I181" s="7" t="s">
        <v>69</v>
      </c>
      <c r="J181" s="7" t="s">
        <v>9551</v>
      </c>
      <c r="K181" s="7" t="s">
        <v>9552</v>
      </c>
      <c r="L181" s="7" t="s">
        <v>3659</v>
      </c>
      <c r="M181" s="7" t="s">
        <v>9553</v>
      </c>
      <c r="N181" s="7" t="s">
        <v>9554</v>
      </c>
      <c r="O181" s="7" t="s">
        <v>9419</v>
      </c>
    </row>
    <row r="182" customFormat="false" ht="15" hidden="false" customHeight="false" outlineLevel="0" collapsed="false">
      <c r="A182" s="7" t="s">
        <v>9555</v>
      </c>
      <c r="B182" s="7" t="s">
        <v>34</v>
      </c>
      <c r="C182" s="7" t="s">
        <v>9556</v>
      </c>
      <c r="D182" s="7" t="s">
        <v>264</v>
      </c>
      <c r="E182" s="7" t="s">
        <v>250</v>
      </c>
      <c r="F182" s="7" t="s">
        <v>9557</v>
      </c>
      <c r="G182" s="7" t="s">
        <v>8316</v>
      </c>
      <c r="H182" s="10" t="n">
        <v>1100</v>
      </c>
      <c r="I182" s="7" t="s">
        <v>377</v>
      </c>
      <c r="J182" s="7"/>
      <c r="K182" s="7" t="s">
        <v>9558</v>
      </c>
      <c r="L182" s="7" t="s">
        <v>3608</v>
      </c>
      <c r="M182" s="7" t="s">
        <v>9559</v>
      </c>
      <c r="N182" s="7" t="s">
        <v>9560</v>
      </c>
      <c r="O182" s="7" t="s">
        <v>9561</v>
      </c>
    </row>
    <row r="183" customFormat="false" ht="15" hidden="false" customHeight="false" outlineLevel="0" collapsed="false">
      <c r="A183" s="7" t="s">
        <v>9562</v>
      </c>
      <c r="B183" s="7" t="s">
        <v>34</v>
      </c>
      <c r="C183" s="7" t="s">
        <v>9563</v>
      </c>
      <c r="D183" s="7" t="s">
        <v>3784</v>
      </c>
      <c r="E183" s="7" t="s">
        <v>78</v>
      </c>
      <c r="F183" s="7" t="s">
        <v>9564</v>
      </c>
      <c r="G183" s="7" t="s">
        <v>8316</v>
      </c>
      <c r="H183" s="10" t="n">
        <v>600</v>
      </c>
      <c r="I183" s="7" t="s">
        <v>377</v>
      </c>
      <c r="J183" s="7"/>
      <c r="K183" s="7" t="s">
        <v>9565</v>
      </c>
      <c r="L183" s="7" t="s">
        <v>9566</v>
      </c>
      <c r="M183" s="7" t="s">
        <v>9567</v>
      </c>
      <c r="N183" s="7" t="s">
        <v>9568</v>
      </c>
      <c r="O183" s="7" t="s">
        <v>9569</v>
      </c>
    </row>
    <row r="184" customFormat="false" ht="15" hidden="false" customHeight="false" outlineLevel="0" collapsed="false">
      <c r="A184" s="7" t="s">
        <v>9570</v>
      </c>
      <c r="B184" s="7" t="s">
        <v>34</v>
      </c>
      <c r="C184" s="7" t="s">
        <v>9571</v>
      </c>
      <c r="D184" s="7" t="s">
        <v>9572</v>
      </c>
      <c r="E184" s="7" t="s">
        <v>206</v>
      </c>
      <c r="F184" s="7" t="s">
        <v>9573</v>
      </c>
      <c r="G184" s="7" t="s">
        <v>8316</v>
      </c>
      <c r="H184" s="10" t="n">
        <v>4000</v>
      </c>
      <c r="I184" s="7" t="s">
        <v>69</v>
      </c>
      <c r="J184" s="7" t="s">
        <v>1765</v>
      </c>
      <c r="K184" s="7" t="s">
        <v>9574</v>
      </c>
      <c r="L184" s="7" t="s">
        <v>9575</v>
      </c>
      <c r="M184" s="7" t="s">
        <v>9576</v>
      </c>
      <c r="N184" s="7" t="s">
        <v>9577</v>
      </c>
      <c r="O184" s="7" t="s">
        <v>1770</v>
      </c>
    </row>
    <row r="185" customFormat="false" ht="15" hidden="false" customHeight="false" outlineLevel="0" collapsed="false">
      <c r="A185" s="7" t="s">
        <v>9578</v>
      </c>
      <c r="B185" s="7" t="s">
        <v>35</v>
      </c>
      <c r="C185" s="7" t="s">
        <v>9579</v>
      </c>
      <c r="D185" s="7" t="s">
        <v>9580</v>
      </c>
      <c r="E185" s="7" t="s">
        <v>190</v>
      </c>
      <c r="F185" s="7" t="s">
        <v>9581</v>
      </c>
      <c r="G185" s="7" t="s">
        <v>8316</v>
      </c>
      <c r="H185" s="10" t="n">
        <v>2700</v>
      </c>
      <c r="I185" s="7" t="s">
        <v>377</v>
      </c>
      <c r="J185" s="7"/>
      <c r="K185" s="7" t="s">
        <v>9582</v>
      </c>
      <c r="L185" s="7" t="s">
        <v>1807</v>
      </c>
      <c r="M185" s="7" t="s">
        <v>9583</v>
      </c>
      <c r="N185" s="7" t="s">
        <v>9584</v>
      </c>
      <c r="O185" s="7" t="s">
        <v>9585</v>
      </c>
    </row>
    <row r="186" customFormat="false" ht="15" hidden="false" customHeight="false" outlineLevel="0" collapsed="false">
      <c r="A186" s="7" t="s">
        <v>9586</v>
      </c>
      <c r="B186" s="7" t="s">
        <v>35</v>
      </c>
      <c r="C186" s="7" t="s">
        <v>9587</v>
      </c>
      <c r="D186" s="7" t="s">
        <v>704</v>
      </c>
      <c r="E186" s="7" t="s">
        <v>296</v>
      </c>
      <c r="F186" s="7" t="s">
        <v>9588</v>
      </c>
      <c r="G186" s="7" t="s">
        <v>8316</v>
      </c>
      <c r="H186" s="10" t="n">
        <v>6000</v>
      </c>
      <c r="I186" s="7" t="s">
        <v>386</v>
      </c>
      <c r="J186" s="7"/>
      <c r="K186" s="7" t="s">
        <v>9589</v>
      </c>
      <c r="L186" s="7" t="s">
        <v>1826</v>
      </c>
      <c r="M186" s="7" t="s">
        <v>9590</v>
      </c>
      <c r="N186" s="7" t="s">
        <v>9591</v>
      </c>
      <c r="O186" s="7" t="s">
        <v>9592</v>
      </c>
    </row>
    <row r="187" customFormat="false" ht="15" hidden="false" customHeight="false" outlineLevel="0" collapsed="false">
      <c r="A187" s="7" t="s">
        <v>9593</v>
      </c>
      <c r="B187" s="7" t="s">
        <v>35</v>
      </c>
      <c r="C187" s="7" t="s">
        <v>9594</v>
      </c>
      <c r="D187" s="7" t="s">
        <v>154</v>
      </c>
      <c r="E187" s="7" t="s">
        <v>155</v>
      </c>
      <c r="F187" s="7" t="s">
        <v>9595</v>
      </c>
      <c r="G187" s="7" t="s">
        <v>8316</v>
      </c>
      <c r="H187" s="10" t="n">
        <v>3000</v>
      </c>
      <c r="I187" s="7" t="s">
        <v>377</v>
      </c>
      <c r="J187" s="7"/>
      <c r="K187" s="7" t="s">
        <v>9596</v>
      </c>
      <c r="L187" s="7" t="s">
        <v>1807</v>
      </c>
      <c r="M187" s="7" t="s">
        <v>9597</v>
      </c>
      <c r="N187" s="7" t="s">
        <v>9598</v>
      </c>
      <c r="O187" s="7" t="s">
        <v>9599</v>
      </c>
    </row>
    <row r="188" customFormat="false" ht="15" hidden="false" customHeight="false" outlineLevel="0" collapsed="false">
      <c r="A188" s="7" t="s">
        <v>9600</v>
      </c>
      <c r="B188" s="7" t="s">
        <v>35</v>
      </c>
      <c r="C188" s="7" t="s">
        <v>9601</v>
      </c>
      <c r="D188" s="7" t="s">
        <v>1579</v>
      </c>
      <c r="E188" s="7" t="s">
        <v>854</v>
      </c>
      <c r="F188" s="7" t="s">
        <v>9602</v>
      </c>
      <c r="G188" s="7" t="s">
        <v>8316</v>
      </c>
      <c r="H188" s="10" t="n">
        <v>9000</v>
      </c>
      <c r="I188" s="7" t="s">
        <v>69</v>
      </c>
      <c r="J188" s="7" t="s">
        <v>1361</v>
      </c>
      <c r="K188" s="7" t="s">
        <v>9603</v>
      </c>
      <c r="L188" s="7" t="s">
        <v>1826</v>
      </c>
      <c r="M188" s="7" t="s">
        <v>9604</v>
      </c>
      <c r="N188" s="7" t="s">
        <v>9605</v>
      </c>
      <c r="O188" s="7" t="s">
        <v>9606</v>
      </c>
    </row>
    <row r="189" customFormat="false" ht="15" hidden="false" customHeight="false" outlineLevel="0" collapsed="false">
      <c r="A189" s="7" t="s">
        <v>9607</v>
      </c>
      <c r="B189" s="7" t="s">
        <v>35</v>
      </c>
      <c r="C189" s="7" t="s">
        <v>9608</v>
      </c>
      <c r="D189" s="7" t="s">
        <v>1245</v>
      </c>
      <c r="E189" s="7" t="s">
        <v>78</v>
      </c>
      <c r="F189" s="7" t="s">
        <v>9609</v>
      </c>
      <c r="G189" s="7" t="s">
        <v>8316</v>
      </c>
      <c r="H189" s="10" t="n">
        <v>5000</v>
      </c>
      <c r="I189" s="7" t="s">
        <v>350</v>
      </c>
      <c r="J189" s="7"/>
      <c r="K189" s="7" t="s">
        <v>9610</v>
      </c>
      <c r="L189" s="7" t="s">
        <v>1826</v>
      </c>
      <c r="M189" s="7" t="s">
        <v>9611</v>
      </c>
      <c r="N189" s="7" t="s">
        <v>9612</v>
      </c>
      <c r="O189" s="7" t="s">
        <v>9613</v>
      </c>
    </row>
    <row r="190" customFormat="false" ht="15" hidden="false" customHeight="false" outlineLevel="0" collapsed="false">
      <c r="A190" s="7" t="s">
        <v>9614</v>
      </c>
      <c r="B190" s="7" t="s">
        <v>35</v>
      </c>
      <c r="C190" s="7" t="s">
        <v>9615</v>
      </c>
      <c r="D190" s="7" t="s">
        <v>2031</v>
      </c>
      <c r="E190" s="7" t="s">
        <v>147</v>
      </c>
      <c r="F190" s="7" t="s">
        <v>9616</v>
      </c>
      <c r="G190" s="7" t="s">
        <v>8316</v>
      </c>
      <c r="H190" s="10" t="n">
        <v>7000</v>
      </c>
      <c r="I190" s="7" t="s">
        <v>69</v>
      </c>
      <c r="J190" s="7" t="s">
        <v>1460</v>
      </c>
      <c r="K190" s="7" t="s">
        <v>9617</v>
      </c>
      <c r="L190" s="7" t="s">
        <v>1826</v>
      </c>
      <c r="M190" s="7" t="s">
        <v>9618</v>
      </c>
      <c r="N190" s="7" t="s">
        <v>9619</v>
      </c>
      <c r="O190" s="7" t="s">
        <v>1843</v>
      </c>
    </row>
    <row r="191" customFormat="false" ht="15" hidden="false" customHeight="false" outlineLevel="0" collapsed="false">
      <c r="A191" s="7" t="s">
        <v>9620</v>
      </c>
      <c r="B191" s="7" t="s">
        <v>35</v>
      </c>
      <c r="C191" s="7" t="s">
        <v>9621</v>
      </c>
      <c r="D191" s="7" t="s">
        <v>347</v>
      </c>
      <c r="E191" s="7" t="s">
        <v>348</v>
      </c>
      <c r="F191" s="7" t="s">
        <v>9622</v>
      </c>
      <c r="G191" s="7" t="s">
        <v>8316</v>
      </c>
      <c r="H191" s="10" t="n">
        <v>3000</v>
      </c>
      <c r="I191" s="7" t="s">
        <v>69</v>
      </c>
      <c r="J191" s="7" t="s">
        <v>9623</v>
      </c>
      <c r="K191" s="7" t="s">
        <v>9624</v>
      </c>
      <c r="L191" s="7" t="s">
        <v>1807</v>
      </c>
      <c r="M191" s="7" t="s">
        <v>9625</v>
      </c>
      <c r="N191" s="7" t="s">
        <v>9626</v>
      </c>
      <c r="O191" s="7" t="s">
        <v>1928</v>
      </c>
    </row>
    <row r="192" customFormat="false" ht="15" hidden="false" customHeight="false" outlineLevel="0" collapsed="false">
      <c r="A192" s="7" t="s">
        <v>9627</v>
      </c>
      <c r="B192" s="7" t="s">
        <v>35</v>
      </c>
      <c r="C192" s="7" t="s">
        <v>9628</v>
      </c>
      <c r="D192" s="7" t="s">
        <v>1867</v>
      </c>
      <c r="E192" s="7" t="s">
        <v>78</v>
      </c>
      <c r="F192" s="7" t="s">
        <v>9629</v>
      </c>
      <c r="G192" s="7" t="s">
        <v>8316</v>
      </c>
      <c r="H192" s="10" t="n">
        <v>3500</v>
      </c>
      <c r="I192" s="7" t="s">
        <v>377</v>
      </c>
      <c r="J192" s="7"/>
      <c r="K192" s="7" t="s">
        <v>9630</v>
      </c>
      <c r="L192" s="7" t="s">
        <v>1807</v>
      </c>
      <c r="M192" s="7" t="s">
        <v>9631</v>
      </c>
      <c r="N192" s="7" t="s">
        <v>9632</v>
      </c>
      <c r="O192" s="7" t="s">
        <v>9633</v>
      </c>
    </row>
    <row r="193" customFormat="false" ht="15" hidden="false" customHeight="false" outlineLevel="0" collapsed="false">
      <c r="A193" s="7" t="s">
        <v>9634</v>
      </c>
      <c r="B193" s="7" t="s">
        <v>35</v>
      </c>
      <c r="C193" s="7" t="s">
        <v>9635</v>
      </c>
      <c r="D193" s="7" t="s">
        <v>1245</v>
      </c>
      <c r="E193" s="7" t="s">
        <v>78</v>
      </c>
      <c r="F193" s="7" t="s">
        <v>9636</v>
      </c>
      <c r="G193" s="7" t="s">
        <v>8316</v>
      </c>
      <c r="H193" s="10" t="n">
        <v>2800</v>
      </c>
      <c r="I193" s="7" t="s">
        <v>350</v>
      </c>
      <c r="J193" s="7"/>
      <c r="K193" s="7" t="s">
        <v>9637</v>
      </c>
      <c r="L193" s="7" t="s">
        <v>1826</v>
      </c>
      <c r="M193" s="7" t="s">
        <v>9638</v>
      </c>
      <c r="N193" s="7" t="s">
        <v>9639</v>
      </c>
      <c r="O193" s="7" t="s">
        <v>9640</v>
      </c>
    </row>
    <row r="194" customFormat="false" ht="15" hidden="false" customHeight="false" outlineLevel="0" collapsed="false">
      <c r="A194" s="7" t="s">
        <v>9641</v>
      </c>
      <c r="B194" s="7" t="s">
        <v>35</v>
      </c>
      <c r="C194" s="7" t="s">
        <v>9642</v>
      </c>
      <c r="D194" s="7" t="s">
        <v>9643</v>
      </c>
      <c r="E194" s="7" t="s">
        <v>480</v>
      </c>
      <c r="F194" s="7" t="s">
        <v>9644</v>
      </c>
      <c r="G194" s="7" t="s">
        <v>8316</v>
      </c>
      <c r="H194" s="10" t="n">
        <v>7000</v>
      </c>
      <c r="I194" s="7" t="s">
        <v>377</v>
      </c>
      <c r="J194" s="7"/>
      <c r="K194" s="7" t="s">
        <v>9645</v>
      </c>
      <c r="L194" s="7" t="s">
        <v>1826</v>
      </c>
      <c r="M194" s="7" t="s">
        <v>9646</v>
      </c>
      <c r="N194" s="7" t="s">
        <v>9647</v>
      </c>
      <c r="O194" s="7" t="s">
        <v>9648</v>
      </c>
    </row>
    <row r="195" customFormat="false" ht="15" hidden="false" customHeight="false" outlineLevel="0" collapsed="false">
      <c r="A195" s="7" t="s">
        <v>9649</v>
      </c>
      <c r="B195" s="7" t="s">
        <v>35</v>
      </c>
      <c r="C195" s="7" t="s">
        <v>9650</v>
      </c>
      <c r="D195" s="7" t="s">
        <v>549</v>
      </c>
      <c r="E195" s="7" t="s">
        <v>147</v>
      </c>
      <c r="F195" s="7" t="s">
        <v>9651</v>
      </c>
      <c r="G195" s="7" t="s">
        <v>8316</v>
      </c>
      <c r="H195" s="10" t="n">
        <v>5000</v>
      </c>
      <c r="I195" s="7" t="s">
        <v>69</v>
      </c>
      <c r="J195" s="7" t="s">
        <v>9652</v>
      </c>
      <c r="K195" s="7" t="s">
        <v>9653</v>
      </c>
      <c r="L195" s="7" t="s">
        <v>1826</v>
      </c>
      <c r="M195" s="7" t="s">
        <v>9654</v>
      </c>
      <c r="N195" s="7" t="s">
        <v>9655</v>
      </c>
      <c r="O195" s="7" t="s">
        <v>2104</v>
      </c>
    </row>
    <row r="196" customFormat="false" ht="15" hidden="false" customHeight="false" outlineLevel="0" collapsed="false">
      <c r="A196" s="7" t="s">
        <v>9656</v>
      </c>
      <c r="B196" s="7" t="s">
        <v>35</v>
      </c>
      <c r="C196" s="7" t="s">
        <v>9657</v>
      </c>
      <c r="D196" s="7" t="s">
        <v>347</v>
      </c>
      <c r="E196" s="7" t="s">
        <v>348</v>
      </c>
      <c r="F196" s="7" t="s">
        <v>9658</v>
      </c>
      <c r="G196" s="7" t="s">
        <v>8316</v>
      </c>
      <c r="H196" s="10" t="n">
        <v>2500</v>
      </c>
      <c r="I196" s="7" t="s">
        <v>377</v>
      </c>
      <c r="J196" s="7"/>
      <c r="K196" s="7" t="s">
        <v>9659</v>
      </c>
      <c r="L196" s="7" t="s">
        <v>1807</v>
      </c>
      <c r="M196" s="7" t="s">
        <v>9660</v>
      </c>
      <c r="N196" s="7" t="s">
        <v>9661</v>
      </c>
      <c r="O196" s="7" t="s">
        <v>9662</v>
      </c>
    </row>
    <row r="197" customFormat="false" ht="15" hidden="false" customHeight="false" outlineLevel="0" collapsed="false">
      <c r="A197" s="7" t="s">
        <v>9663</v>
      </c>
      <c r="B197" s="7" t="s">
        <v>35</v>
      </c>
      <c r="C197" s="7" t="s">
        <v>9664</v>
      </c>
      <c r="D197" s="7" t="s">
        <v>65</v>
      </c>
      <c r="E197" s="7" t="s">
        <v>66</v>
      </c>
      <c r="F197" s="7" t="s">
        <v>9665</v>
      </c>
      <c r="G197" s="7" t="s">
        <v>8316</v>
      </c>
      <c r="H197" s="10" t="n">
        <v>4800</v>
      </c>
      <c r="I197" s="7" t="s">
        <v>377</v>
      </c>
      <c r="J197" s="7"/>
      <c r="K197" s="7" t="s">
        <v>9666</v>
      </c>
      <c r="L197" s="7" t="s">
        <v>1826</v>
      </c>
      <c r="M197" s="7" t="s">
        <v>9667</v>
      </c>
      <c r="N197" s="7" t="s">
        <v>9668</v>
      </c>
      <c r="O197" s="7" t="s">
        <v>9669</v>
      </c>
    </row>
    <row r="198" customFormat="false" ht="15" hidden="false" customHeight="false" outlineLevel="0" collapsed="false">
      <c r="A198" s="7" t="s">
        <v>9670</v>
      </c>
      <c r="B198" s="7" t="s">
        <v>35</v>
      </c>
      <c r="C198" s="7" t="s">
        <v>9601</v>
      </c>
      <c r="D198" s="7" t="s">
        <v>5307</v>
      </c>
      <c r="E198" s="7" t="s">
        <v>1106</v>
      </c>
      <c r="F198" s="7" t="s">
        <v>9671</v>
      </c>
      <c r="G198" s="7" t="s">
        <v>8316</v>
      </c>
      <c r="H198" s="10" t="n">
        <v>7000</v>
      </c>
      <c r="I198" s="7" t="s">
        <v>377</v>
      </c>
      <c r="J198" s="7"/>
      <c r="K198" s="7" t="s">
        <v>9672</v>
      </c>
      <c r="L198" s="7" t="s">
        <v>1807</v>
      </c>
      <c r="M198" s="7" t="s">
        <v>9673</v>
      </c>
      <c r="N198" s="7" t="s">
        <v>9674</v>
      </c>
      <c r="O198" s="7" t="s">
        <v>9675</v>
      </c>
    </row>
    <row r="199" customFormat="false" ht="15" hidden="false" customHeight="false" outlineLevel="0" collapsed="false">
      <c r="A199" s="7" t="s">
        <v>9676</v>
      </c>
      <c r="B199" s="7" t="s">
        <v>35</v>
      </c>
      <c r="C199" s="7" t="s">
        <v>9601</v>
      </c>
      <c r="D199" s="7" t="s">
        <v>1474</v>
      </c>
      <c r="E199" s="7" t="s">
        <v>155</v>
      </c>
      <c r="F199" s="7" t="s">
        <v>9677</v>
      </c>
      <c r="G199" s="7" t="s">
        <v>8316</v>
      </c>
      <c r="H199" s="10" t="n">
        <v>6500</v>
      </c>
      <c r="I199" s="7" t="s">
        <v>377</v>
      </c>
      <c r="J199" s="7"/>
      <c r="K199" s="7" t="s">
        <v>9678</v>
      </c>
      <c r="L199" s="7" t="s">
        <v>1807</v>
      </c>
      <c r="M199" s="7" t="s">
        <v>9679</v>
      </c>
      <c r="N199" s="7" t="s">
        <v>9680</v>
      </c>
      <c r="O199" s="7" t="s">
        <v>9681</v>
      </c>
    </row>
    <row r="200" customFormat="false" ht="15" hidden="false" customHeight="false" outlineLevel="0" collapsed="false">
      <c r="A200" s="7" t="s">
        <v>9682</v>
      </c>
      <c r="B200" s="7" t="s">
        <v>35</v>
      </c>
      <c r="C200" s="7" t="s">
        <v>9683</v>
      </c>
      <c r="D200" s="7" t="s">
        <v>9684</v>
      </c>
      <c r="E200" s="7" t="s">
        <v>78</v>
      </c>
      <c r="F200" s="7" t="s">
        <v>9685</v>
      </c>
      <c r="G200" s="7" t="s">
        <v>8316</v>
      </c>
      <c r="H200" s="10" t="n">
        <v>4000</v>
      </c>
      <c r="I200" s="7" t="s">
        <v>377</v>
      </c>
      <c r="J200" s="7"/>
      <c r="K200" s="7" t="s">
        <v>9686</v>
      </c>
      <c r="L200" s="7" t="s">
        <v>1807</v>
      </c>
      <c r="M200" s="7" t="s">
        <v>9687</v>
      </c>
      <c r="N200" s="7" t="s">
        <v>9688</v>
      </c>
      <c r="O200" s="7" t="s">
        <v>9689</v>
      </c>
    </row>
    <row r="201" customFormat="false" ht="15" hidden="false" customHeight="false" outlineLevel="0" collapsed="false">
      <c r="A201" s="7" t="s">
        <v>9690</v>
      </c>
      <c r="B201" s="7" t="s">
        <v>35</v>
      </c>
      <c r="C201" s="7" t="s">
        <v>9691</v>
      </c>
      <c r="D201" s="7" t="s">
        <v>3959</v>
      </c>
      <c r="E201" s="7" t="s">
        <v>338</v>
      </c>
      <c r="F201" s="7" t="s">
        <v>9692</v>
      </c>
      <c r="G201" s="7" t="s">
        <v>8316</v>
      </c>
      <c r="H201" s="10" t="n">
        <v>4000</v>
      </c>
      <c r="I201" s="7" t="s">
        <v>69</v>
      </c>
      <c r="J201" s="7" t="s">
        <v>1361</v>
      </c>
      <c r="K201" s="7" t="s">
        <v>9693</v>
      </c>
      <c r="L201" s="7" t="s">
        <v>1807</v>
      </c>
      <c r="M201" s="7" t="s">
        <v>9694</v>
      </c>
      <c r="N201" s="7" t="s">
        <v>9695</v>
      </c>
      <c r="O201" s="7" t="s">
        <v>1810</v>
      </c>
    </row>
    <row r="202" customFormat="false" ht="15" hidden="false" customHeight="false" outlineLevel="0" collapsed="false">
      <c r="A202" s="7" t="s">
        <v>9696</v>
      </c>
      <c r="B202" s="7" t="s">
        <v>35</v>
      </c>
      <c r="C202" s="7" t="s">
        <v>3834</v>
      </c>
      <c r="D202" s="7" t="s">
        <v>9697</v>
      </c>
      <c r="E202" s="7" t="s">
        <v>250</v>
      </c>
      <c r="F202" s="7" t="s">
        <v>9698</v>
      </c>
      <c r="G202" s="7" t="s">
        <v>8316</v>
      </c>
      <c r="H202" s="10" t="n">
        <v>8000</v>
      </c>
      <c r="I202" s="7" t="s">
        <v>69</v>
      </c>
      <c r="J202" s="7" t="s">
        <v>1361</v>
      </c>
      <c r="K202" s="7" t="s">
        <v>9699</v>
      </c>
      <c r="L202" s="7" t="s">
        <v>1826</v>
      </c>
      <c r="M202" s="7" t="s">
        <v>9700</v>
      </c>
      <c r="N202" s="7" t="s">
        <v>9701</v>
      </c>
      <c r="O202" s="7" t="s">
        <v>1810</v>
      </c>
    </row>
    <row r="203" customFormat="false" ht="15" hidden="false" customHeight="false" outlineLevel="0" collapsed="false">
      <c r="A203" s="7" t="s">
        <v>9702</v>
      </c>
      <c r="B203" s="7" t="s">
        <v>35</v>
      </c>
      <c r="C203" s="7" t="s">
        <v>9703</v>
      </c>
      <c r="D203" s="7" t="s">
        <v>1245</v>
      </c>
      <c r="E203" s="7" t="s">
        <v>78</v>
      </c>
      <c r="F203" s="7" t="s">
        <v>9704</v>
      </c>
      <c r="G203" s="7" t="s">
        <v>8316</v>
      </c>
      <c r="H203" s="10" t="n">
        <v>3500</v>
      </c>
      <c r="I203" s="7" t="s">
        <v>377</v>
      </c>
      <c r="J203" s="7"/>
      <c r="K203" s="7" t="s">
        <v>9705</v>
      </c>
      <c r="L203" s="7" t="s">
        <v>1807</v>
      </c>
      <c r="M203" s="7" t="s">
        <v>9706</v>
      </c>
      <c r="N203" s="7" t="s">
        <v>9707</v>
      </c>
      <c r="O203" s="7" t="s">
        <v>9708</v>
      </c>
    </row>
    <row r="204" customFormat="false" ht="15" hidden="false" customHeight="false" outlineLevel="0" collapsed="false">
      <c r="A204" s="7" t="s">
        <v>9709</v>
      </c>
      <c r="B204" s="7" t="s">
        <v>35</v>
      </c>
      <c r="C204" s="7" t="s">
        <v>2304</v>
      </c>
      <c r="D204" s="7" t="s">
        <v>2189</v>
      </c>
      <c r="E204" s="7" t="s">
        <v>428</v>
      </c>
      <c r="F204" s="7" t="s">
        <v>9710</v>
      </c>
      <c r="G204" s="7" t="s">
        <v>8316</v>
      </c>
      <c r="H204" s="10" t="n">
        <v>3300</v>
      </c>
      <c r="I204" s="7" t="s">
        <v>69</v>
      </c>
      <c r="J204" s="7" t="s">
        <v>9711</v>
      </c>
      <c r="K204" s="7" t="s">
        <v>9712</v>
      </c>
      <c r="L204" s="7" t="s">
        <v>1807</v>
      </c>
      <c r="M204" s="7" t="s">
        <v>9713</v>
      </c>
      <c r="N204" s="7" t="s">
        <v>9714</v>
      </c>
      <c r="O204" s="7" t="s">
        <v>1843</v>
      </c>
    </row>
    <row r="205" customFormat="false" ht="15" hidden="false" customHeight="false" outlineLevel="0" collapsed="false">
      <c r="A205" s="7" t="s">
        <v>9715</v>
      </c>
      <c r="B205" s="7" t="s">
        <v>35</v>
      </c>
      <c r="C205" s="7" t="s">
        <v>9716</v>
      </c>
      <c r="D205" s="7" t="s">
        <v>1359</v>
      </c>
      <c r="E205" s="7" t="s">
        <v>250</v>
      </c>
      <c r="F205" s="7" t="s">
        <v>9717</v>
      </c>
      <c r="G205" s="7" t="s">
        <v>8316</v>
      </c>
      <c r="H205" s="10" t="n">
        <v>6500</v>
      </c>
      <c r="I205" s="7" t="s">
        <v>69</v>
      </c>
      <c r="J205" s="7" t="s">
        <v>1460</v>
      </c>
      <c r="K205" s="7" t="s">
        <v>9718</v>
      </c>
      <c r="L205" s="7" t="s">
        <v>1826</v>
      </c>
      <c r="M205" s="7" t="s">
        <v>9719</v>
      </c>
      <c r="N205" s="7" t="s">
        <v>9720</v>
      </c>
      <c r="O205" s="7" t="s">
        <v>1843</v>
      </c>
    </row>
    <row r="206" customFormat="false" ht="15" hidden="false" customHeight="false" outlineLevel="0" collapsed="false">
      <c r="A206" s="7" t="s">
        <v>9721</v>
      </c>
      <c r="B206" s="7" t="s">
        <v>35</v>
      </c>
      <c r="C206" s="7" t="s">
        <v>9722</v>
      </c>
      <c r="D206" s="7" t="s">
        <v>445</v>
      </c>
      <c r="E206" s="7" t="s">
        <v>250</v>
      </c>
      <c r="F206" s="7" t="s">
        <v>9723</v>
      </c>
      <c r="G206" s="7" t="s">
        <v>8316</v>
      </c>
      <c r="H206" s="10" t="n">
        <v>7500</v>
      </c>
      <c r="I206" s="7" t="s">
        <v>377</v>
      </c>
      <c r="J206" s="7"/>
      <c r="K206" s="7" t="s">
        <v>9724</v>
      </c>
      <c r="L206" s="7" t="s">
        <v>1826</v>
      </c>
      <c r="M206" s="7" t="s">
        <v>9725</v>
      </c>
      <c r="N206" s="7" t="s">
        <v>9726</v>
      </c>
      <c r="O206" s="7" t="s">
        <v>9727</v>
      </c>
    </row>
    <row r="207" customFormat="false" ht="15" hidden="false" customHeight="false" outlineLevel="0" collapsed="false">
      <c r="A207" s="7" t="s">
        <v>9728</v>
      </c>
      <c r="B207" s="7" t="s">
        <v>35</v>
      </c>
      <c r="C207" s="7" t="s">
        <v>9729</v>
      </c>
      <c r="D207" s="7" t="s">
        <v>9730</v>
      </c>
      <c r="E207" s="7" t="s">
        <v>147</v>
      </c>
      <c r="F207" s="7" t="s">
        <v>9731</v>
      </c>
      <c r="G207" s="7" t="s">
        <v>8316</v>
      </c>
      <c r="H207" s="10" t="n">
        <v>15000</v>
      </c>
      <c r="I207" s="7" t="s">
        <v>69</v>
      </c>
      <c r="J207" s="7" t="s">
        <v>9732</v>
      </c>
      <c r="K207" s="7" t="s">
        <v>9733</v>
      </c>
      <c r="L207" s="7" t="s">
        <v>1826</v>
      </c>
      <c r="M207" s="7" t="s">
        <v>9734</v>
      </c>
      <c r="N207" s="7" t="s">
        <v>9735</v>
      </c>
      <c r="O207" s="7" t="s">
        <v>9736</v>
      </c>
    </row>
    <row r="208" customFormat="false" ht="15" hidden="false" customHeight="false" outlineLevel="0" collapsed="false">
      <c r="A208" s="7" t="s">
        <v>9737</v>
      </c>
      <c r="B208" s="7" t="s">
        <v>35</v>
      </c>
      <c r="C208" s="7" t="s">
        <v>9738</v>
      </c>
      <c r="D208" s="7" t="s">
        <v>1195</v>
      </c>
      <c r="E208" s="7" t="s">
        <v>206</v>
      </c>
      <c r="F208" s="7" t="s">
        <v>9739</v>
      </c>
      <c r="G208" s="7" t="s">
        <v>8316</v>
      </c>
      <c r="H208" s="10" t="n">
        <v>1900</v>
      </c>
      <c r="I208" s="7" t="s">
        <v>377</v>
      </c>
      <c r="J208" s="7"/>
      <c r="K208" s="7" t="s">
        <v>9740</v>
      </c>
      <c r="L208" s="7" t="s">
        <v>1807</v>
      </c>
      <c r="M208" s="7" t="s">
        <v>9741</v>
      </c>
      <c r="N208" s="7" t="s">
        <v>9742</v>
      </c>
      <c r="O208" s="7" t="s">
        <v>9743</v>
      </c>
    </row>
    <row r="209" customFormat="false" ht="15" hidden="false" customHeight="false" outlineLevel="0" collapsed="false">
      <c r="A209" s="7" t="s">
        <v>9744</v>
      </c>
      <c r="B209" s="7" t="s">
        <v>35</v>
      </c>
      <c r="C209" s="7" t="s">
        <v>3834</v>
      </c>
      <c r="D209" s="7" t="s">
        <v>2251</v>
      </c>
      <c r="E209" s="7" t="s">
        <v>78</v>
      </c>
      <c r="F209" s="7" t="s">
        <v>9745</v>
      </c>
      <c r="G209" s="7" t="s">
        <v>8316</v>
      </c>
      <c r="H209" s="10" t="n">
        <v>9000</v>
      </c>
      <c r="I209" s="7" t="s">
        <v>350</v>
      </c>
      <c r="J209" s="7"/>
      <c r="K209" s="7" t="s">
        <v>9746</v>
      </c>
      <c r="L209" s="7" t="s">
        <v>1826</v>
      </c>
      <c r="M209" s="7" t="s">
        <v>9747</v>
      </c>
      <c r="N209" s="7" t="s">
        <v>3978</v>
      </c>
      <c r="O209" s="7" t="s">
        <v>9748</v>
      </c>
    </row>
    <row r="210" customFormat="false" ht="15" hidden="false" customHeight="false" outlineLevel="0" collapsed="false">
      <c r="A210" s="7" t="s">
        <v>9749</v>
      </c>
      <c r="B210" s="7" t="s">
        <v>35</v>
      </c>
      <c r="C210" s="7" t="s">
        <v>9750</v>
      </c>
      <c r="D210" s="7" t="s">
        <v>347</v>
      </c>
      <c r="E210" s="7" t="s">
        <v>348</v>
      </c>
      <c r="F210" s="7" t="s">
        <v>9751</v>
      </c>
      <c r="G210" s="7" t="s">
        <v>8316</v>
      </c>
      <c r="H210" s="10" t="n">
        <v>3000</v>
      </c>
      <c r="I210" s="7" t="s">
        <v>69</v>
      </c>
      <c r="J210" s="7" t="s">
        <v>9752</v>
      </c>
      <c r="K210" s="7" t="s">
        <v>9753</v>
      </c>
      <c r="L210" s="7" t="s">
        <v>1855</v>
      </c>
      <c r="M210" s="7" t="s">
        <v>9754</v>
      </c>
      <c r="N210" s="7" t="s">
        <v>9755</v>
      </c>
      <c r="O210" s="7" t="s">
        <v>9756</v>
      </c>
    </row>
    <row r="211" customFormat="false" ht="15" hidden="false" customHeight="false" outlineLevel="0" collapsed="false">
      <c r="A211" s="7" t="s">
        <v>9757</v>
      </c>
      <c r="B211" s="7" t="s">
        <v>35</v>
      </c>
      <c r="C211" s="7" t="s">
        <v>9758</v>
      </c>
      <c r="D211" s="7" t="s">
        <v>1245</v>
      </c>
      <c r="E211" s="7" t="s">
        <v>78</v>
      </c>
      <c r="F211" s="7" t="s">
        <v>9759</v>
      </c>
      <c r="G211" s="7" t="s">
        <v>8316</v>
      </c>
      <c r="H211" s="10" t="n">
        <v>6000</v>
      </c>
      <c r="I211" s="7" t="s">
        <v>69</v>
      </c>
      <c r="J211" s="7" t="s">
        <v>9760</v>
      </c>
      <c r="K211" s="7" t="s">
        <v>9761</v>
      </c>
      <c r="L211" s="7" t="s">
        <v>1826</v>
      </c>
      <c r="M211" s="7" t="s">
        <v>9762</v>
      </c>
      <c r="N211" s="7" t="s">
        <v>9763</v>
      </c>
      <c r="O211" s="7" t="s">
        <v>9764</v>
      </c>
    </row>
    <row r="212" customFormat="false" ht="15" hidden="false" customHeight="false" outlineLevel="0" collapsed="false">
      <c r="A212" s="7" t="s">
        <v>9765</v>
      </c>
      <c r="B212" s="7" t="s">
        <v>35</v>
      </c>
      <c r="C212" s="7" t="s">
        <v>9766</v>
      </c>
      <c r="D212" s="7" t="s">
        <v>112</v>
      </c>
      <c r="E212" s="7" t="s">
        <v>113</v>
      </c>
      <c r="F212" s="7" t="s">
        <v>9767</v>
      </c>
      <c r="G212" s="7" t="s">
        <v>8316</v>
      </c>
      <c r="H212" s="10" t="n">
        <v>2000</v>
      </c>
      <c r="I212" s="7" t="s">
        <v>377</v>
      </c>
      <c r="J212" s="7"/>
      <c r="K212" s="7" t="s">
        <v>9768</v>
      </c>
      <c r="L212" s="7" t="s">
        <v>1807</v>
      </c>
      <c r="M212" s="7" t="s">
        <v>9769</v>
      </c>
      <c r="N212" s="7" t="s">
        <v>9770</v>
      </c>
      <c r="O212" s="7" t="s">
        <v>9771</v>
      </c>
    </row>
    <row r="213" customFormat="false" ht="15" hidden="false" customHeight="false" outlineLevel="0" collapsed="false">
      <c r="A213" s="7" t="s">
        <v>9772</v>
      </c>
      <c r="B213" s="7" t="s">
        <v>35</v>
      </c>
      <c r="C213" s="7" t="s">
        <v>9773</v>
      </c>
      <c r="D213" s="7" t="s">
        <v>427</v>
      </c>
      <c r="E213" s="7" t="s">
        <v>428</v>
      </c>
      <c r="F213" s="7" t="s">
        <v>9774</v>
      </c>
      <c r="G213" s="7" t="s">
        <v>8316</v>
      </c>
      <c r="H213" s="10" t="n">
        <v>3500</v>
      </c>
      <c r="I213" s="7" t="s">
        <v>377</v>
      </c>
      <c r="J213" s="7"/>
      <c r="K213" s="7" t="s">
        <v>9775</v>
      </c>
      <c r="L213" s="7" t="s">
        <v>1807</v>
      </c>
      <c r="M213" s="7" t="s">
        <v>9776</v>
      </c>
      <c r="N213" s="7" t="s">
        <v>9777</v>
      </c>
      <c r="O213" s="7" t="s">
        <v>9778</v>
      </c>
    </row>
    <row r="214" customFormat="false" ht="15" hidden="false" customHeight="false" outlineLevel="0" collapsed="false">
      <c r="A214" s="7" t="s">
        <v>9779</v>
      </c>
      <c r="B214" s="7" t="s">
        <v>35</v>
      </c>
      <c r="C214" s="7" t="s">
        <v>1950</v>
      </c>
      <c r="D214" s="7" t="s">
        <v>347</v>
      </c>
      <c r="E214" s="7" t="s">
        <v>348</v>
      </c>
      <c r="F214" s="7" t="s">
        <v>9780</v>
      </c>
      <c r="G214" s="7" t="s">
        <v>8316</v>
      </c>
      <c r="H214" s="10" t="n">
        <v>7000</v>
      </c>
      <c r="I214" s="7" t="s">
        <v>69</v>
      </c>
      <c r="J214" s="7" t="s">
        <v>9781</v>
      </c>
      <c r="K214" s="7" t="s">
        <v>9782</v>
      </c>
      <c r="L214" s="7" t="s">
        <v>1826</v>
      </c>
      <c r="M214" s="7" t="s">
        <v>9783</v>
      </c>
      <c r="N214" s="7" t="s">
        <v>9784</v>
      </c>
      <c r="O214" s="7" t="s">
        <v>9785</v>
      </c>
    </row>
    <row r="215" customFormat="false" ht="15" hidden="false" customHeight="false" outlineLevel="0" collapsed="false">
      <c r="A215" s="7" t="s">
        <v>9786</v>
      </c>
      <c r="B215" s="7" t="s">
        <v>36</v>
      </c>
      <c r="C215" s="7" t="s">
        <v>9787</v>
      </c>
      <c r="D215" s="7" t="s">
        <v>65</v>
      </c>
      <c r="E215" s="7" t="s">
        <v>66</v>
      </c>
      <c r="F215" s="7" t="s">
        <v>9788</v>
      </c>
      <c r="G215" s="7" t="s">
        <v>8316</v>
      </c>
      <c r="H215" s="10" t="n">
        <v>14700</v>
      </c>
      <c r="I215" s="7" t="s">
        <v>377</v>
      </c>
      <c r="J215" s="7"/>
      <c r="K215" s="7" t="s">
        <v>9789</v>
      </c>
      <c r="L215" s="7" t="s">
        <v>3224</v>
      </c>
      <c r="M215" s="7" t="s">
        <v>9790</v>
      </c>
      <c r="N215" s="7" t="s">
        <v>9791</v>
      </c>
      <c r="O215" s="7" t="s">
        <v>2342</v>
      </c>
    </row>
    <row r="216" customFormat="false" ht="15" hidden="false" customHeight="false" outlineLevel="0" collapsed="false">
      <c r="A216" s="7" t="s">
        <v>9792</v>
      </c>
      <c r="B216" s="7" t="s">
        <v>36</v>
      </c>
      <c r="C216" s="7" t="s">
        <v>9793</v>
      </c>
      <c r="D216" s="7" t="s">
        <v>9794</v>
      </c>
      <c r="E216" s="7" t="s">
        <v>3533</v>
      </c>
      <c r="F216" s="7" t="s">
        <v>9795</v>
      </c>
      <c r="G216" s="7" t="s">
        <v>8316</v>
      </c>
      <c r="H216" s="10" t="n">
        <v>15000</v>
      </c>
      <c r="I216" s="7" t="s">
        <v>377</v>
      </c>
      <c r="J216" s="7"/>
      <c r="K216" s="7" t="s">
        <v>9796</v>
      </c>
      <c r="L216" s="7" t="s">
        <v>4289</v>
      </c>
      <c r="M216" s="7" t="s">
        <v>9797</v>
      </c>
      <c r="N216" s="7" t="s">
        <v>9798</v>
      </c>
      <c r="O216" s="7" t="s">
        <v>8065</v>
      </c>
    </row>
    <row r="217" customFormat="false" ht="15" hidden="false" customHeight="false" outlineLevel="0" collapsed="false">
      <c r="A217" s="7" t="s">
        <v>9799</v>
      </c>
      <c r="B217" s="7" t="s">
        <v>36</v>
      </c>
      <c r="C217" s="7" t="s">
        <v>8100</v>
      </c>
      <c r="D217" s="7" t="s">
        <v>264</v>
      </c>
      <c r="E217" s="7" t="s">
        <v>250</v>
      </c>
      <c r="F217" s="7" t="s">
        <v>9800</v>
      </c>
      <c r="G217" s="7" t="s">
        <v>8316</v>
      </c>
      <c r="H217" s="10" t="n">
        <v>2000</v>
      </c>
      <c r="I217" s="7" t="s">
        <v>69</v>
      </c>
      <c r="J217" s="7" t="s">
        <v>9801</v>
      </c>
      <c r="K217" s="7" t="s">
        <v>9802</v>
      </c>
      <c r="L217" s="7" t="s">
        <v>9803</v>
      </c>
      <c r="M217" s="7" t="s">
        <v>9804</v>
      </c>
      <c r="N217" s="7" t="s">
        <v>9805</v>
      </c>
      <c r="O217" s="7" t="s">
        <v>2334</v>
      </c>
    </row>
    <row r="218" customFormat="false" ht="15" hidden="false" customHeight="false" outlineLevel="0" collapsed="false">
      <c r="A218" s="7" t="s">
        <v>9806</v>
      </c>
      <c r="B218" s="7" t="s">
        <v>36</v>
      </c>
      <c r="C218" s="7" t="s">
        <v>2328</v>
      </c>
      <c r="D218" s="7" t="s">
        <v>154</v>
      </c>
      <c r="E218" s="7" t="s">
        <v>155</v>
      </c>
      <c r="F218" s="7" t="s">
        <v>9807</v>
      </c>
      <c r="G218" s="7" t="s">
        <v>8316</v>
      </c>
      <c r="H218" s="10" t="n">
        <v>2800</v>
      </c>
      <c r="I218" s="7" t="s">
        <v>69</v>
      </c>
      <c r="J218" s="7" t="s">
        <v>8143</v>
      </c>
      <c r="K218" s="7" t="s">
        <v>9808</v>
      </c>
      <c r="L218" s="7" t="s">
        <v>9803</v>
      </c>
      <c r="M218" s="7" t="s">
        <v>9809</v>
      </c>
      <c r="N218" s="7" t="s">
        <v>9810</v>
      </c>
      <c r="O218" s="7" t="s">
        <v>2342</v>
      </c>
    </row>
    <row r="219" customFormat="false" ht="15" hidden="false" customHeight="false" outlineLevel="0" collapsed="false">
      <c r="A219" s="7" t="s">
        <v>9811</v>
      </c>
      <c r="B219" s="7" t="s">
        <v>36</v>
      </c>
      <c r="C219" s="7" t="s">
        <v>9812</v>
      </c>
      <c r="D219" s="7" t="s">
        <v>1245</v>
      </c>
      <c r="E219" s="7" t="s">
        <v>78</v>
      </c>
      <c r="F219" s="7" t="s">
        <v>9813</v>
      </c>
      <c r="G219" s="7" t="s">
        <v>8316</v>
      </c>
      <c r="H219" s="10" t="n">
        <v>2500</v>
      </c>
      <c r="I219" s="7" t="s">
        <v>350</v>
      </c>
      <c r="J219" s="7"/>
      <c r="K219" s="7" t="s">
        <v>9814</v>
      </c>
      <c r="L219" s="7" t="s">
        <v>9803</v>
      </c>
      <c r="M219" s="7" t="s">
        <v>9815</v>
      </c>
      <c r="N219" s="7" t="s">
        <v>9816</v>
      </c>
      <c r="O219" s="7" t="s">
        <v>2334</v>
      </c>
    </row>
    <row r="220" customFormat="false" ht="15" hidden="false" customHeight="false" outlineLevel="0" collapsed="false">
      <c r="A220" s="7" t="s">
        <v>9817</v>
      </c>
      <c r="B220" s="7" t="s">
        <v>36</v>
      </c>
      <c r="C220" s="7" t="s">
        <v>9818</v>
      </c>
      <c r="D220" s="7" t="s">
        <v>4401</v>
      </c>
      <c r="E220" s="7" t="s">
        <v>779</v>
      </c>
      <c r="F220" s="7" t="s">
        <v>9819</v>
      </c>
      <c r="G220" s="7" t="s">
        <v>8316</v>
      </c>
      <c r="H220" s="10" t="n">
        <v>7000</v>
      </c>
      <c r="I220" s="7" t="s">
        <v>69</v>
      </c>
      <c r="J220" s="7" t="s">
        <v>9820</v>
      </c>
      <c r="K220" s="7" t="s">
        <v>9821</v>
      </c>
      <c r="L220" s="7" t="s">
        <v>9822</v>
      </c>
      <c r="M220" s="7" t="s">
        <v>9823</v>
      </c>
      <c r="N220" s="7" t="s">
        <v>9824</v>
      </c>
      <c r="O220" s="7" t="s">
        <v>2342</v>
      </c>
    </row>
    <row r="221" customFormat="false" ht="15" hidden="false" customHeight="false" outlineLevel="0" collapsed="false">
      <c r="A221" s="7" t="s">
        <v>9825</v>
      </c>
      <c r="B221" s="7" t="s">
        <v>36</v>
      </c>
      <c r="C221" s="7" t="s">
        <v>9826</v>
      </c>
      <c r="D221" s="7" t="s">
        <v>249</v>
      </c>
      <c r="E221" s="7" t="s">
        <v>250</v>
      </c>
      <c r="F221" s="7" t="s">
        <v>9827</v>
      </c>
      <c r="G221" s="7" t="s">
        <v>8316</v>
      </c>
      <c r="H221" s="10" t="n">
        <v>1000</v>
      </c>
      <c r="I221" s="7" t="s">
        <v>69</v>
      </c>
      <c r="J221" s="7" t="s">
        <v>9828</v>
      </c>
      <c r="K221" s="7" t="s">
        <v>9829</v>
      </c>
      <c r="L221" s="7" t="s">
        <v>8112</v>
      </c>
      <c r="M221" s="7" t="s">
        <v>9830</v>
      </c>
      <c r="N221" s="7" t="s">
        <v>9831</v>
      </c>
      <c r="O221" s="7" t="s">
        <v>9832</v>
      </c>
    </row>
    <row r="222" customFormat="false" ht="15" hidden="false" customHeight="false" outlineLevel="0" collapsed="false">
      <c r="A222" s="7" t="s">
        <v>9833</v>
      </c>
      <c r="B222" s="7" t="s">
        <v>36</v>
      </c>
      <c r="C222" s="7" t="s">
        <v>9834</v>
      </c>
      <c r="D222" s="7" t="s">
        <v>9835</v>
      </c>
      <c r="E222" s="7" t="s">
        <v>172</v>
      </c>
      <c r="F222" s="7" t="s">
        <v>9836</v>
      </c>
      <c r="G222" s="7" t="s">
        <v>8316</v>
      </c>
      <c r="H222" s="10" t="n">
        <v>15000</v>
      </c>
      <c r="I222" s="7" t="s">
        <v>386</v>
      </c>
      <c r="J222" s="7"/>
      <c r="K222" s="7" t="s">
        <v>9837</v>
      </c>
      <c r="L222" s="7" t="s">
        <v>3224</v>
      </c>
      <c r="M222" s="7" t="s">
        <v>9838</v>
      </c>
      <c r="N222" s="7" t="s">
        <v>9839</v>
      </c>
      <c r="O222" s="7" t="s">
        <v>9840</v>
      </c>
    </row>
    <row r="223" customFormat="false" ht="15" hidden="false" customHeight="false" outlineLevel="0" collapsed="false">
      <c r="A223" s="7" t="s">
        <v>9841</v>
      </c>
      <c r="B223" s="7" t="s">
        <v>36</v>
      </c>
      <c r="C223" s="7" t="s">
        <v>2328</v>
      </c>
      <c r="D223" s="7" t="s">
        <v>154</v>
      </c>
      <c r="E223" s="7" t="s">
        <v>155</v>
      </c>
      <c r="F223" s="7" t="s">
        <v>9842</v>
      </c>
      <c r="G223" s="7" t="s">
        <v>8316</v>
      </c>
      <c r="H223" s="10" t="n">
        <v>1000</v>
      </c>
      <c r="I223" s="7" t="s">
        <v>69</v>
      </c>
      <c r="J223" s="7" t="s">
        <v>9843</v>
      </c>
      <c r="K223" s="7" t="s">
        <v>9844</v>
      </c>
      <c r="L223" s="7" t="s">
        <v>9803</v>
      </c>
      <c r="M223" s="7" t="s">
        <v>9845</v>
      </c>
      <c r="N223" s="7" t="s">
        <v>9846</v>
      </c>
      <c r="O223" s="7" t="s">
        <v>2334</v>
      </c>
    </row>
    <row r="224" customFormat="false" ht="15" hidden="false" customHeight="false" outlineLevel="0" collapsed="false">
      <c r="A224" s="7" t="s">
        <v>9847</v>
      </c>
      <c r="B224" s="7" t="s">
        <v>36</v>
      </c>
      <c r="C224" s="7" t="s">
        <v>9848</v>
      </c>
      <c r="D224" s="7" t="s">
        <v>327</v>
      </c>
      <c r="E224" s="7" t="s">
        <v>328</v>
      </c>
      <c r="F224" s="7" t="s">
        <v>9849</v>
      </c>
      <c r="G224" s="7" t="s">
        <v>8316</v>
      </c>
      <c r="H224" s="10" t="n">
        <v>13000</v>
      </c>
      <c r="I224" s="7" t="s">
        <v>377</v>
      </c>
      <c r="J224" s="7"/>
      <c r="K224" s="7" t="s">
        <v>9850</v>
      </c>
      <c r="L224" s="7" t="s">
        <v>4289</v>
      </c>
      <c r="M224" s="7" t="s">
        <v>9851</v>
      </c>
      <c r="N224" s="7" t="s">
        <v>9852</v>
      </c>
      <c r="O224" s="7" t="s">
        <v>9840</v>
      </c>
    </row>
  </sheetData>
  <autoFilter ref="A1:O2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24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34"/>
    <col collapsed="false" customWidth="true" hidden="false" outlineLevel="0" max="14" min="14" style="0" width="50"/>
    <col collapsed="false" customWidth="true" hidden="false" outlineLevel="0" max="16" min="15" style="0" width="30"/>
  </cols>
  <sheetData>
    <row r="1" customFormat="false" ht="15" hidden="false" customHeight="false" outlineLevel="0" collapsed="false">
      <c r="A1" s="8" t="s">
        <v>9853</v>
      </c>
      <c r="B1" s="8" t="s">
        <v>43</v>
      </c>
      <c r="C1" s="8" t="s">
        <v>44</v>
      </c>
      <c r="D1" s="8" t="s">
        <v>45</v>
      </c>
      <c r="E1" s="8" t="s">
        <v>46</v>
      </c>
      <c r="F1" s="8" t="s">
        <v>47</v>
      </c>
      <c r="G1" s="8" t="s">
        <v>48</v>
      </c>
      <c r="H1" s="8" t="s">
        <v>49</v>
      </c>
      <c r="I1" s="8" t="s">
        <v>50</v>
      </c>
      <c r="J1" s="8" t="s">
        <v>51</v>
      </c>
      <c r="K1" s="8" t="s">
        <v>52</v>
      </c>
      <c r="L1" s="8" t="s">
        <v>53</v>
      </c>
      <c r="M1" s="8" t="s">
        <v>54</v>
      </c>
      <c r="N1" s="8" t="s">
        <v>55</v>
      </c>
      <c r="O1" s="8" t="s">
        <v>56</v>
      </c>
      <c r="P1" s="8" t="s">
        <v>57</v>
      </c>
    </row>
    <row r="2" customFormat="false" ht="15" hidden="false" customHeight="false" outlineLevel="0" collapsed="false">
      <c r="A2" s="7" t="s">
        <v>9854</v>
      </c>
      <c r="B2" s="7" t="s">
        <v>9855</v>
      </c>
      <c r="C2" s="7" t="s">
        <v>23</v>
      </c>
      <c r="D2" s="7" t="s">
        <v>8314</v>
      </c>
      <c r="E2" s="7" t="s">
        <v>9856</v>
      </c>
      <c r="F2" s="7" t="s">
        <v>163</v>
      </c>
      <c r="G2" s="7" t="s">
        <v>9857</v>
      </c>
      <c r="H2" s="7" t="s">
        <v>8316</v>
      </c>
      <c r="I2" s="10" t="n">
        <v>4000</v>
      </c>
      <c r="J2" s="7" t="s">
        <v>350</v>
      </c>
      <c r="K2" s="7"/>
      <c r="L2" s="7" t="s">
        <v>9858</v>
      </c>
      <c r="M2" s="7" t="s">
        <v>72</v>
      </c>
      <c r="N2" s="7"/>
      <c r="O2" s="7" t="s">
        <v>9859</v>
      </c>
      <c r="P2" s="7" t="s">
        <v>84</v>
      </c>
    </row>
    <row r="3" customFormat="false" ht="15" hidden="false" customHeight="false" outlineLevel="0" collapsed="false">
      <c r="A3" s="7" t="s">
        <v>9854</v>
      </c>
      <c r="B3" s="7" t="s">
        <v>9860</v>
      </c>
      <c r="C3" s="7" t="s">
        <v>24</v>
      </c>
      <c r="D3" s="7" t="s">
        <v>9861</v>
      </c>
      <c r="E3" s="7" t="s">
        <v>9862</v>
      </c>
      <c r="F3" s="7" t="s">
        <v>137</v>
      </c>
      <c r="G3" s="7" t="s">
        <v>9863</v>
      </c>
      <c r="H3" s="7" t="s">
        <v>8316</v>
      </c>
      <c r="I3" s="10" t="n">
        <v>1800</v>
      </c>
      <c r="J3" s="7" t="s">
        <v>350</v>
      </c>
      <c r="K3" s="7"/>
      <c r="L3" s="7" t="s">
        <v>9864</v>
      </c>
      <c r="M3" s="7" t="s">
        <v>2531</v>
      </c>
      <c r="N3" s="7"/>
      <c r="O3" s="7" t="s">
        <v>9865</v>
      </c>
      <c r="P3" s="7" t="s">
        <v>9866</v>
      </c>
    </row>
    <row r="4" customFormat="false" ht="15" hidden="false" customHeight="false" outlineLevel="0" collapsed="false">
      <c r="A4" s="7" t="s">
        <v>9854</v>
      </c>
      <c r="B4" s="7" t="s">
        <v>9867</v>
      </c>
      <c r="C4" s="7" t="s">
        <v>24</v>
      </c>
      <c r="D4" s="7" t="s">
        <v>2618</v>
      </c>
      <c r="E4" s="7" t="s">
        <v>65</v>
      </c>
      <c r="F4" s="7" t="s">
        <v>66</v>
      </c>
      <c r="G4" s="7" t="s">
        <v>9868</v>
      </c>
      <c r="H4" s="7" t="s">
        <v>8316</v>
      </c>
      <c r="I4" s="10" t="n">
        <v>2800</v>
      </c>
      <c r="J4" s="7" t="s">
        <v>377</v>
      </c>
      <c r="K4" s="7"/>
      <c r="L4" s="7" t="s">
        <v>9869</v>
      </c>
      <c r="M4" s="7" t="s">
        <v>9870</v>
      </c>
      <c r="N4" s="7"/>
      <c r="O4" s="7" t="s">
        <v>9871</v>
      </c>
      <c r="P4" s="7" t="s">
        <v>9872</v>
      </c>
    </row>
    <row r="5" customFormat="false" ht="15" hidden="false" customHeight="false" outlineLevel="0" collapsed="false">
      <c r="A5" s="7" t="s">
        <v>9854</v>
      </c>
      <c r="B5" s="7" t="s">
        <v>9873</v>
      </c>
      <c r="C5" s="7" t="s">
        <v>24</v>
      </c>
      <c r="D5" s="7" t="s">
        <v>9874</v>
      </c>
      <c r="E5" s="7" t="s">
        <v>4157</v>
      </c>
      <c r="F5" s="7" t="s">
        <v>4417</v>
      </c>
      <c r="G5" s="7" t="s">
        <v>9875</v>
      </c>
      <c r="H5" s="7" t="s">
        <v>8316</v>
      </c>
      <c r="I5" s="10" t="n">
        <v>4000</v>
      </c>
      <c r="J5" s="7" t="s">
        <v>350</v>
      </c>
      <c r="K5" s="7"/>
      <c r="L5" s="7" t="s">
        <v>9876</v>
      </c>
      <c r="M5" s="7" t="s">
        <v>9877</v>
      </c>
      <c r="N5" s="7"/>
      <c r="O5" s="7" t="s">
        <v>9878</v>
      </c>
      <c r="P5" s="7" t="s">
        <v>9879</v>
      </c>
    </row>
    <row r="6" customFormat="false" ht="15" hidden="false" customHeight="false" outlineLevel="0" collapsed="false">
      <c r="A6" s="7" t="s">
        <v>9854</v>
      </c>
      <c r="B6" s="7" t="s">
        <v>9880</v>
      </c>
      <c r="C6" s="7" t="s">
        <v>24</v>
      </c>
      <c r="D6" s="7" t="s">
        <v>2618</v>
      </c>
      <c r="E6" s="7" t="s">
        <v>5523</v>
      </c>
      <c r="F6" s="7" t="s">
        <v>88</v>
      </c>
      <c r="G6" s="7" t="s">
        <v>9881</v>
      </c>
      <c r="H6" s="7" t="s">
        <v>8316</v>
      </c>
      <c r="I6" s="10" t="n">
        <v>3500</v>
      </c>
      <c r="J6" s="7" t="s">
        <v>377</v>
      </c>
      <c r="K6" s="7"/>
      <c r="L6" s="7" t="s">
        <v>9882</v>
      </c>
      <c r="M6" s="7" t="s">
        <v>2549</v>
      </c>
      <c r="N6" s="7"/>
      <c r="O6" s="7" t="s">
        <v>9883</v>
      </c>
      <c r="P6" s="7" t="s">
        <v>9884</v>
      </c>
    </row>
    <row r="7" customFormat="false" ht="15" hidden="false" customHeight="false" outlineLevel="0" collapsed="false">
      <c r="A7" s="7" t="s">
        <v>9854</v>
      </c>
      <c r="B7" s="7" t="s">
        <v>9885</v>
      </c>
      <c r="C7" s="7" t="s">
        <v>24</v>
      </c>
      <c r="D7" s="7" t="s">
        <v>2618</v>
      </c>
      <c r="E7" s="7" t="s">
        <v>2474</v>
      </c>
      <c r="F7" s="7" t="s">
        <v>1106</v>
      </c>
      <c r="G7" s="7" t="s">
        <v>9886</v>
      </c>
      <c r="H7" s="7" t="s">
        <v>8316</v>
      </c>
      <c r="I7" s="10" t="n">
        <v>4800</v>
      </c>
      <c r="J7" s="7" t="s">
        <v>377</v>
      </c>
      <c r="K7" s="7"/>
      <c r="L7" s="7" t="s">
        <v>9887</v>
      </c>
      <c r="M7" s="7" t="s">
        <v>9888</v>
      </c>
      <c r="N7" s="7"/>
      <c r="O7" s="7" t="s">
        <v>9889</v>
      </c>
      <c r="P7" s="7" t="s">
        <v>9890</v>
      </c>
    </row>
    <row r="8" customFormat="false" ht="15" hidden="false" customHeight="false" outlineLevel="0" collapsed="false">
      <c r="A8" s="7" t="s">
        <v>9854</v>
      </c>
      <c r="B8" s="7" t="s">
        <v>9891</v>
      </c>
      <c r="C8" s="7" t="s">
        <v>24</v>
      </c>
      <c r="D8" s="7" t="s">
        <v>2618</v>
      </c>
      <c r="E8" s="7" t="s">
        <v>3532</v>
      </c>
      <c r="F8" s="7" t="s">
        <v>3533</v>
      </c>
      <c r="G8" s="7" t="s">
        <v>9892</v>
      </c>
      <c r="H8" s="7" t="s">
        <v>8316</v>
      </c>
      <c r="I8" s="10" t="n">
        <v>3000</v>
      </c>
      <c r="J8" s="7" t="s">
        <v>377</v>
      </c>
      <c r="K8" s="7"/>
      <c r="L8" s="7" t="s">
        <v>9893</v>
      </c>
      <c r="M8" s="7" t="s">
        <v>414</v>
      </c>
      <c r="N8" s="7"/>
      <c r="O8" s="7" t="s">
        <v>9894</v>
      </c>
      <c r="P8" s="7" t="s">
        <v>9895</v>
      </c>
    </row>
    <row r="9" customFormat="false" ht="15" hidden="false" customHeight="false" outlineLevel="0" collapsed="false">
      <c r="A9" s="7" t="s">
        <v>9854</v>
      </c>
      <c r="B9" s="7" t="s">
        <v>9896</v>
      </c>
      <c r="C9" s="7" t="s">
        <v>24</v>
      </c>
      <c r="D9" s="7" t="s">
        <v>4526</v>
      </c>
      <c r="E9" s="7" t="s">
        <v>9856</v>
      </c>
      <c r="F9" s="7" t="s">
        <v>163</v>
      </c>
      <c r="G9" s="7" t="s">
        <v>9897</v>
      </c>
      <c r="H9" s="7" t="s">
        <v>8316</v>
      </c>
      <c r="I9" s="10" t="n">
        <v>2400</v>
      </c>
      <c r="J9" s="7" t="s">
        <v>377</v>
      </c>
      <c r="K9" s="7"/>
      <c r="L9" s="7" t="s">
        <v>9898</v>
      </c>
      <c r="M9" s="7" t="s">
        <v>4529</v>
      </c>
      <c r="N9" s="7"/>
      <c r="O9" s="7" t="s">
        <v>9899</v>
      </c>
      <c r="P9" s="7" t="s">
        <v>9900</v>
      </c>
    </row>
    <row r="10" customFormat="false" ht="15" hidden="false" customHeight="false" outlineLevel="0" collapsed="false">
      <c r="A10" s="7" t="s">
        <v>9854</v>
      </c>
      <c r="B10" s="7" t="s">
        <v>9901</v>
      </c>
      <c r="C10" s="7" t="s">
        <v>24</v>
      </c>
      <c r="D10" s="7" t="s">
        <v>2660</v>
      </c>
      <c r="E10" s="7" t="s">
        <v>171</v>
      </c>
      <c r="F10" s="7" t="s">
        <v>172</v>
      </c>
      <c r="G10" s="7" t="s">
        <v>9902</v>
      </c>
      <c r="H10" s="7" t="s">
        <v>8316</v>
      </c>
      <c r="I10" s="10" t="n">
        <v>7000</v>
      </c>
      <c r="J10" s="7" t="s">
        <v>350</v>
      </c>
      <c r="K10" s="7"/>
      <c r="L10" s="7" t="s">
        <v>9903</v>
      </c>
      <c r="M10" s="7" t="s">
        <v>4602</v>
      </c>
      <c r="N10" s="7"/>
      <c r="O10" s="7" t="s">
        <v>9904</v>
      </c>
      <c r="P10" s="7" t="s">
        <v>4490</v>
      </c>
    </row>
    <row r="11" customFormat="false" ht="15" hidden="false" customHeight="false" outlineLevel="0" collapsed="false">
      <c r="A11" s="7" t="s">
        <v>9854</v>
      </c>
      <c r="B11" s="7" t="s">
        <v>9905</v>
      </c>
      <c r="C11" s="7" t="s">
        <v>24</v>
      </c>
      <c r="D11" s="7" t="s">
        <v>9861</v>
      </c>
      <c r="E11" s="7" t="s">
        <v>6788</v>
      </c>
      <c r="F11" s="7" t="s">
        <v>1081</v>
      </c>
      <c r="G11" s="7" t="s">
        <v>9906</v>
      </c>
      <c r="H11" s="7" t="s">
        <v>8316</v>
      </c>
      <c r="I11" s="10" t="n">
        <v>2400</v>
      </c>
      <c r="J11" s="7" t="s">
        <v>350</v>
      </c>
      <c r="K11" s="7"/>
      <c r="L11" s="7" t="s">
        <v>9907</v>
      </c>
      <c r="M11" s="7" t="s">
        <v>2531</v>
      </c>
      <c r="N11" s="7"/>
      <c r="O11" s="7" t="s">
        <v>9908</v>
      </c>
      <c r="P11" s="7" t="s">
        <v>9909</v>
      </c>
    </row>
    <row r="12" customFormat="false" ht="15" hidden="false" customHeight="false" outlineLevel="0" collapsed="false">
      <c r="A12" s="7" t="s">
        <v>9854</v>
      </c>
      <c r="B12" s="7" t="s">
        <v>9910</v>
      </c>
      <c r="C12" s="7" t="s">
        <v>24</v>
      </c>
      <c r="D12" s="7" t="s">
        <v>9911</v>
      </c>
      <c r="E12" s="7" t="s">
        <v>6378</v>
      </c>
      <c r="F12" s="7" t="s">
        <v>338</v>
      </c>
      <c r="G12" s="7" t="s">
        <v>9912</v>
      </c>
      <c r="H12" s="7" t="s">
        <v>8316</v>
      </c>
      <c r="I12" s="10" t="n">
        <v>6500</v>
      </c>
      <c r="J12" s="7" t="s">
        <v>377</v>
      </c>
      <c r="K12" s="7"/>
      <c r="L12" s="7" t="s">
        <v>9913</v>
      </c>
      <c r="M12" s="7" t="s">
        <v>2541</v>
      </c>
      <c r="N12" s="7"/>
      <c r="O12" s="7" t="s">
        <v>9914</v>
      </c>
      <c r="P12" s="7" t="s">
        <v>9915</v>
      </c>
    </row>
    <row r="13" customFormat="false" ht="15" hidden="false" customHeight="false" outlineLevel="0" collapsed="false">
      <c r="A13" s="7" t="s">
        <v>9854</v>
      </c>
      <c r="B13" s="7" t="s">
        <v>9916</v>
      </c>
      <c r="C13" s="7" t="s">
        <v>24</v>
      </c>
      <c r="D13" s="7" t="s">
        <v>9917</v>
      </c>
      <c r="E13" s="7" t="s">
        <v>9918</v>
      </c>
      <c r="F13" s="7" t="s">
        <v>1116</v>
      </c>
      <c r="G13" s="7" t="s">
        <v>9919</v>
      </c>
      <c r="H13" s="7" t="s">
        <v>8316</v>
      </c>
      <c r="I13" s="10" t="n">
        <v>10000</v>
      </c>
      <c r="J13" s="7" t="s">
        <v>377</v>
      </c>
      <c r="K13" s="7"/>
      <c r="L13" s="7" t="s">
        <v>9920</v>
      </c>
      <c r="M13" s="7" t="s">
        <v>9921</v>
      </c>
      <c r="N13" s="7"/>
      <c r="O13" s="7" t="s">
        <v>9922</v>
      </c>
      <c r="P13" s="7" t="s">
        <v>9923</v>
      </c>
    </row>
    <row r="14" customFormat="false" ht="15" hidden="false" customHeight="false" outlineLevel="0" collapsed="false">
      <c r="A14" s="7" t="s">
        <v>9854</v>
      </c>
      <c r="B14" s="7" t="s">
        <v>9924</v>
      </c>
      <c r="C14" s="7" t="s">
        <v>24</v>
      </c>
      <c r="D14" s="7" t="s">
        <v>4886</v>
      </c>
      <c r="E14" s="7" t="s">
        <v>445</v>
      </c>
      <c r="F14" s="7" t="s">
        <v>250</v>
      </c>
      <c r="G14" s="7" t="s">
        <v>9925</v>
      </c>
      <c r="H14" s="7" t="s">
        <v>8316</v>
      </c>
      <c r="I14" s="10" t="n">
        <v>5500</v>
      </c>
      <c r="J14" s="7" t="s">
        <v>69</v>
      </c>
      <c r="K14" s="7" t="s">
        <v>9926</v>
      </c>
      <c r="L14" s="7" t="s">
        <v>9927</v>
      </c>
      <c r="M14" s="7" t="s">
        <v>9928</v>
      </c>
      <c r="N14" s="7"/>
      <c r="O14" s="7" t="s">
        <v>9929</v>
      </c>
      <c r="P14" s="7" t="s">
        <v>9930</v>
      </c>
    </row>
    <row r="15" customFormat="false" ht="15" hidden="false" customHeight="false" outlineLevel="0" collapsed="false">
      <c r="A15" s="7" t="s">
        <v>9854</v>
      </c>
      <c r="B15" s="7" t="s">
        <v>9931</v>
      </c>
      <c r="C15" s="7" t="s">
        <v>24</v>
      </c>
      <c r="D15" s="7" t="s">
        <v>4504</v>
      </c>
      <c r="E15" s="7" t="s">
        <v>112</v>
      </c>
      <c r="F15" s="7" t="s">
        <v>113</v>
      </c>
      <c r="G15" s="7" t="s">
        <v>9932</v>
      </c>
      <c r="H15" s="7" t="s">
        <v>8316</v>
      </c>
      <c r="I15" s="10" t="n">
        <v>5000</v>
      </c>
      <c r="J15" s="7" t="s">
        <v>69</v>
      </c>
      <c r="K15" s="7" t="s">
        <v>9933</v>
      </c>
      <c r="L15" s="7" t="s">
        <v>9934</v>
      </c>
      <c r="M15" s="7" t="s">
        <v>4512</v>
      </c>
      <c r="N15" s="7"/>
      <c r="O15" s="7" t="s">
        <v>9935</v>
      </c>
      <c r="P15" s="7" t="s">
        <v>4485</v>
      </c>
    </row>
    <row r="16" customFormat="false" ht="15" hidden="false" customHeight="false" outlineLevel="0" collapsed="false">
      <c r="A16" s="7" t="s">
        <v>9854</v>
      </c>
      <c r="B16" s="7" t="s">
        <v>9936</v>
      </c>
      <c r="C16" s="7" t="s">
        <v>24</v>
      </c>
      <c r="D16" s="7" t="s">
        <v>4856</v>
      </c>
      <c r="E16" s="7" t="s">
        <v>1467</v>
      </c>
      <c r="F16" s="7" t="s">
        <v>147</v>
      </c>
      <c r="G16" s="7" t="s">
        <v>9937</v>
      </c>
      <c r="H16" s="7" t="s">
        <v>8316</v>
      </c>
      <c r="I16" s="10" t="n">
        <v>9000</v>
      </c>
      <c r="J16" s="7" t="s">
        <v>350</v>
      </c>
      <c r="K16" s="7"/>
      <c r="L16" s="7" t="s">
        <v>9938</v>
      </c>
      <c r="M16" s="7" t="s">
        <v>9939</v>
      </c>
      <c r="N16" s="7"/>
      <c r="O16" s="7" t="s">
        <v>9940</v>
      </c>
      <c r="P16" s="7" t="s">
        <v>2665</v>
      </c>
    </row>
    <row r="17" customFormat="false" ht="15" hidden="false" customHeight="false" outlineLevel="0" collapsed="false">
      <c r="A17" s="7" t="s">
        <v>9854</v>
      </c>
      <c r="B17" s="7" t="s">
        <v>9941</v>
      </c>
      <c r="C17" s="7" t="s">
        <v>24</v>
      </c>
      <c r="D17" s="7" t="s">
        <v>9861</v>
      </c>
      <c r="E17" s="7" t="s">
        <v>3149</v>
      </c>
      <c r="F17" s="7" t="s">
        <v>172</v>
      </c>
      <c r="G17" s="7" t="s">
        <v>9942</v>
      </c>
      <c r="H17" s="7" t="s">
        <v>8316</v>
      </c>
      <c r="I17" s="10" t="n">
        <v>1400</v>
      </c>
      <c r="J17" s="7" t="s">
        <v>350</v>
      </c>
      <c r="K17" s="7"/>
      <c r="L17" s="7" t="s">
        <v>9943</v>
      </c>
      <c r="M17" s="7" t="s">
        <v>9877</v>
      </c>
      <c r="N17" s="7"/>
      <c r="O17" s="7" t="s">
        <v>9944</v>
      </c>
      <c r="P17" s="7" t="s">
        <v>9945</v>
      </c>
    </row>
    <row r="18" customFormat="false" ht="15" hidden="false" customHeight="false" outlineLevel="0" collapsed="false">
      <c r="A18" s="7" t="s">
        <v>9854</v>
      </c>
      <c r="B18" s="7" t="s">
        <v>9946</v>
      </c>
      <c r="C18" s="7" t="s">
        <v>24</v>
      </c>
      <c r="D18" s="7" t="s">
        <v>2618</v>
      </c>
      <c r="E18" s="7" t="s">
        <v>9947</v>
      </c>
      <c r="F18" s="7" t="s">
        <v>4713</v>
      </c>
      <c r="G18" s="7" t="s">
        <v>9948</v>
      </c>
      <c r="H18" s="7" t="s">
        <v>8316</v>
      </c>
      <c r="I18" s="10" t="n">
        <v>3500</v>
      </c>
      <c r="J18" s="7" t="s">
        <v>377</v>
      </c>
      <c r="K18" s="7"/>
      <c r="L18" s="7" t="s">
        <v>9949</v>
      </c>
      <c r="M18" s="7" t="s">
        <v>414</v>
      </c>
      <c r="N18" s="7"/>
      <c r="O18" s="7" t="s">
        <v>9950</v>
      </c>
      <c r="P18" s="7" t="s">
        <v>9951</v>
      </c>
    </row>
    <row r="19" customFormat="false" ht="15" hidden="false" customHeight="false" outlineLevel="0" collapsed="false">
      <c r="A19" s="7" t="s">
        <v>9854</v>
      </c>
      <c r="B19" s="7" t="s">
        <v>9952</v>
      </c>
      <c r="C19" s="7" t="s">
        <v>24</v>
      </c>
      <c r="D19" s="7" t="s">
        <v>9953</v>
      </c>
      <c r="E19" s="7" t="s">
        <v>8356</v>
      </c>
      <c r="F19" s="7" t="s">
        <v>155</v>
      </c>
      <c r="G19" s="7" t="s">
        <v>9954</v>
      </c>
      <c r="H19" s="7" t="s">
        <v>8316</v>
      </c>
      <c r="I19" s="10" t="n">
        <v>1600</v>
      </c>
      <c r="J19" s="7" t="s">
        <v>377</v>
      </c>
      <c r="K19" s="7"/>
      <c r="L19" s="7" t="s">
        <v>9955</v>
      </c>
      <c r="M19" s="7" t="s">
        <v>414</v>
      </c>
      <c r="N19" s="7"/>
      <c r="O19" s="7" t="s">
        <v>9956</v>
      </c>
      <c r="P19" s="7" t="s">
        <v>9957</v>
      </c>
    </row>
    <row r="20" customFormat="false" ht="15" hidden="false" customHeight="false" outlineLevel="0" collapsed="false">
      <c r="A20" s="7" t="s">
        <v>9854</v>
      </c>
      <c r="B20" s="7" t="s">
        <v>9958</v>
      </c>
      <c r="C20" s="7" t="s">
        <v>24</v>
      </c>
      <c r="D20" s="7" t="s">
        <v>9959</v>
      </c>
      <c r="E20" s="7" t="s">
        <v>4157</v>
      </c>
      <c r="F20" s="7" t="s">
        <v>328</v>
      </c>
      <c r="G20" s="7" t="s">
        <v>9960</v>
      </c>
      <c r="H20" s="7" t="s">
        <v>8316</v>
      </c>
      <c r="I20" s="10" t="n">
        <v>7500</v>
      </c>
      <c r="J20" s="7" t="s">
        <v>377</v>
      </c>
      <c r="K20" s="7"/>
      <c r="L20" s="7" t="s">
        <v>9961</v>
      </c>
      <c r="M20" s="7" t="s">
        <v>9962</v>
      </c>
      <c r="N20" s="7"/>
      <c r="O20" s="7" t="s">
        <v>9963</v>
      </c>
      <c r="P20" s="7" t="s">
        <v>9964</v>
      </c>
    </row>
    <row r="21" customFormat="false" ht="15" hidden="false" customHeight="false" outlineLevel="0" collapsed="false">
      <c r="A21" s="7" t="s">
        <v>9854</v>
      </c>
      <c r="B21" s="7" t="s">
        <v>9965</v>
      </c>
      <c r="C21" s="7" t="s">
        <v>24</v>
      </c>
      <c r="D21" s="7" t="s">
        <v>2520</v>
      </c>
      <c r="E21" s="7" t="s">
        <v>3827</v>
      </c>
      <c r="F21" s="7" t="s">
        <v>88</v>
      </c>
      <c r="G21" s="7" t="s">
        <v>9966</v>
      </c>
      <c r="H21" s="7" t="s">
        <v>8316</v>
      </c>
      <c r="I21" s="10" t="n">
        <v>3000</v>
      </c>
      <c r="J21" s="7" t="s">
        <v>350</v>
      </c>
      <c r="K21" s="7"/>
      <c r="L21" s="7" t="s">
        <v>9967</v>
      </c>
      <c r="M21" s="7" t="s">
        <v>2549</v>
      </c>
      <c r="N21" s="7"/>
      <c r="O21" s="7" t="s">
        <v>9968</v>
      </c>
      <c r="P21" s="7" t="s">
        <v>2509</v>
      </c>
    </row>
    <row r="22" customFormat="false" ht="15" hidden="false" customHeight="false" outlineLevel="0" collapsed="false">
      <c r="A22" s="7" t="s">
        <v>9854</v>
      </c>
      <c r="B22" s="7" t="s">
        <v>9969</v>
      </c>
      <c r="C22" s="7" t="s">
        <v>24</v>
      </c>
      <c r="D22" s="7" t="s">
        <v>2618</v>
      </c>
      <c r="E22" s="7" t="s">
        <v>970</v>
      </c>
      <c r="F22" s="7" t="s">
        <v>250</v>
      </c>
      <c r="G22" s="7" t="s">
        <v>9970</v>
      </c>
      <c r="H22" s="7" t="s">
        <v>8316</v>
      </c>
      <c r="I22" s="10" t="n">
        <v>3900</v>
      </c>
      <c r="J22" s="7" t="s">
        <v>377</v>
      </c>
      <c r="K22" s="7"/>
      <c r="L22" s="7" t="s">
        <v>9971</v>
      </c>
      <c r="M22" s="7" t="s">
        <v>414</v>
      </c>
      <c r="N22" s="7"/>
      <c r="O22" s="7" t="s">
        <v>9972</v>
      </c>
      <c r="P22" s="7" t="s">
        <v>9973</v>
      </c>
    </row>
    <row r="23" customFormat="false" ht="15" hidden="false" customHeight="false" outlineLevel="0" collapsed="false">
      <c r="A23" s="7" t="s">
        <v>9854</v>
      </c>
      <c r="B23" s="7" t="s">
        <v>9974</v>
      </c>
      <c r="C23" s="7" t="s">
        <v>24</v>
      </c>
      <c r="D23" s="7" t="s">
        <v>2653</v>
      </c>
      <c r="E23" s="7" t="s">
        <v>9975</v>
      </c>
      <c r="F23" s="7" t="s">
        <v>155</v>
      </c>
      <c r="G23" s="7" t="s">
        <v>9976</v>
      </c>
      <c r="H23" s="7" t="s">
        <v>8316</v>
      </c>
      <c r="I23" s="10" t="n">
        <v>1100</v>
      </c>
      <c r="J23" s="7" t="s">
        <v>377</v>
      </c>
      <c r="K23" s="7"/>
      <c r="L23" s="7" t="s">
        <v>9977</v>
      </c>
      <c r="M23" s="7" t="s">
        <v>2531</v>
      </c>
      <c r="N23" s="7"/>
      <c r="O23" s="7" t="s">
        <v>9978</v>
      </c>
      <c r="P23" s="7" t="s">
        <v>9979</v>
      </c>
    </row>
    <row r="24" customFormat="false" ht="15" hidden="false" customHeight="false" outlineLevel="0" collapsed="false">
      <c r="A24" s="7" t="s">
        <v>9854</v>
      </c>
      <c r="B24" s="7" t="s">
        <v>9980</v>
      </c>
      <c r="C24" s="7" t="s">
        <v>24</v>
      </c>
      <c r="D24" s="7" t="s">
        <v>9981</v>
      </c>
      <c r="E24" s="7" t="s">
        <v>6000</v>
      </c>
      <c r="F24" s="7" t="s">
        <v>317</v>
      </c>
      <c r="G24" s="7" t="s">
        <v>9982</v>
      </c>
      <c r="H24" s="7" t="s">
        <v>8316</v>
      </c>
      <c r="I24" s="10" t="n">
        <v>1600</v>
      </c>
      <c r="J24" s="7" t="s">
        <v>377</v>
      </c>
      <c r="K24" s="7"/>
      <c r="L24" s="7" t="s">
        <v>9983</v>
      </c>
      <c r="M24" s="7" t="s">
        <v>2549</v>
      </c>
      <c r="N24" s="7"/>
      <c r="O24" s="7" t="s">
        <v>9984</v>
      </c>
      <c r="P24" s="7" t="s">
        <v>9985</v>
      </c>
    </row>
    <row r="25" customFormat="false" ht="15" hidden="false" customHeight="false" outlineLevel="0" collapsed="false">
      <c r="A25" s="7" t="s">
        <v>9854</v>
      </c>
      <c r="B25" s="7" t="s">
        <v>9986</v>
      </c>
      <c r="C25" s="7" t="s">
        <v>24</v>
      </c>
      <c r="D25" s="7" t="s">
        <v>2527</v>
      </c>
      <c r="E25" s="7" t="s">
        <v>347</v>
      </c>
      <c r="F25" s="7" t="s">
        <v>348</v>
      </c>
      <c r="G25" s="7" t="s">
        <v>9987</v>
      </c>
      <c r="H25" s="7" t="s">
        <v>8316</v>
      </c>
      <c r="I25" s="10" t="n">
        <v>600</v>
      </c>
      <c r="J25" s="7" t="s">
        <v>377</v>
      </c>
      <c r="K25" s="7"/>
      <c r="L25" s="7" t="s">
        <v>9988</v>
      </c>
      <c r="M25" s="7" t="s">
        <v>2531</v>
      </c>
      <c r="N25" s="7"/>
      <c r="O25" s="7" t="s">
        <v>9989</v>
      </c>
      <c r="P25" s="7" t="s">
        <v>9990</v>
      </c>
    </row>
    <row r="26" customFormat="false" ht="15" hidden="false" customHeight="false" outlineLevel="0" collapsed="false">
      <c r="A26" s="7" t="s">
        <v>9854</v>
      </c>
      <c r="B26" s="7" t="s">
        <v>9991</v>
      </c>
      <c r="C26" s="7" t="s">
        <v>24</v>
      </c>
      <c r="D26" s="7" t="s">
        <v>2520</v>
      </c>
      <c r="E26" s="7" t="s">
        <v>4671</v>
      </c>
      <c r="F26" s="7" t="s">
        <v>78</v>
      </c>
      <c r="G26" s="7" t="s">
        <v>9992</v>
      </c>
      <c r="H26" s="7" t="s">
        <v>8316</v>
      </c>
      <c r="I26" s="10" t="n">
        <v>2500</v>
      </c>
      <c r="J26" s="7" t="s">
        <v>350</v>
      </c>
      <c r="K26" s="7"/>
      <c r="L26" s="7" t="s">
        <v>9993</v>
      </c>
      <c r="M26" s="7" t="s">
        <v>414</v>
      </c>
      <c r="N26" s="7"/>
      <c r="O26" s="7" t="s">
        <v>9994</v>
      </c>
      <c r="P26" s="7" t="s">
        <v>2509</v>
      </c>
    </row>
    <row r="27" customFormat="false" ht="15" hidden="false" customHeight="false" outlineLevel="0" collapsed="false">
      <c r="A27" s="7" t="s">
        <v>9854</v>
      </c>
      <c r="B27" s="7" t="s">
        <v>9995</v>
      </c>
      <c r="C27" s="7" t="s">
        <v>24</v>
      </c>
      <c r="D27" s="7" t="s">
        <v>9861</v>
      </c>
      <c r="E27" s="7" t="s">
        <v>9996</v>
      </c>
      <c r="F27" s="7" t="s">
        <v>137</v>
      </c>
      <c r="G27" s="7" t="s">
        <v>9997</v>
      </c>
      <c r="H27" s="7" t="s">
        <v>8316</v>
      </c>
      <c r="I27" s="10" t="n">
        <v>5000</v>
      </c>
      <c r="J27" s="7" t="s">
        <v>350</v>
      </c>
      <c r="K27" s="7"/>
      <c r="L27" s="7" t="s">
        <v>9998</v>
      </c>
      <c r="M27" s="7" t="s">
        <v>8494</v>
      </c>
      <c r="N27" s="7"/>
      <c r="O27" s="7" t="s">
        <v>9999</v>
      </c>
      <c r="P27" s="7" t="s">
        <v>10000</v>
      </c>
    </row>
    <row r="28" customFormat="false" ht="15" hidden="false" customHeight="false" outlineLevel="0" collapsed="false">
      <c r="A28" s="7" t="s">
        <v>9854</v>
      </c>
      <c r="B28" s="7" t="s">
        <v>10001</v>
      </c>
      <c r="C28" s="7" t="s">
        <v>24</v>
      </c>
      <c r="D28" s="7" t="s">
        <v>10002</v>
      </c>
      <c r="E28" s="7" t="s">
        <v>10003</v>
      </c>
      <c r="F28" s="7" t="s">
        <v>338</v>
      </c>
      <c r="G28" s="7" t="s">
        <v>10004</v>
      </c>
      <c r="H28" s="7" t="s">
        <v>8316</v>
      </c>
      <c r="I28" s="10" t="n">
        <v>4500</v>
      </c>
      <c r="J28" s="7" t="s">
        <v>377</v>
      </c>
      <c r="K28" s="7"/>
      <c r="L28" s="7" t="s">
        <v>10005</v>
      </c>
      <c r="M28" s="7" t="s">
        <v>2604</v>
      </c>
      <c r="N28" s="7"/>
      <c r="O28" s="7" t="s">
        <v>10006</v>
      </c>
      <c r="P28" s="7" t="s">
        <v>10007</v>
      </c>
    </row>
    <row r="29" customFormat="false" ht="15" hidden="false" customHeight="false" outlineLevel="0" collapsed="false">
      <c r="A29" s="7" t="s">
        <v>9854</v>
      </c>
      <c r="B29" s="7" t="s">
        <v>10008</v>
      </c>
      <c r="C29" s="7" t="s">
        <v>24</v>
      </c>
      <c r="D29" s="7" t="s">
        <v>2520</v>
      </c>
      <c r="E29" s="7" t="s">
        <v>104</v>
      </c>
      <c r="F29" s="7" t="s">
        <v>105</v>
      </c>
      <c r="G29" s="7" t="s">
        <v>10009</v>
      </c>
      <c r="H29" s="7" t="s">
        <v>8316</v>
      </c>
      <c r="I29" s="10" t="n">
        <v>8000</v>
      </c>
      <c r="J29" s="7" t="s">
        <v>350</v>
      </c>
      <c r="K29" s="7"/>
      <c r="L29" s="7" t="s">
        <v>10010</v>
      </c>
      <c r="M29" s="7" t="s">
        <v>414</v>
      </c>
      <c r="N29" s="7"/>
      <c r="O29" s="7" t="s">
        <v>10011</v>
      </c>
      <c r="P29" s="7" t="s">
        <v>2509</v>
      </c>
    </row>
    <row r="30" customFormat="false" ht="15" hidden="false" customHeight="false" outlineLevel="0" collapsed="false">
      <c r="A30" s="7" t="s">
        <v>9854</v>
      </c>
      <c r="B30" s="7" t="s">
        <v>10012</v>
      </c>
      <c r="C30" s="7" t="s">
        <v>24</v>
      </c>
      <c r="D30" s="7" t="s">
        <v>2618</v>
      </c>
      <c r="E30" s="7" t="s">
        <v>189</v>
      </c>
      <c r="F30" s="7" t="s">
        <v>190</v>
      </c>
      <c r="G30" s="7" t="s">
        <v>10013</v>
      </c>
      <c r="H30" s="7" t="s">
        <v>8316</v>
      </c>
      <c r="I30" s="10" t="n">
        <v>3200</v>
      </c>
      <c r="J30" s="7" t="s">
        <v>377</v>
      </c>
      <c r="K30" s="7"/>
      <c r="L30" s="7" t="s">
        <v>10014</v>
      </c>
      <c r="M30" s="7" t="s">
        <v>2549</v>
      </c>
      <c r="N30" s="7"/>
      <c r="O30" s="7" t="s">
        <v>10015</v>
      </c>
      <c r="P30" s="7" t="s">
        <v>10016</v>
      </c>
    </row>
    <row r="31" customFormat="false" ht="15" hidden="false" customHeight="false" outlineLevel="0" collapsed="false">
      <c r="A31" s="7" t="s">
        <v>9854</v>
      </c>
      <c r="B31" s="7" t="s">
        <v>10017</v>
      </c>
      <c r="C31" s="7" t="s">
        <v>24</v>
      </c>
      <c r="D31" s="7" t="s">
        <v>9861</v>
      </c>
      <c r="E31" s="7" t="s">
        <v>10018</v>
      </c>
      <c r="F31" s="7" t="s">
        <v>137</v>
      </c>
      <c r="G31" s="7" t="s">
        <v>10019</v>
      </c>
      <c r="H31" s="7" t="s">
        <v>8316</v>
      </c>
      <c r="I31" s="10" t="n">
        <v>1400</v>
      </c>
      <c r="J31" s="7" t="s">
        <v>350</v>
      </c>
      <c r="K31" s="7"/>
      <c r="L31" s="7" t="s">
        <v>10020</v>
      </c>
      <c r="M31" s="7" t="s">
        <v>2531</v>
      </c>
      <c r="N31" s="7"/>
      <c r="O31" s="7" t="s">
        <v>10021</v>
      </c>
      <c r="P31" s="7" t="s">
        <v>10022</v>
      </c>
    </row>
    <row r="32" customFormat="false" ht="15" hidden="false" customHeight="false" outlineLevel="0" collapsed="false">
      <c r="A32" s="7" t="s">
        <v>9854</v>
      </c>
      <c r="B32" s="7" t="s">
        <v>10023</v>
      </c>
      <c r="C32" s="7" t="s">
        <v>24</v>
      </c>
      <c r="D32" s="7" t="s">
        <v>9861</v>
      </c>
      <c r="E32" s="7" t="s">
        <v>10024</v>
      </c>
      <c r="F32" s="7" t="s">
        <v>172</v>
      </c>
      <c r="G32" s="7" t="s">
        <v>10025</v>
      </c>
      <c r="H32" s="7" t="s">
        <v>8316</v>
      </c>
      <c r="I32" s="10" t="n">
        <v>2500</v>
      </c>
      <c r="J32" s="7" t="s">
        <v>350</v>
      </c>
      <c r="K32" s="7"/>
      <c r="L32" s="7" t="s">
        <v>10026</v>
      </c>
      <c r="M32" s="7" t="s">
        <v>2541</v>
      </c>
      <c r="N32" s="7"/>
      <c r="O32" s="7" t="s">
        <v>10027</v>
      </c>
      <c r="P32" s="7" t="s">
        <v>10028</v>
      </c>
    </row>
    <row r="33" customFormat="false" ht="15" hidden="false" customHeight="false" outlineLevel="0" collapsed="false">
      <c r="A33" s="7" t="s">
        <v>9854</v>
      </c>
      <c r="B33" s="7" t="s">
        <v>10029</v>
      </c>
      <c r="C33" s="7" t="s">
        <v>24</v>
      </c>
      <c r="D33" s="7" t="s">
        <v>10030</v>
      </c>
      <c r="E33" s="7" t="s">
        <v>1599</v>
      </c>
      <c r="F33" s="7" t="s">
        <v>78</v>
      </c>
      <c r="G33" s="7" t="s">
        <v>10031</v>
      </c>
      <c r="H33" s="7" t="s">
        <v>8316</v>
      </c>
      <c r="I33" s="10" t="n">
        <v>3500</v>
      </c>
      <c r="J33" s="7" t="s">
        <v>3239</v>
      </c>
      <c r="K33" s="7"/>
      <c r="L33" s="7" t="s">
        <v>10032</v>
      </c>
      <c r="M33" s="7" t="s">
        <v>321</v>
      </c>
      <c r="N33" s="7"/>
      <c r="O33" s="7" t="s">
        <v>10033</v>
      </c>
      <c r="P33" s="7" t="s">
        <v>10034</v>
      </c>
    </row>
    <row r="34" customFormat="false" ht="15" hidden="false" customHeight="false" outlineLevel="0" collapsed="false">
      <c r="A34" s="7" t="s">
        <v>9854</v>
      </c>
      <c r="B34" s="7" t="s">
        <v>10035</v>
      </c>
      <c r="C34" s="7" t="s">
        <v>26</v>
      </c>
      <c r="D34" s="7" t="s">
        <v>10036</v>
      </c>
      <c r="E34" s="7" t="s">
        <v>327</v>
      </c>
      <c r="F34" s="7" t="s">
        <v>328</v>
      </c>
      <c r="G34" s="7" t="s">
        <v>10037</v>
      </c>
      <c r="H34" s="7" t="s">
        <v>8316</v>
      </c>
      <c r="I34" s="10" t="n">
        <v>1300</v>
      </c>
      <c r="J34" s="7" t="s">
        <v>377</v>
      </c>
      <c r="K34" s="7"/>
      <c r="L34" s="7"/>
      <c r="M34" s="7" t="s">
        <v>2738</v>
      </c>
      <c r="N34" s="7"/>
      <c r="O34" s="7"/>
      <c r="P34" s="7" t="s">
        <v>5174</v>
      </c>
    </row>
    <row r="35" customFormat="false" ht="15" hidden="false" customHeight="false" outlineLevel="0" collapsed="false">
      <c r="A35" s="7" t="s">
        <v>9854</v>
      </c>
      <c r="B35" s="7" t="s">
        <v>10038</v>
      </c>
      <c r="C35" s="7" t="s">
        <v>26</v>
      </c>
      <c r="D35" s="7" t="s">
        <v>5291</v>
      </c>
      <c r="E35" s="7" t="s">
        <v>10039</v>
      </c>
      <c r="F35" s="7" t="s">
        <v>338</v>
      </c>
      <c r="G35" s="7" t="s">
        <v>10040</v>
      </c>
      <c r="H35" s="7" t="s">
        <v>8316</v>
      </c>
      <c r="I35" s="10" t="n">
        <v>1500</v>
      </c>
      <c r="J35" s="7" t="s">
        <v>3239</v>
      </c>
      <c r="K35" s="7"/>
      <c r="L35" s="7" t="s">
        <v>10041</v>
      </c>
      <c r="M35" s="7" t="s">
        <v>2738</v>
      </c>
      <c r="N35" s="7"/>
      <c r="O35" s="7" t="s">
        <v>2740</v>
      </c>
      <c r="P35" s="7" t="s">
        <v>2741</v>
      </c>
    </row>
    <row r="36" customFormat="false" ht="15" hidden="false" customHeight="false" outlineLevel="0" collapsed="false">
      <c r="A36" s="7" t="s">
        <v>9854</v>
      </c>
      <c r="B36" s="7" t="s">
        <v>10042</v>
      </c>
      <c r="C36" s="7" t="s">
        <v>26</v>
      </c>
      <c r="D36" s="7" t="s">
        <v>10043</v>
      </c>
      <c r="E36" s="7" t="s">
        <v>8408</v>
      </c>
      <c r="F36" s="7" t="s">
        <v>2538</v>
      </c>
      <c r="G36" s="7" t="s">
        <v>10044</v>
      </c>
      <c r="H36" s="7" t="s">
        <v>8316</v>
      </c>
      <c r="I36" s="10" t="n">
        <v>4000</v>
      </c>
      <c r="J36" s="7" t="s">
        <v>69</v>
      </c>
      <c r="K36" s="7" t="s">
        <v>10045</v>
      </c>
      <c r="L36" s="7" t="s">
        <v>10046</v>
      </c>
      <c r="M36" s="7" t="s">
        <v>2738</v>
      </c>
      <c r="N36" s="7"/>
      <c r="O36" s="7" t="s">
        <v>10047</v>
      </c>
      <c r="P36" s="7" t="s">
        <v>2741</v>
      </c>
    </row>
    <row r="37" customFormat="false" ht="15" hidden="false" customHeight="false" outlineLevel="0" collapsed="false">
      <c r="A37" s="7" t="s">
        <v>9854</v>
      </c>
      <c r="B37" s="7" t="s">
        <v>10048</v>
      </c>
      <c r="C37" s="7" t="s">
        <v>26</v>
      </c>
      <c r="D37" s="7" t="s">
        <v>5204</v>
      </c>
      <c r="E37" s="7" t="s">
        <v>10049</v>
      </c>
      <c r="F37" s="7" t="s">
        <v>1789</v>
      </c>
      <c r="G37" s="7" t="s">
        <v>10050</v>
      </c>
      <c r="H37" s="7" t="s">
        <v>8316</v>
      </c>
      <c r="I37" s="10" t="n">
        <v>3000</v>
      </c>
      <c r="J37" s="7" t="s">
        <v>350</v>
      </c>
      <c r="K37" s="7"/>
      <c r="L37" s="7"/>
      <c r="M37" s="7" t="s">
        <v>2738</v>
      </c>
      <c r="N37" s="7"/>
      <c r="O37" s="7" t="s">
        <v>10051</v>
      </c>
      <c r="P37" s="7" t="s">
        <v>5128</v>
      </c>
    </row>
    <row r="38" customFormat="false" ht="15" hidden="false" customHeight="false" outlineLevel="0" collapsed="false">
      <c r="A38" s="7" t="s">
        <v>9854</v>
      </c>
      <c r="B38" s="7" t="s">
        <v>10052</v>
      </c>
      <c r="C38" s="7" t="s">
        <v>26</v>
      </c>
      <c r="D38" s="7" t="s">
        <v>5157</v>
      </c>
      <c r="E38" s="7" t="s">
        <v>10053</v>
      </c>
      <c r="F38" s="7" t="s">
        <v>155</v>
      </c>
      <c r="G38" s="7" t="s">
        <v>10054</v>
      </c>
      <c r="H38" s="7" t="s">
        <v>8316</v>
      </c>
      <c r="I38" s="10" t="n">
        <v>2400</v>
      </c>
      <c r="J38" s="7" t="s">
        <v>3239</v>
      </c>
      <c r="K38" s="7"/>
      <c r="L38" s="7"/>
      <c r="M38" s="7" t="s">
        <v>2738</v>
      </c>
      <c r="N38" s="7"/>
      <c r="O38" s="7" t="s">
        <v>10055</v>
      </c>
      <c r="P38" s="7" t="s">
        <v>5160</v>
      </c>
    </row>
    <row r="39" customFormat="false" ht="15" hidden="false" customHeight="false" outlineLevel="0" collapsed="false">
      <c r="A39" s="7" t="s">
        <v>9854</v>
      </c>
      <c r="B39" s="7" t="s">
        <v>10056</v>
      </c>
      <c r="C39" s="7" t="s">
        <v>26</v>
      </c>
      <c r="D39" s="7" t="s">
        <v>10057</v>
      </c>
      <c r="E39" s="7" t="s">
        <v>970</v>
      </c>
      <c r="F39" s="7" t="s">
        <v>250</v>
      </c>
      <c r="G39" s="7" t="s">
        <v>10058</v>
      </c>
      <c r="H39" s="7" t="s">
        <v>8316</v>
      </c>
      <c r="I39" s="10" t="n">
        <v>3000</v>
      </c>
      <c r="J39" s="7" t="s">
        <v>377</v>
      </c>
      <c r="K39" s="7"/>
      <c r="L39" s="7" t="s">
        <v>10059</v>
      </c>
      <c r="M39" s="7" t="s">
        <v>8733</v>
      </c>
      <c r="N39" s="7"/>
      <c r="O39" s="7" t="s">
        <v>10060</v>
      </c>
      <c r="P39" s="7" t="s">
        <v>5124</v>
      </c>
    </row>
    <row r="40" customFormat="false" ht="15" hidden="false" customHeight="false" outlineLevel="0" collapsed="false">
      <c r="A40" s="7" t="s">
        <v>9854</v>
      </c>
      <c r="B40" s="7" t="s">
        <v>10061</v>
      </c>
      <c r="C40" s="7" t="s">
        <v>26</v>
      </c>
      <c r="D40" s="7" t="s">
        <v>10062</v>
      </c>
      <c r="E40" s="7" t="s">
        <v>4758</v>
      </c>
      <c r="F40" s="7" t="s">
        <v>854</v>
      </c>
      <c r="G40" s="7" t="s">
        <v>10063</v>
      </c>
      <c r="H40" s="7" t="s">
        <v>8316</v>
      </c>
      <c r="I40" s="10" t="n">
        <v>1600</v>
      </c>
      <c r="J40" s="7" t="s">
        <v>517</v>
      </c>
      <c r="K40" s="7"/>
      <c r="L40" s="7"/>
      <c r="M40" s="7" t="s">
        <v>2738</v>
      </c>
      <c r="N40" s="7"/>
      <c r="O40" s="7" t="s">
        <v>5193</v>
      </c>
      <c r="P40" s="7" t="s">
        <v>5160</v>
      </c>
    </row>
    <row r="41" customFormat="false" ht="15" hidden="false" customHeight="false" outlineLevel="0" collapsed="false">
      <c r="A41" s="7" t="s">
        <v>9854</v>
      </c>
      <c r="B41" s="7" t="s">
        <v>10064</v>
      </c>
      <c r="C41" s="7" t="s">
        <v>26</v>
      </c>
      <c r="D41" s="7" t="s">
        <v>10065</v>
      </c>
      <c r="E41" s="7" t="s">
        <v>1881</v>
      </c>
      <c r="F41" s="7" t="s">
        <v>250</v>
      </c>
      <c r="G41" s="7" t="s">
        <v>10066</v>
      </c>
      <c r="H41" s="7" t="s">
        <v>8316</v>
      </c>
      <c r="I41" s="10" t="n">
        <v>4000</v>
      </c>
      <c r="J41" s="7" t="s">
        <v>377</v>
      </c>
      <c r="K41" s="7"/>
      <c r="L41" s="7" t="s">
        <v>10067</v>
      </c>
      <c r="M41" s="7" t="s">
        <v>10068</v>
      </c>
      <c r="N41" s="7"/>
      <c r="O41" s="7" t="s">
        <v>10069</v>
      </c>
      <c r="P41" s="7" t="s">
        <v>5124</v>
      </c>
    </row>
    <row r="42" customFormat="false" ht="15" hidden="false" customHeight="false" outlineLevel="0" collapsed="false">
      <c r="A42" s="7" t="s">
        <v>9854</v>
      </c>
      <c r="B42" s="7" t="s">
        <v>10070</v>
      </c>
      <c r="C42" s="7" t="s">
        <v>26</v>
      </c>
      <c r="D42" s="7" t="s">
        <v>10071</v>
      </c>
      <c r="E42" s="7" t="s">
        <v>8162</v>
      </c>
      <c r="F42" s="7" t="s">
        <v>155</v>
      </c>
      <c r="G42" s="7" t="s">
        <v>10072</v>
      </c>
      <c r="H42" s="7" t="s">
        <v>8316</v>
      </c>
      <c r="I42" s="10" t="n">
        <v>1500</v>
      </c>
      <c r="J42" s="7" t="s">
        <v>3239</v>
      </c>
      <c r="K42" s="7"/>
      <c r="L42" s="7"/>
      <c r="M42" s="7" t="s">
        <v>2738</v>
      </c>
      <c r="N42" s="7"/>
      <c r="O42" s="7" t="s">
        <v>2740</v>
      </c>
      <c r="P42" s="7" t="s">
        <v>2741</v>
      </c>
    </row>
    <row r="43" customFormat="false" ht="15" hidden="false" customHeight="false" outlineLevel="0" collapsed="false">
      <c r="A43" s="7" t="s">
        <v>9854</v>
      </c>
      <c r="B43" s="7" t="s">
        <v>10073</v>
      </c>
      <c r="C43" s="7" t="s">
        <v>26</v>
      </c>
      <c r="D43" s="7" t="s">
        <v>5157</v>
      </c>
      <c r="E43" s="7" t="s">
        <v>10074</v>
      </c>
      <c r="F43" s="7" t="s">
        <v>250</v>
      </c>
      <c r="G43" s="7" t="s">
        <v>10075</v>
      </c>
      <c r="H43" s="7" t="s">
        <v>8316</v>
      </c>
      <c r="I43" s="10" t="n">
        <v>2500</v>
      </c>
      <c r="J43" s="7" t="s">
        <v>3239</v>
      </c>
      <c r="K43" s="7"/>
      <c r="L43" s="7"/>
      <c r="M43" s="7" t="s">
        <v>2738</v>
      </c>
      <c r="N43" s="7"/>
      <c r="O43" s="7" t="s">
        <v>2740</v>
      </c>
      <c r="P43" s="7" t="s">
        <v>5160</v>
      </c>
    </row>
    <row r="44" customFormat="false" ht="15" hidden="false" customHeight="false" outlineLevel="0" collapsed="false">
      <c r="A44" s="7" t="s">
        <v>9854</v>
      </c>
      <c r="B44" s="7" t="s">
        <v>10076</v>
      </c>
      <c r="C44" s="7" t="s">
        <v>26</v>
      </c>
      <c r="D44" s="7" t="s">
        <v>10077</v>
      </c>
      <c r="E44" s="7" t="s">
        <v>10078</v>
      </c>
      <c r="F44" s="7" t="s">
        <v>348</v>
      </c>
      <c r="G44" s="7" t="s">
        <v>10079</v>
      </c>
      <c r="H44" s="7" t="s">
        <v>8316</v>
      </c>
      <c r="I44" s="10" t="n">
        <v>3000</v>
      </c>
      <c r="J44" s="7" t="s">
        <v>3239</v>
      </c>
      <c r="K44" s="7"/>
      <c r="L44" s="7"/>
      <c r="M44" s="7" t="s">
        <v>2738</v>
      </c>
      <c r="N44" s="7"/>
      <c r="O44" s="7" t="s">
        <v>10080</v>
      </c>
      <c r="P44" s="7" t="s">
        <v>5124</v>
      </c>
    </row>
    <row r="45" customFormat="false" ht="15" hidden="false" customHeight="false" outlineLevel="0" collapsed="false">
      <c r="A45" s="7" t="s">
        <v>9854</v>
      </c>
      <c r="B45" s="7" t="s">
        <v>10081</v>
      </c>
      <c r="C45" s="7" t="s">
        <v>26</v>
      </c>
      <c r="D45" s="7" t="s">
        <v>5130</v>
      </c>
      <c r="E45" s="7" t="s">
        <v>8217</v>
      </c>
      <c r="F45" s="7" t="s">
        <v>854</v>
      </c>
      <c r="G45" s="7" t="s">
        <v>10082</v>
      </c>
      <c r="H45" s="7" t="s">
        <v>8316</v>
      </c>
      <c r="I45" s="10" t="n">
        <v>3000</v>
      </c>
      <c r="J45" s="7" t="s">
        <v>3239</v>
      </c>
      <c r="K45" s="7"/>
      <c r="L45" s="7"/>
      <c r="M45" s="7" t="s">
        <v>2738</v>
      </c>
      <c r="N45" s="7"/>
      <c r="O45" s="7" t="s">
        <v>10083</v>
      </c>
      <c r="P45" s="7" t="s">
        <v>2741</v>
      </c>
    </row>
    <row r="46" customFormat="false" ht="15" hidden="false" customHeight="false" outlineLevel="0" collapsed="false">
      <c r="A46" s="7" t="s">
        <v>9854</v>
      </c>
      <c r="B46" s="7" t="s">
        <v>10084</v>
      </c>
      <c r="C46" s="7" t="s">
        <v>26</v>
      </c>
      <c r="D46" s="7" t="s">
        <v>10085</v>
      </c>
      <c r="E46" s="7" t="s">
        <v>3819</v>
      </c>
      <c r="F46" s="7" t="s">
        <v>78</v>
      </c>
      <c r="G46" s="7" t="s">
        <v>10086</v>
      </c>
      <c r="H46" s="7" t="s">
        <v>8316</v>
      </c>
      <c r="I46" s="10" t="n">
        <v>5000</v>
      </c>
      <c r="J46" s="7" t="s">
        <v>69</v>
      </c>
      <c r="K46" s="7" t="s">
        <v>8755</v>
      </c>
      <c r="L46" s="7"/>
      <c r="M46" s="7" t="s">
        <v>2738</v>
      </c>
      <c r="N46" s="7"/>
      <c r="O46" s="7" t="s">
        <v>2740</v>
      </c>
      <c r="P46" s="7" t="s">
        <v>2755</v>
      </c>
    </row>
    <row r="47" customFormat="false" ht="15" hidden="false" customHeight="false" outlineLevel="0" collapsed="false">
      <c r="A47" s="7" t="s">
        <v>9854</v>
      </c>
      <c r="B47" s="7" t="s">
        <v>10087</v>
      </c>
      <c r="C47" s="7" t="s">
        <v>26</v>
      </c>
      <c r="D47" s="7" t="s">
        <v>5226</v>
      </c>
      <c r="E47" s="7" t="s">
        <v>4725</v>
      </c>
      <c r="F47" s="7" t="s">
        <v>250</v>
      </c>
      <c r="G47" s="7" t="s">
        <v>10088</v>
      </c>
      <c r="H47" s="7" t="s">
        <v>8316</v>
      </c>
      <c r="I47" s="10" t="n">
        <v>1800</v>
      </c>
      <c r="J47" s="7" t="s">
        <v>3239</v>
      </c>
      <c r="K47" s="7"/>
      <c r="L47" s="7"/>
      <c r="M47" s="7" t="s">
        <v>2738</v>
      </c>
      <c r="N47" s="7"/>
      <c r="O47" s="7" t="s">
        <v>2740</v>
      </c>
      <c r="P47" s="7" t="s">
        <v>5174</v>
      </c>
    </row>
    <row r="48" customFormat="false" ht="15" hidden="false" customHeight="false" outlineLevel="0" collapsed="false">
      <c r="A48" s="7" t="s">
        <v>9854</v>
      </c>
      <c r="B48" s="7" t="s">
        <v>10089</v>
      </c>
      <c r="C48" s="7" t="s">
        <v>26</v>
      </c>
      <c r="D48" s="7" t="s">
        <v>10090</v>
      </c>
      <c r="E48" s="7" t="s">
        <v>5523</v>
      </c>
      <c r="F48" s="7" t="s">
        <v>88</v>
      </c>
      <c r="G48" s="7" t="s">
        <v>10091</v>
      </c>
      <c r="H48" s="7" t="s">
        <v>8316</v>
      </c>
      <c r="I48" s="10" t="n">
        <v>1500</v>
      </c>
      <c r="J48" s="7" t="s">
        <v>3239</v>
      </c>
      <c r="K48" s="7"/>
      <c r="L48" s="7" t="s">
        <v>10092</v>
      </c>
      <c r="M48" s="7" t="s">
        <v>2738</v>
      </c>
      <c r="N48" s="7"/>
      <c r="O48" s="7" t="s">
        <v>2740</v>
      </c>
      <c r="P48" s="7" t="s">
        <v>2755</v>
      </c>
    </row>
    <row r="49" customFormat="false" ht="15" hidden="false" customHeight="false" outlineLevel="0" collapsed="false">
      <c r="A49" s="7" t="s">
        <v>9854</v>
      </c>
      <c r="B49" s="7" t="s">
        <v>10093</v>
      </c>
      <c r="C49" s="7" t="s">
        <v>26</v>
      </c>
      <c r="D49" s="7" t="s">
        <v>10094</v>
      </c>
      <c r="E49" s="7" t="s">
        <v>5364</v>
      </c>
      <c r="F49" s="7" t="s">
        <v>163</v>
      </c>
      <c r="G49" s="7" t="s">
        <v>10095</v>
      </c>
      <c r="H49" s="7" t="s">
        <v>8316</v>
      </c>
      <c r="I49" s="10" t="n">
        <v>2000</v>
      </c>
      <c r="J49" s="7" t="s">
        <v>69</v>
      </c>
      <c r="K49" s="7" t="s">
        <v>865</v>
      </c>
      <c r="L49" s="7"/>
      <c r="M49" s="7" t="s">
        <v>2738</v>
      </c>
      <c r="N49" s="7"/>
      <c r="O49" s="7" t="s">
        <v>2740</v>
      </c>
      <c r="P49" s="7" t="s">
        <v>5174</v>
      </c>
    </row>
    <row r="50" customFormat="false" ht="15" hidden="false" customHeight="false" outlineLevel="0" collapsed="false">
      <c r="A50" s="7" t="s">
        <v>9854</v>
      </c>
      <c r="B50" s="7" t="s">
        <v>10096</v>
      </c>
      <c r="C50" s="7" t="s">
        <v>26</v>
      </c>
      <c r="D50" s="7" t="s">
        <v>5157</v>
      </c>
      <c r="E50" s="7" t="s">
        <v>970</v>
      </c>
      <c r="F50" s="7" t="s">
        <v>250</v>
      </c>
      <c r="G50" s="7" t="s">
        <v>10097</v>
      </c>
      <c r="H50" s="7" t="s">
        <v>8316</v>
      </c>
      <c r="I50" s="10" t="n">
        <v>1200</v>
      </c>
      <c r="J50" s="7" t="s">
        <v>350</v>
      </c>
      <c r="K50" s="7"/>
      <c r="L50" s="7"/>
      <c r="M50" s="7" t="s">
        <v>2738</v>
      </c>
      <c r="N50" s="7"/>
      <c r="O50" s="7" t="s">
        <v>10098</v>
      </c>
      <c r="P50" s="7" t="s">
        <v>2755</v>
      </c>
    </row>
    <row r="51" customFormat="false" ht="15" hidden="false" customHeight="false" outlineLevel="0" collapsed="false">
      <c r="A51" s="7" t="s">
        <v>9854</v>
      </c>
      <c r="B51" s="7" t="s">
        <v>10099</v>
      </c>
      <c r="C51" s="7" t="s">
        <v>26</v>
      </c>
      <c r="D51" s="7" t="s">
        <v>5157</v>
      </c>
      <c r="E51" s="7" t="s">
        <v>2440</v>
      </c>
      <c r="F51" s="7" t="s">
        <v>97</v>
      </c>
      <c r="G51" s="7" t="s">
        <v>10100</v>
      </c>
      <c r="H51" s="7" t="s">
        <v>8316</v>
      </c>
      <c r="I51" s="10" t="n">
        <v>1800</v>
      </c>
      <c r="J51" s="7" t="s">
        <v>3239</v>
      </c>
      <c r="K51" s="7"/>
      <c r="L51" s="7"/>
      <c r="M51" s="7" t="s">
        <v>2738</v>
      </c>
      <c r="N51" s="7"/>
      <c r="O51" s="7" t="s">
        <v>10101</v>
      </c>
      <c r="P51" s="7" t="s">
        <v>5160</v>
      </c>
    </row>
    <row r="52" customFormat="false" ht="15" hidden="false" customHeight="false" outlineLevel="0" collapsed="false">
      <c r="A52" s="7" t="s">
        <v>9854</v>
      </c>
      <c r="B52" s="7" t="s">
        <v>10102</v>
      </c>
      <c r="C52" s="7" t="s">
        <v>26</v>
      </c>
      <c r="D52" s="7" t="s">
        <v>5208</v>
      </c>
      <c r="E52" s="7" t="s">
        <v>5653</v>
      </c>
      <c r="F52" s="7" t="s">
        <v>163</v>
      </c>
      <c r="G52" s="7" t="s">
        <v>10103</v>
      </c>
      <c r="H52" s="7" t="s">
        <v>8316</v>
      </c>
      <c r="I52" s="10" t="n">
        <v>1200</v>
      </c>
      <c r="J52" s="7" t="s">
        <v>517</v>
      </c>
      <c r="K52" s="7"/>
      <c r="L52" s="7"/>
      <c r="M52" s="7" t="s">
        <v>2738</v>
      </c>
      <c r="N52" s="7"/>
      <c r="O52" s="7" t="s">
        <v>5193</v>
      </c>
      <c r="P52" s="7" t="s">
        <v>5160</v>
      </c>
    </row>
    <row r="53" customFormat="false" ht="15" hidden="false" customHeight="false" outlineLevel="0" collapsed="false">
      <c r="A53" s="7" t="s">
        <v>9854</v>
      </c>
      <c r="B53" s="7" t="s">
        <v>10104</v>
      </c>
      <c r="C53" s="7" t="s">
        <v>26</v>
      </c>
      <c r="D53" s="7" t="s">
        <v>8766</v>
      </c>
      <c r="E53" s="7" t="s">
        <v>8156</v>
      </c>
      <c r="F53" s="7" t="s">
        <v>250</v>
      </c>
      <c r="G53" s="7" t="s">
        <v>10105</v>
      </c>
      <c r="H53" s="7" t="s">
        <v>8316</v>
      </c>
      <c r="I53" s="10" t="n">
        <v>1000</v>
      </c>
      <c r="J53" s="7" t="s">
        <v>69</v>
      </c>
      <c r="K53" s="7" t="s">
        <v>6469</v>
      </c>
      <c r="L53" s="7"/>
      <c r="M53" s="7" t="s">
        <v>2738</v>
      </c>
      <c r="N53" s="7"/>
      <c r="O53" s="7" t="s">
        <v>2740</v>
      </c>
      <c r="P53" s="7" t="s">
        <v>5194</v>
      </c>
    </row>
    <row r="54" customFormat="false" ht="15" hidden="false" customHeight="false" outlineLevel="0" collapsed="false">
      <c r="A54" s="7" t="s">
        <v>9854</v>
      </c>
      <c r="B54" s="7" t="s">
        <v>10106</v>
      </c>
      <c r="C54" s="7" t="s">
        <v>26</v>
      </c>
      <c r="D54" s="7" t="s">
        <v>10107</v>
      </c>
      <c r="E54" s="7" t="s">
        <v>8096</v>
      </c>
      <c r="F54" s="7" t="s">
        <v>779</v>
      </c>
      <c r="G54" s="7" t="s">
        <v>10108</v>
      </c>
      <c r="H54" s="7" t="s">
        <v>8316</v>
      </c>
      <c r="I54" s="10" t="n">
        <v>5000</v>
      </c>
      <c r="J54" s="7" t="s">
        <v>350</v>
      </c>
      <c r="K54" s="7"/>
      <c r="L54" s="7"/>
      <c r="M54" s="7" t="s">
        <v>8733</v>
      </c>
      <c r="N54" s="7"/>
      <c r="O54" s="7" t="s">
        <v>10109</v>
      </c>
      <c r="P54" s="7" t="s">
        <v>2741</v>
      </c>
    </row>
    <row r="55" customFormat="false" ht="15" hidden="false" customHeight="false" outlineLevel="0" collapsed="false">
      <c r="A55" s="7" t="s">
        <v>9854</v>
      </c>
      <c r="B55" s="7" t="s">
        <v>10110</v>
      </c>
      <c r="C55" s="7" t="s">
        <v>26</v>
      </c>
      <c r="D55" s="7" t="s">
        <v>10111</v>
      </c>
      <c r="E55" s="7" t="s">
        <v>10112</v>
      </c>
      <c r="F55" s="7" t="s">
        <v>296</v>
      </c>
      <c r="G55" s="7" t="s">
        <v>10113</v>
      </c>
      <c r="H55" s="7" t="s">
        <v>8316</v>
      </c>
      <c r="I55" s="10" t="n">
        <v>1200</v>
      </c>
      <c r="J55" s="7" t="s">
        <v>3239</v>
      </c>
      <c r="K55" s="7"/>
      <c r="L55" s="7"/>
      <c r="M55" s="7" t="s">
        <v>2738</v>
      </c>
      <c r="N55" s="7"/>
      <c r="O55" s="7" t="s">
        <v>2740</v>
      </c>
      <c r="P55" s="7" t="s">
        <v>5148</v>
      </c>
    </row>
    <row r="56" customFormat="false" ht="15" hidden="false" customHeight="false" outlineLevel="0" collapsed="false">
      <c r="A56" s="7" t="s">
        <v>9854</v>
      </c>
      <c r="B56" s="7" t="s">
        <v>10114</v>
      </c>
      <c r="C56" s="7" t="s">
        <v>26</v>
      </c>
      <c r="D56" s="7" t="s">
        <v>10115</v>
      </c>
      <c r="E56" s="7" t="s">
        <v>970</v>
      </c>
      <c r="F56" s="7" t="s">
        <v>250</v>
      </c>
      <c r="G56" s="7" t="s">
        <v>10116</v>
      </c>
      <c r="H56" s="7" t="s">
        <v>8316</v>
      </c>
      <c r="I56" s="10" t="n">
        <v>800</v>
      </c>
      <c r="J56" s="7" t="s">
        <v>350</v>
      </c>
      <c r="K56" s="7"/>
      <c r="L56" s="7"/>
      <c r="M56" s="7" t="s">
        <v>2738</v>
      </c>
      <c r="N56" s="7"/>
      <c r="O56" s="7" t="s">
        <v>10117</v>
      </c>
      <c r="P56" s="7" t="s">
        <v>2741</v>
      </c>
    </row>
    <row r="57" customFormat="false" ht="15" hidden="false" customHeight="false" outlineLevel="0" collapsed="false">
      <c r="A57" s="7" t="s">
        <v>9854</v>
      </c>
      <c r="B57" s="7" t="s">
        <v>10118</v>
      </c>
      <c r="C57" s="7" t="s">
        <v>26</v>
      </c>
      <c r="D57" s="7" t="s">
        <v>10119</v>
      </c>
      <c r="E57" s="7" t="s">
        <v>5479</v>
      </c>
      <c r="F57" s="7" t="s">
        <v>155</v>
      </c>
      <c r="G57" s="7" t="s">
        <v>10120</v>
      </c>
      <c r="H57" s="7" t="s">
        <v>8316</v>
      </c>
      <c r="I57" s="10" t="n">
        <v>2500</v>
      </c>
      <c r="J57" s="7" t="s">
        <v>69</v>
      </c>
      <c r="K57" s="7" t="s">
        <v>6703</v>
      </c>
      <c r="L57" s="7"/>
      <c r="M57" s="7" t="s">
        <v>1491</v>
      </c>
      <c r="N57" s="7"/>
      <c r="O57" s="7" t="s">
        <v>10121</v>
      </c>
      <c r="P57" s="7" t="s">
        <v>2747</v>
      </c>
    </row>
    <row r="58" customFormat="false" ht="15" hidden="false" customHeight="false" outlineLevel="0" collapsed="false">
      <c r="A58" s="7" t="s">
        <v>9854</v>
      </c>
      <c r="B58" s="7" t="s">
        <v>10122</v>
      </c>
      <c r="C58" s="7" t="s">
        <v>26</v>
      </c>
      <c r="D58" s="7" t="s">
        <v>5346</v>
      </c>
      <c r="E58" s="7" t="s">
        <v>10123</v>
      </c>
      <c r="F58" s="7" t="s">
        <v>610</v>
      </c>
      <c r="G58" s="7" t="s">
        <v>10124</v>
      </c>
      <c r="H58" s="7" t="s">
        <v>8316</v>
      </c>
      <c r="I58" s="10" t="n">
        <v>5000</v>
      </c>
      <c r="J58" s="7" t="s">
        <v>377</v>
      </c>
      <c r="K58" s="7"/>
      <c r="L58" s="7" t="s">
        <v>10125</v>
      </c>
      <c r="M58" s="7" t="s">
        <v>2738</v>
      </c>
      <c r="N58" s="7"/>
      <c r="O58" s="7"/>
      <c r="P58" s="7" t="s">
        <v>5174</v>
      </c>
    </row>
    <row r="59" customFormat="false" ht="15" hidden="false" customHeight="false" outlineLevel="0" collapsed="false">
      <c r="A59" s="7" t="s">
        <v>9854</v>
      </c>
      <c r="B59" s="7" t="s">
        <v>10126</v>
      </c>
      <c r="C59" s="7" t="s">
        <v>26</v>
      </c>
      <c r="D59" s="7" t="s">
        <v>10071</v>
      </c>
      <c r="E59" s="7" t="s">
        <v>4280</v>
      </c>
      <c r="F59" s="7" t="s">
        <v>348</v>
      </c>
      <c r="G59" s="7" t="s">
        <v>10127</v>
      </c>
      <c r="H59" s="7" t="s">
        <v>8316</v>
      </c>
      <c r="I59" s="10" t="n">
        <v>3000</v>
      </c>
      <c r="J59" s="7" t="s">
        <v>69</v>
      </c>
      <c r="K59" s="7" t="s">
        <v>2078</v>
      </c>
      <c r="L59" s="7"/>
      <c r="M59" s="7" t="s">
        <v>2738</v>
      </c>
      <c r="N59" s="7"/>
      <c r="O59" s="7" t="s">
        <v>10128</v>
      </c>
      <c r="P59" s="7" t="s">
        <v>2741</v>
      </c>
    </row>
    <row r="60" customFormat="false" ht="15" hidden="false" customHeight="false" outlineLevel="0" collapsed="false">
      <c r="A60" s="7" t="s">
        <v>9854</v>
      </c>
      <c r="B60" s="7" t="s">
        <v>10129</v>
      </c>
      <c r="C60" s="7" t="s">
        <v>26</v>
      </c>
      <c r="D60" s="7" t="s">
        <v>10130</v>
      </c>
      <c r="E60" s="7" t="s">
        <v>479</v>
      </c>
      <c r="F60" s="7" t="s">
        <v>480</v>
      </c>
      <c r="G60" s="7" t="s">
        <v>10131</v>
      </c>
      <c r="H60" s="7" t="s">
        <v>8316</v>
      </c>
      <c r="I60" s="10" t="n">
        <v>2500</v>
      </c>
      <c r="J60" s="7" t="s">
        <v>69</v>
      </c>
      <c r="K60" s="7" t="s">
        <v>10132</v>
      </c>
      <c r="L60" s="7" t="s">
        <v>10133</v>
      </c>
      <c r="M60" s="7" t="s">
        <v>2738</v>
      </c>
      <c r="N60" s="7"/>
      <c r="O60" s="7" t="s">
        <v>2740</v>
      </c>
      <c r="P60" s="7" t="s">
        <v>2741</v>
      </c>
    </row>
    <row r="61" customFormat="false" ht="15" hidden="false" customHeight="false" outlineLevel="0" collapsed="false">
      <c r="A61" s="7" t="s">
        <v>9854</v>
      </c>
      <c r="B61" s="7" t="s">
        <v>10134</v>
      </c>
      <c r="C61" s="7" t="s">
        <v>26</v>
      </c>
      <c r="D61" s="7" t="s">
        <v>10135</v>
      </c>
      <c r="E61" s="7" t="s">
        <v>10136</v>
      </c>
      <c r="F61" s="7" t="s">
        <v>105</v>
      </c>
      <c r="G61" s="7" t="s">
        <v>10137</v>
      </c>
      <c r="H61" s="7" t="s">
        <v>8316</v>
      </c>
      <c r="I61" s="10" t="n">
        <v>3500</v>
      </c>
      <c r="J61" s="7" t="s">
        <v>69</v>
      </c>
      <c r="K61" s="7" t="s">
        <v>10138</v>
      </c>
      <c r="L61" s="7"/>
      <c r="M61" s="7" t="s">
        <v>10139</v>
      </c>
      <c r="N61" s="7"/>
      <c r="O61" s="7" t="s">
        <v>10140</v>
      </c>
      <c r="P61" s="7" t="s">
        <v>5124</v>
      </c>
    </row>
    <row r="62" customFormat="false" ht="15" hidden="false" customHeight="false" outlineLevel="0" collapsed="false">
      <c r="A62" s="7" t="s">
        <v>9854</v>
      </c>
      <c r="B62" s="7" t="s">
        <v>10141</v>
      </c>
      <c r="C62" s="7" t="s">
        <v>27</v>
      </c>
      <c r="D62" s="7" t="s">
        <v>10142</v>
      </c>
      <c r="E62" s="7" t="s">
        <v>4725</v>
      </c>
      <c r="F62" s="7" t="s">
        <v>250</v>
      </c>
      <c r="G62" s="7" t="s">
        <v>10143</v>
      </c>
      <c r="H62" s="7" t="s">
        <v>8316</v>
      </c>
      <c r="I62" s="10" t="n">
        <v>4500</v>
      </c>
      <c r="J62" s="7" t="s">
        <v>69</v>
      </c>
      <c r="K62" s="7" t="s">
        <v>9820</v>
      </c>
      <c r="L62" s="7" t="s">
        <v>10144</v>
      </c>
      <c r="M62" s="7" t="s">
        <v>5250</v>
      </c>
      <c r="N62" s="7"/>
      <c r="O62" s="7" t="s">
        <v>10145</v>
      </c>
      <c r="P62" s="7" t="s">
        <v>10146</v>
      </c>
    </row>
    <row r="63" customFormat="false" ht="15" hidden="false" customHeight="false" outlineLevel="0" collapsed="false">
      <c r="A63" s="7" t="s">
        <v>9854</v>
      </c>
      <c r="B63" s="7" t="s">
        <v>10147</v>
      </c>
      <c r="C63" s="7" t="s">
        <v>27</v>
      </c>
      <c r="D63" s="7" t="s">
        <v>10148</v>
      </c>
      <c r="E63" s="7" t="s">
        <v>112</v>
      </c>
      <c r="F63" s="7" t="s">
        <v>113</v>
      </c>
      <c r="G63" s="7" t="s">
        <v>10149</v>
      </c>
      <c r="H63" s="7" t="s">
        <v>8316</v>
      </c>
      <c r="I63" s="10" t="n">
        <v>4000</v>
      </c>
      <c r="J63" s="7" t="s">
        <v>350</v>
      </c>
      <c r="K63" s="7"/>
      <c r="L63" s="7" t="s">
        <v>10150</v>
      </c>
      <c r="M63" s="7" t="s">
        <v>5250</v>
      </c>
      <c r="N63" s="7"/>
      <c r="O63" s="7" t="s">
        <v>10151</v>
      </c>
      <c r="P63" s="7" t="s">
        <v>10152</v>
      </c>
    </row>
    <row r="64" customFormat="false" ht="15" hidden="false" customHeight="false" outlineLevel="0" collapsed="false">
      <c r="A64" s="7" t="s">
        <v>9854</v>
      </c>
      <c r="B64" s="7" t="s">
        <v>10153</v>
      </c>
      <c r="C64" s="7" t="s">
        <v>27</v>
      </c>
      <c r="D64" s="7" t="s">
        <v>5571</v>
      </c>
      <c r="E64" s="7" t="s">
        <v>278</v>
      </c>
      <c r="F64" s="7" t="s">
        <v>78</v>
      </c>
      <c r="G64" s="7" t="s">
        <v>10154</v>
      </c>
      <c r="H64" s="7" t="s">
        <v>8316</v>
      </c>
      <c r="I64" s="10" t="n">
        <v>200</v>
      </c>
      <c r="J64" s="7" t="s">
        <v>69</v>
      </c>
      <c r="K64" s="7" t="s">
        <v>1775</v>
      </c>
      <c r="L64" s="7" t="s">
        <v>10155</v>
      </c>
      <c r="M64" s="7" t="s">
        <v>2760</v>
      </c>
      <c r="N64" s="7"/>
      <c r="O64" s="7" t="s">
        <v>10156</v>
      </c>
      <c r="P64" s="7" t="s">
        <v>2769</v>
      </c>
    </row>
    <row r="65" customFormat="false" ht="15" hidden="false" customHeight="false" outlineLevel="0" collapsed="false">
      <c r="A65" s="7" t="s">
        <v>9854</v>
      </c>
      <c r="B65" s="7" t="s">
        <v>10157</v>
      </c>
      <c r="C65" s="7" t="s">
        <v>27</v>
      </c>
      <c r="D65" s="7" t="s">
        <v>5412</v>
      </c>
      <c r="E65" s="7" t="s">
        <v>65</v>
      </c>
      <c r="F65" s="7" t="s">
        <v>66</v>
      </c>
      <c r="G65" s="7" t="s">
        <v>10158</v>
      </c>
      <c r="H65" s="7" t="s">
        <v>8316</v>
      </c>
      <c r="I65" s="10" t="n">
        <v>12000</v>
      </c>
      <c r="J65" s="7" t="s">
        <v>69</v>
      </c>
      <c r="K65" s="7" t="s">
        <v>10159</v>
      </c>
      <c r="L65" s="7" t="s">
        <v>10160</v>
      </c>
      <c r="M65" s="7" t="s">
        <v>1491</v>
      </c>
      <c r="N65" s="7"/>
      <c r="O65" s="7" t="s">
        <v>10161</v>
      </c>
      <c r="P65" s="7" t="s">
        <v>10162</v>
      </c>
    </row>
    <row r="66" customFormat="false" ht="15" hidden="false" customHeight="false" outlineLevel="0" collapsed="false">
      <c r="A66" s="7" t="s">
        <v>9854</v>
      </c>
      <c r="B66" s="7" t="s">
        <v>10163</v>
      </c>
      <c r="C66" s="7" t="s">
        <v>27</v>
      </c>
      <c r="D66" s="7" t="s">
        <v>10164</v>
      </c>
      <c r="E66" s="7" t="s">
        <v>2835</v>
      </c>
      <c r="F66" s="7" t="s">
        <v>113</v>
      </c>
      <c r="G66" s="7" t="s">
        <v>10165</v>
      </c>
      <c r="H66" s="7" t="s">
        <v>8316</v>
      </c>
      <c r="I66" s="10" t="n">
        <v>55000</v>
      </c>
      <c r="J66" s="7" t="s">
        <v>3239</v>
      </c>
      <c r="K66" s="7"/>
      <c r="L66" s="7" t="s">
        <v>10166</v>
      </c>
      <c r="M66" s="7" t="s">
        <v>1491</v>
      </c>
      <c r="N66" s="7"/>
      <c r="O66" s="7" t="s">
        <v>10167</v>
      </c>
      <c r="P66" s="7" t="s">
        <v>10168</v>
      </c>
    </row>
    <row r="67" customFormat="false" ht="15" hidden="false" customHeight="false" outlineLevel="0" collapsed="false">
      <c r="A67" s="7" t="s">
        <v>9854</v>
      </c>
      <c r="B67" s="7" t="s">
        <v>10169</v>
      </c>
      <c r="C67" s="7" t="s">
        <v>27</v>
      </c>
      <c r="D67" s="7" t="s">
        <v>5756</v>
      </c>
      <c r="E67" s="7" t="s">
        <v>723</v>
      </c>
      <c r="F67" s="7" t="s">
        <v>105</v>
      </c>
      <c r="G67" s="7" t="s">
        <v>10170</v>
      </c>
      <c r="H67" s="7" t="s">
        <v>8316</v>
      </c>
      <c r="I67" s="10" t="n">
        <v>20000</v>
      </c>
      <c r="J67" s="7" t="s">
        <v>386</v>
      </c>
      <c r="K67" s="7"/>
      <c r="L67" s="7"/>
      <c r="M67" s="7" t="s">
        <v>1491</v>
      </c>
      <c r="N67" s="7"/>
      <c r="O67" s="7" t="s">
        <v>10171</v>
      </c>
      <c r="P67" s="7" t="s">
        <v>10172</v>
      </c>
    </row>
    <row r="68" customFormat="false" ht="15" hidden="false" customHeight="false" outlineLevel="0" collapsed="false">
      <c r="A68" s="7" t="s">
        <v>9854</v>
      </c>
      <c r="B68" s="7" t="s">
        <v>10173</v>
      </c>
      <c r="C68" s="7" t="s">
        <v>27</v>
      </c>
      <c r="D68" s="7" t="s">
        <v>10174</v>
      </c>
      <c r="E68" s="7" t="s">
        <v>1158</v>
      </c>
      <c r="F68" s="7" t="s">
        <v>78</v>
      </c>
      <c r="G68" s="7" t="s">
        <v>10175</v>
      </c>
      <c r="H68" s="7" t="s">
        <v>8316</v>
      </c>
      <c r="I68" s="10" t="n">
        <v>10000</v>
      </c>
      <c r="J68" s="7" t="s">
        <v>69</v>
      </c>
      <c r="K68" s="7" t="s">
        <v>10176</v>
      </c>
      <c r="L68" s="7" t="s">
        <v>10177</v>
      </c>
      <c r="M68" s="7" t="s">
        <v>1491</v>
      </c>
      <c r="N68" s="7"/>
      <c r="O68" s="7" t="s">
        <v>10178</v>
      </c>
      <c r="P68" s="7" t="s">
        <v>10179</v>
      </c>
    </row>
    <row r="69" customFormat="false" ht="15" hidden="false" customHeight="false" outlineLevel="0" collapsed="false">
      <c r="A69" s="7" t="s">
        <v>9854</v>
      </c>
      <c r="B69" s="7" t="s">
        <v>10180</v>
      </c>
      <c r="C69" s="7" t="s">
        <v>27</v>
      </c>
      <c r="D69" s="7" t="s">
        <v>10181</v>
      </c>
      <c r="E69" s="7" t="s">
        <v>104</v>
      </c>
      <c r="F69" s="7" t="s">
        <v>105</v>
      </c>
      <c r="G69" s="7" t="s">
        <v>10182</v>
      </c>
      <c r="H69" s="7" t="s">
        <v>8316</v>
      </c>
      <c r="I69" s="10" t="n">
        <v>2000</v>
      </c>
      <c r="J69" s="7" t="s">
        <v>350</v>
      </c>
      <c r="K69" s="7"/>
      <c r="L69" s="7" t="s">
        <v>10183</v>
      </c>
      <c r="M69" s="7" t="s">
        <v>2760</v>
      </c>
      <c r="N69" s="7"/>
      <c r="O69" s="7" t="s">
        <v>10184</v>
      </c>
      <c r="P69" s="7" t="s">
        <v>10185</v>
      </c>
    </row>
    <row r="70" customFormat="false" ht="15" hidden="false" customHeight="false" outlineLevel="0" collapsed="false">
      <c r="A70" s="7" t="s">
        <v>9854</v>
      </c>
      <c r="B70" s="7" t="s">
        <v>10186</v>
      </c>
      <c r="C70" s="7" t="s">
        <v>27</v>
      </c>
      <c r="D70" s="7" t="s">
        <v>5446</v>
      </c>
      <c r="E70" s="7" t="s">
        <v>2458</v>
      </c>
      <c r="F70" s="7" t="s">
        <v>338</v>
      </c>
      <c r="G70" s="7" t="s">
        <v>10187</v>
      </c>
      <c r="H70" s="7" t="s">
        <v>8316</v>
      </c>
      <c r="I70" s="10" t="n">
        <v>15000</v>
      </c>
      <c r="J70" s="7" t="s">
        <v>350</v>
      </c>
      <c r="K70" s="7"/>
      <c r="L70" s="7" t="s">
        <v>10188</v>
      </c>
      <c r="M70" s="7" t="s">
        <v>1491</v>
      </c>
      <c r="N70" s="7"/>
      <c r="O70" s="7" t="s">
        <v>10189</v>
      </c>
      <c r="P70" s="7" t="s">
        <v>5410</v>
      </c>
    </row>
    <row r="71" customFormat="false" ht="15" hidden="false" customHeight="false" outlineLevel="0" collapsed="false">
      <c r="A71" s="7" t="s">
        <v>9854</v>
      </c>
      <c r="B71" s="7" t="s">
        <v>10190</v>
      </c>
      <c r="C71" s="7" t="s">
        <v>27</v>
      </c>
      <c r="D71" s="7" t="s">
        <v>10191</v>
      </c>
      <c r="E71" s="7" t="s">
        <v>112</v>
      </c>
      <c r="F71" s="7" t="s">
        <v>113</v>
      </c>
      <c r="G71" s="7" t="s">
        <v>10192</v>
      </c>
      <c r="H71" s="7" t="s">
        <v>8316</v>
      </c>
      <c r="I71" s="10" t="n">
        <v>20000</v>
      </c>
      <c r="J71" s="7" t="s">
        <v>350</v>
      </c>
      <c r="K71" s="7"/>
      <c r="L71" s="7" t="s">
        <v>10193</v>
      </c>
      <c r="M71" s="7" t="s">
        <v>1491</v>
      </c>
      <c r="N71" s="7"/>
      <c r="O71" s="7" t="s">
        <v>10194</v>
      </c>
      <c r="P71" s="7" t="s">
        <v>10195</v>
      </c>
    </row>
    <row r="72" customFormat="false" ht="15" hidden="false" customHeight="false" outlineLevel="0" collapsed="false">
      <c r="A72" s="7" t="s">
        <v>9854</v>
      </c>
      <c r="B72" s="7" t="s">
        <v>10196</v>
      </c>
      <c r="C72" s="7" t="s">
        <v>27</v>
      </c>
      <c r="D72" s="7" t="s">
        <v>10197</v>
      </c>
      <c r="E72" s="7" t="s">
        <v>10198</v>
      </c>
      <c r="F72" s="7" t="s">
        <v>222</v>
      </c>
      <c r="G72" s="7" t="s">
        <v>10199</v>
      </c>
      <c r="H72" s="7" t="s">
        <v>8316</v>
      </c>
      <c r="I72" s="10" t="n">
        <v>1000</v>
      </c>
      <c r="J72" s="7" t="s">
        <v>69</v>
      </c>
      <c r="K72" s="7" t="s">
        <v>115</v>
      </c>
      <c r="L72" s="7" t="s">
        <v>10200</v>
      </c>
      <c r="M72" s="7" t="s">
        <v>2760</v>
      </c>
      <c r="N72" s="7"/>
      <c r="O72" s="7" t="s">
        <v>10201</v>
      </c>
      <c r="P72" s="7" t="s">
        <v>10202</v>
      </c>
    </row>
    <row r="73" customFormat="false" ht="15" hidden="false" customHeight="false" outlineLevel="0" collapsed="false">
      <c r="A73" s="7" t="s">
        <v>9854</v>
      </c>
      <c r="B73" s="7" t="s">
        <v>10203</v>
      </c>
      <c r="C73" s="7" t="s">
        <v>27</v>
      </c>
      <c r="D73" s="7" t="s">
        <v>10204</v>
      </c>
      <c r="E73" s="7" t="s">
        <v>10205</v>
      </c>
      <c r="F73" s="7" t="s">
        <v>172</v>
      </c>
      <c r="G73" s="7" t="s">
        <v>10206</v>
      </c>
      <c r="H73" s="7" t="s">
        <v>8316</v>
      </c>
      <c r="I73" s="10" t="n">
        <v>300</v>
      </c>
      <c r="J73" s="7" t="s">
        <v>350</v>
      </c>
      <c r="K73" s="7"/>
      <c r="L73" s="7" t="s">
        <v>10207</v>
      </c>
      <c r="M73" s="7" t="s">
        <v>2760</v>
      </c>
      <c r="N73" s="7"/>
      <c r="O73" s="7" t="s">
        <v>10208</v>
      </c>
      <c r="P73" s="7" t="s">
        <v>10209</v>
      </c>
    </row>
    <row r="74" customFormat="false" ht="15" hidden="false" customHeight="false" outlineLevel="0" collapsed="false">
      <c r="A74" s="7" t="s">
        <v>9854</v>
      </c>
      <c r="B74" s="7" t="s">
        <v>10210</v>
      </c>
      <c r="C74" s="7" t="s">
        <v>27</v>
      </c>
      <c r="D74" s="7" t="s">
        <v>5412</v>
      </c>
      <c r="E74" s="7" t="s">
        <v>347</v>
      </c>
      <c r="F74" s="7" t="s">
        <v>348</v>
      </c>
      <c r="G74" s="7" t="s">
        <v>10211</v>
      </c>
      <c r="H74" s="7" t="s">
        <v>8316</v>
      </c>
      <c r="I74" s="10" t="n">
        <v>30000</v>
      </c>
      <c r="J74" s="7" t="s">
        <v>350</v>
      </c>
      <c r="K74" s="7"/>
      <c r="L74" s="7" t="s">
        <v>10212</v>
      </c>
      <c r="M74" s="7" t="s">
        <v>1491</v>
      </c>
      <c r="N74" s="7"/>
      <c r="O74" s="7" t="s">
        <v>10213</v>
      </c>
      <c r="P74" s="7" t="s">
        <v>5410</v>
      </c>
    </row>
    <row r="75" customFormat="false" ht="15" hidden="false" customHeight="false" outlineLevel="0" collapsed="false">
      <c r="A75" s="7" t="s">
        <v>9854</v>
      </c>
      <c r="B75" s="7" t="s">
        <v>10214</v>
      </c>
      <c r="C75" s="7" t="s">
        <v>27</v>
      </c>
      <c r="D75" s="7" t="s">
        <v>10215</v>
      </c>
      <c r="E75" s="7" t="s">
        <v>6798</v>
      </c>
      <c r="F75" s="7" t="s">
        <v>1789</v>
      </c>
      <c r="G75" s="7" t="s">
        <v>10216</v>
      </c>
      <c r="H75" s="7" t="s">
        <v>8316</v>
      </c>
      <c r="I75" s="10" t="n">
        <v>4500</v>
      </c>
      <c r="J75" s="7" t="s">
        <v>3239</v>
      </c>
      <c r="K75" s="7"/>
      <c r="L75" s="7" t="s">
        <v>10217</v>
      </c>
      <c r="M75" s="7" t="s">
        <v>1491</v>
      </c>
      <c r="N75" s="7"/>
      <c r="O75" s="7" t="s">
        <v>10218</v>
      </c>
      <c r="P75" s="7" t="s">
        <v>10219</v>
      </c>
    </row>
    <row r="76" customFormat="false" ht="15" hidden="false" customHeight="false" outlineLevel="0" collapsed="false">
      <c r="A76" s="7" t="s">
        <v>9854</v>
      </c>
      <c r="B76" s="7" t="s">
        <v>10220</v>
      </c>
      <c r="C76" s="7" t="s">
        <v>27</v>
      </c>
      <c r="D76" s="7" t="s">
        <v>5451</v>
      </c>
      <c r="E76" s="7" t="s">
        <v>1579</v>
      </c>
      <c r="F76" s="7" t="s">
        <v>854</v>
      </c>
      <c r="G76" s="7" t="s">
        <v>10221</v>
      </c>
      <c r="H76" s="7" t="s">
        <v>8316</v>
      </c>
      <c r="I76" s="10" t="n">
        <v>4000</v>
      </c>
      <c r="J76" s="7" t="s">
        <v>69</v>
      </c>
      <c r="K76" s="7" t="s">
        <v>1853</v>
      </c>
      <c r="L76" s="7"/>
      <c r="M76" s="7" t="s">
        <v>5250</v>
      </c>
      <c r="N76" s="7"/>
      <c r="O76" s="7" t="s">
        <v>10222</v>
      </c>
      <c r="P76" s="7" t="s">
        <v>10223</v>
      </c>
    </row>
    <row r="77" customFormat="false" ht="15" hidden="false" customHeight="false" outlineLevel="0" collapsed="false">
      <c r="A77" s="7" t="s">
        <v>9854</v>
      </c>
      <c r="B77" s="7" t="s">
        <v>10224</v>
      </c>
      <c r="C77" s="7" t="s">
        <v>27</v>
      </c>
      <c r="D77" s="7" t="s">
        <v>10225</v>
      </c>
      <c r="E77" s="7" t="s">
        <v>10226</v>
      </c>
      <c r="F77" s="7" t="s">
        <v>172</v>
      </c>
      <c r="G77" s="7" t="s">
        <v>10227</v>
      </c>
      <c r="H77" s="7" t="s">
        <v>8316</v>
      </c>
      <c r="I77" s="10" t="n">
        <v>5000</v>
      </c>
      <c r="J77" s="7" t="s">
        <v>69</v>
      </c>
      <c r="K77" s="7" t="s">
        <v>6703</v>
      </c>
      <c r="L77" s="7" t="s">
        <v>10228</v>
      </c>
      <c r="M77" s="7" t="s">
        <v>10229</v>
      </c>
      <c r="N77" s="7"/>
      <c r="O77" s="7" t="s">
        <v>10230</v>
      </c>
      <c r="P77" s="7" t="s">
        <v>10231</v>
      </c>
    </row>
    <row r="78" customFormat="false" ht="15" hidden="false" customHeight="false" outlineLevel="0" collapsed="false">
      <c r="A78" s="7" t="s">
        <v>9854</v>
      </c>
      <c r="B78" s="7" t="s">
        <v>10232</v>
      </c>
      <c r="C78" s="7" t="s">
        <v>27</v>
      </c>
      <c r="D78" s="7" t="s">
        <v>8809</v>
      </c>
      <c r="E78" s="7" t="s">
        <v>249</v>
      </c>
      <c r="F78" s="7" t="s">
        <v>250</v>
      </c>
      <c r="G78" s="7" t="s">
        <v>10233</v>
      </c>
      <c r="H78" s="7" t="s">
        <v>8316</v>
      </c>
      <c r="I78" s="10" t="n">
        <v>30000</v>
      </c>
      <c r="J78" s="7" t="s">
        <v>350</v>
      </c>
      <c r="K78" s="7"/>
      <c r="L78" s="7" t="s">
        <v>10234</v>
      </c>
      <c r="M78" s="7" t="s">
        <v>1491</v>
      </c>
      <c r="N78" s="7"/>
      <c r="O78" s="7" t="s">
        <v>10235</v>
      </c>
      <c r="P78" s="7" t="s">
        <v>10236</v>
      </c>
    </row>
    <row r="79" customFormat="false" ht="15" hidden="false" customHeight="false" outlineLevel="0" collapsed="false">
      <c r="A79" s="7" t="s">
        <v>9854</v>
      </c>
      <c r="B79" s="7" t="s">
        <v>10237</v>
      </c>
      <c r="C79" s="7" t="s">
        <v>27</v>
      </c>
      <c r="D79" s="7" t="s">
        <v>5571</v>
      </c>
      <c r="E79" s="7" t="s">
        <v>65</v>
      </c>
      <c r="F79" s="7" t="s">
        <v>66</v>
      </c>
      <c r="G79" s="7" t="s">
        <v>10238</v>
      </c>
      <c r="H79" s="7" t="s">
        <v>8316</v>
      </c>
      <c r="I79" s="10" t="n">
        <v>300</v>
      </c>
      <c r="J79" s="7" t="s">
        <v>69</v>
      </c>
      <c r="K79" s="7" t="s">
        <v>115</v>
      </c>
      <c r="L79" s="7" t="s">
        <v>10239</v>
      </c>
      <c r="M79" s="7" t="s">
        <v>2760</v>
      </c>
      <c r="N79" s="7"/>
      <c r="O79" s="7" t="s">
        <v>10240</v>
      </c>
      <c r="P79" s="7" t="s">
        <v>10241</v>
      </c>
    </row>
    <row r="80" customFormat="false" ht="15" hidden="false" customHeight="false" outlineLevel="0" collapsed="false">
      <c r="A80" s="7" t="s">
        <v>9854</v>
      </c>
      <c r="B80" s="7" t="s">
        <v>10242</v>
      </c>
      <c r="C80" s="7" t="s">
        <v>27</v>
      </c>
      <c r="D80" s="7" t="s">
        <v>5731</v>
      </c>
      <c r="E80" s="7" t="s">
        <v>154</v>
      </c>
      <c r="F80" s="7" t="s">
        <v>155</v>
      </c>
      <c r="G80" s="7" t="s">
        <v>10243</v>
      </c>
      <c r="H80" s="7" t="s">
        <v>8316</v>
      </c>
      <c r="I80" s="10" t="n">
        <v>4000</v>
      </c>
      <c r="J80" s="7" t="s">
        <v>69</v>
      </c>
      <c r="K80" s="7" t="s">
        <v>10244</v>
      </c>
      <c r="L80" s="7"/>
      <c r="M80" s="7" t="s">
        <v>5250</v>
      </c>
      <c r="N80" s="7"/>
      <c r="O80" s="7" t="s">
        <v>10245</v>
      </c>
      <c r="P80" s="7" t="s">
        <v>10246</v>
      </c>
    </row>
    <row r="81" customFormat="false" ht="15" hidden="false" customHeight="false" outlineLevel="0" collapsed="false">
      <c r="A81" s="7" t="s">
        <v>9854</v>
      </c>
      <c r="B81" s="7" t="s">
        <v>10247</v>
      </c>
      <c r="C81" s="7" t="s">
        <v>27</v>
      </c>
      <c r="D81" s="7" t="s">
        <v>10248</v>
      </c>
      <c r="E81" s="7" t="s">
        <v>4725</v>
      </c>
      <c r="F81" s="7" t="s">
        <v>250</v>
      </c>
      <c r="G81" s="7" t="s">
        <v>10249</v>
      </c>
      <c r="H81" s="7" t="s">
        <v>8316</v>
      </c>
      <c r="I81" s="10" t="n">
        <v>50000</v>
      </c>
      <c r="J81" s="7" t="s">
        <v>69</v>
      </c>
      <c r="K81" s="7" t="s">
        <v>1662</v>
      </c>
      <c r="L81" s="7" t="s">
        <v>10250</v>
      </c>
      <c r="M81" s="7" t="s">
        <v>1491</v>
      </c>
      <c r="N81" s="7"/>
      <c r="O81" s="7" t="s">
        <v>10251</v>
      </c>
      <c r="P81" s="7" t="s">
        <v>10252</v>
      </c>
    </row>
    <row r="82" customFormat="false" ht="15" hidden="false" customHeight="false" outlineLevel="0" collapsed="false">
      <c r="A82" s="7" t="s">
        <v>9854</v>
      </c>
      <c r="B82" s="7" t="s">
        <v>10253</v>
      </c>
      <c r="C82" s="7" t="s">
        <v>27</v>
      </c>
      <c r="D82" s="7" t="s">
        <v>10254</v>
      </c>
      <c r="E82" s="7" t="s">
        <v>6943</v>
      </c>
      <c r="F82" s="7" t="s">
        <v>155</v>
      </c>
      <c r="G82" s="7" t="s">
        <v>10255</v>
      </c>
      <c r="H82" s="7" t="s">
        <v>8316</v>
      </c>
      <c r="I82" s="10" t="n">
        <v>4000</v>
      </c>
      <c r="J82" s="7" t="s">
        <v>69</v>
      </c>
      <c r="K82" s="7" t="s">
        <v>10256</v>
      </c>
      <c r="L82" s="7"/>
      <c r="M82" s="7" t="s">
        <v>1491</v>
      </c>
      <c r="N82" s="7"/>
      <c r="O82" s="7" t="s">
        <v>10257</v>
      </c>
      <c r="P82" s="7" t="s">
        <v>10258</v>
      </c>
    </row>
    <row r="83" customFormat="false" ht="15" hidden="false" customHeight="false" outlineLevel="0" collapsed="false">
      <c r="A83" s="7" t="s">
        <v>9854</v>
      </c>
      <c r="B83" s="7" t="s">
        <v>10259</v>
      </c>
      <c r="C83" s="7" t="s">
        <v>27</v>
      </c>
      <c r="D83" s="7" t="s">
        <v>8809</v>
      </c>
      <c r="E83" s="7" t="s">
        <v>863</v>
      </c>
      <c r="F83" s="7" t="s">
        <v>78</v>
      </c>
      <c r="G83" s="7" t="s">
        <v>10260</v>
      </c>
      <c r="H83" s="7" t="s">
        <v>8316</v>
      </c>
      <c r="I83" s="10" t="n">
        <v>20000</v>
      </c>
      <c r="J83" s="7" t="s">
        <v>350</v>
      </c>
      <c r="K83" s="7"/>
      <c r="L83" s="7" t="s">
        <v>10261</v>
      </c>
      <c r="M83" s="7" t="s">
        <v>1491</v>
      </c>
      <c r="N83" s="7"/>
      <c r="O83" s="7" t="s">
        <v>10262</v>
      </c>
      <c r="P83" s="7" t="s">
        <v>2769</v>
      </c>
    </row>
    <row r="84" customFormat="false" ht="15" hidden="false" customHeight="false" outlineLevel="0" collapsed="false">
      <c r="A84" s="7" t="s">
        <v>9854</v>
      </c>
      <c r="B84" s="7" t="s">
        <v>10263</v>
      </c>
      <c r="C84" s="7" t="s">
        <v>27</v>
      </c>
      <c r="D84" s="7" t="s">
        <v>2757</v>
      </c>
      <c r="E84" s="7" t="s">
        <v>7311</v>
      </c>
      <c r="F84" s="7" t="s">
        <v>66</v>
      </c>
      <c r="G84" s="7" t="s">
        <v>10264</v>
      </c>
      <c r="H84" s="7" t="s">
        <v>8316</v>
      </c>
      <c r="I84" s="10" t="n">
        <v>1000</v>
      </c>
      <c r="J84" s="7" t="s">
        <v>69</v>
      </c>
      <c r="K84" s="7" t="s">
        <v>799</v>
      </c>
      <c r="L84" s="7" t="s">
        <v>10265</v>
      </c>
      <c r="M84" s="7" t="s">
        <v>2760</v>
      </c>
      <c r="N84" s="7"/>
      <c r="O84" s="7" t="s">
        <v>10266</v>
      </c>
      <c r="P84" s="7" t="s">
        <v>10267</v>
      </c>
    </row>
    <row r="85" customFormat="false" ht="15" hidden="false" customHeight="false" outlineLevel="0" collapsed="false">
      <c r="A85" s="7" t="s">
        <v>9854</v>
      </c>
      <c r="B85" s="7" t="s">
        <v>10268</v>
      </c>
      <c r="C85" s="7" t="s">
        <v>30</v>
      </c>
      <c r="D85" s="7" t="s">
        <v>10269</v>
      </c>
      <c r="E85" s="7" t="s">
        <v>10270</v>
      </c>
      <c r="F85" s="7" t="s">
        <v>250</v>
      </c>
      <c r="G85" s="7" t="s">
        <v>10271</v>
      </c>
      <c r="H85" s="7" t="s">
        <v>8316</v>
      </c>
      <c r="I85" s="10" t="n">
        <v>4200</v>
      </c>
      <c r="J85" s="7" t="s">
        <v>377</v>
      </c>
      <c r="K85" s="7"/>
      <c r="L85" s="7" t="s">
        <v>10272</v>
      </c>
      <c r="M85" s="7" t="s">
        <v>3224</v>
      </c>
      <c r="N85" s="7"/>
      <c r="O85" s="7" t="s">
        <v>10273</v>
      </c>
      <c r="P85" s="7" t="s">
        <v>10274</v>
      </c>
    </row>
    <row r="86" customFormat="false" ht="15" hidden="false" customHeight="false" outlineLevel="0" collapsed="false">
      <c r="A86" s="7" t="s">
        <v>9854</v>
      </c>
      <c r="B86" s="7" t="s">
        <v>10275</v>
      </c>
      <c r="C86" s="7" t="s">
        <v>30</v>
      </c>
      <c r="D86" s="7" t="s">
        <v>10276</v>
      </c>
      <c r="E86" s="7" t="s">
        <v>10277</v>
      </c>
      <c r="F86" s="7" t="s">
        <v>172</v>
      </c>
      <c r="G86" s="7" t="s">
        <v>10278</v>
      </c>
      <c r="H86" s="7" t="s">
        <v>8316</v>
      </c>
      <c r="I86" s="10" t="n">
        <v>4000</v>
      </c>
      <c r="J86" s="7" t="s">
        <v>69</v>
      </c>
      <c r="K86" s="7" t="s">
        <v>10279</v>
      </c>
      <c r="L86" s="7"/>
      <c r="M86" s="7" t="s">
        <v>3241</v>
      </c>
      <c r="N86" s="7"/>
      <c r="O86" s="7" t="s">
        <v>10280</v>
      </c>
      <c r="P86" s="7" t="s">
        <v>10281</v>
      </c>
    </row>
    <row r="87" customFormat="false" ht="15" hidden="false" customHeight="false" outlineLevel="0" collapsed="false">
      <c r="A87" s="7" t="s">
        <v>9854</v>
      </c>
      <c r="B87" s="7" t="s">
        <v>10282</v>
      </c>
      <c r="C87" s="7" t="s">
        <v>30</v>
      </c>
      <c r="D87" s="7" t="s">
        <v>10283</v>
      </c>
      <c r="E87" s="7" t="s">
        <v>4640</v>
      </c>
      <c r="F87" s="7" t="s">
        <v>163</v>
      </c>
      <c r="G87" s="7" t="s">
        <v>10284</v>
      </c>
      <c r="H87" s="7" t="s">
        <v>8316</v>
      </c>
      <c r="I87" s="10" t="n">
        <v>3000</v>
      </c>
      <c r="J87" s="7" t="s">
        <v>3239</v>
      </c>
      <c r="K87" s="7"/>
      <c r="L87" s="7" t="s">
        <v>10285</v>
      </c>
      <c r="M87" s="7" t="s">
        <v>10286</v>
      </c>
      <c r="N87" s="7"/>
      <c r="O87" s="7" t="s">
        <v>10287</v>
      </c>
      <c r="P87" s="7" t="s">
        <v>10288</v>
      </c>
    </row>
    <row r="88" customFormat="false" ht="15" hidden="false" customHeight="false" outlineLevel="0" collapsed="false">
      <c r="A88" s="7" t="s">
        <v>9854</v>
      </c>
      <c r="B88" s="7" t="s">
        <v>10289</v>
      </c>
      <c r="C88" s="7" t="s">
        <v>30</v>
      </c>
      <c r="D88" s="7" t="s">
        <v>10290</v>
      </c>
      <c r="E88" s="7" t="s">
        <v>3112</v>
      </c>
      <c r="F88" s="7" t="s">
        <v>163</v>
      </c>
      <c r="G88" s="7" t="s">
        <v>10291</v>
      </c>
      <c r="H88" s="7" t="s">
        <v>8316</v>
      </c>
      <c r="I88" s="10" t="n">
        <v>2000</v>
      </c>
      <c r="J88" s="7" t="s">
        <v>350</v>
      </c>
      <c r="K88" s="7"/>
      <c r="L88" s="7" t="s">
        <v>10292</v>
      </c>
      <c r="M88" s="7" t="s">
        <v>6148</v>
      </c>
      <c r="N88" s="7"/>
      <c r="O88" s="7" t="s">
        <v>10293</v>
      </c>
      <c r="P88" s="7" t="s">
        <v>6256</v>
      </c>
    </row>
    <row r="89" customFormat="false" ht="15" hidden="false" customHeight="false" outlineLevel="0" collapsed="false">
      <c r="A89" s="7" t="s">
        <v>9854</v>
      </c>
      <c r="B89" s="7" t="s">
        <v>10294</v>
      </c>
      <c r="C89" s="7" t="s">
        <v>30</v>
      </c>
      <c r="D89" s="7" t="s">
        <v>10295</v>
      </c>
      <c r="E89" s="7" t="s">
        <v>10296</v>
      </c>
      <c r="F89" s="7" t="s">
        <v>105</v>
      </c>
      <c r="G89" s="7" t="s">
        <v>10297</v>
      </c>
      <c r="H89" s="7" t="s">
        <v>8316</v>
      </c>
      <c r="I89" s="10" t="n">
        <v>6000</v>
      </c>
      <c r="J89" s="7" t="s">
        <v>350</v>
      </c>
      <c r="K89" s="7"/>
      <c r="L89" s="7" t="s">
        <v>10298</v>
      </c>
      <c r="M89" s="7" t="s">
        <v>3241</v>
      </c>
      <c r="N89" s="7"/>
      <c r="O89" s="7" t="s">
        <v>10299</v>
      </c>
      <c r="P89" s="7" t="s">
        <v>10300</v>
      </c>
    </row>
    <row r="90" customFormat="false" ht="15" hidden="false" customHeight="false" outlineLevel="0" collapsed="false">
      <c r="A90" s="7" t="s">
        <v>9854</v>
      </c>
      <c r="B90" s="7" t="s">
        <v>10301</v>
      </c>
      <c r="C90" s="7" t="s">
        <v>30</v>
      </c>
      <c r="D90" s="7" t="s">
        <v>10302</v>
      </c>
      <c r="E90" s="7" t="s">
        <v>10303</v>
      </c>
      <c r="F90" s="7" t="s">
        <v>137</v>
      </c>
      <c r="G90" s="7" t="s">
        <v>10304</v>
      </c>
      <c r="H90" s="7" t="s">
        <v>8316</v>
      </c>
      <c r="I90" s="10" t="n">
        <v>2500</v>
      </c>
      <c r="J90" s="7" t="s">
        <v>3239</v>
      </c>
      <c r="K90" s="7"/>
      <c r="L90" s="7" t="s">
        <v>10305</v>
      </c>
      <c r="M90" s="7" t="s">
        <v>6148</v>
      </c>
      <c r="N90" s="7"/>
      <c r="O90" s="7" t="s">
        <v>10306</v>
      </c>
      <c r="P90" s="7" t="s">
        <v>6139</v>
      </c>
    </row>
    <row r="91" customFormat="false" ht="15" hidden="false" customHeight="false" outlineLevel="0" collapsed="false">
      <c r="A91" s="7" t="s">
        <v>9854</v>
      </c>
      <c r="B91" s="7" t="s">
        <v>10307</v>
      </c>
      <c r="C91" s="7" t="s">
        <v>30</v>
      </c>
      <c r="D91" s="7" t="s">
        <v>10308</v>
      </c>
      <c r="E91" s="7" t="s">
        <v>10309</v>
      </c>
      <c r="F91" s="7" t="s">
        <v>338</v>
      </c>
      <c r="G91" s="7" t="s">
        <v>10310</v>
      </c>
      <c r="H91" s="7" t="s">
        <v>8316</v>
      </c>
      <c r="I91" s="10" t="n">
        <v>11000</v>
      </c>
      <c r="J91" s="7" t="s">
        <v>3239</v>
      </c>
      <c r="K91" s="7"/>
      <c r="L91" s="7" t="s">
        <v>10311</v>
      </c>
      <c r="M91" s="7" t="s">
        <v>3224</v>
      </c>
      <c r="N91" s="7"/>
      <c r="O91" s="7" t="s">
        <v>10312</v>
      </c>
      <c r="P91" s="7" t="s">
        <v>10313</v>
      </c>
    </row>
    <row r="92" customFormat="false" ht="15" hidden="false" customHeight="false" outlineLevel="0" collapsed="false">
      <c r="A92" s="7" t="s">
        <v>9854</v>
      </c>
      <c r="B92" s="7" t="s">
        <v>10314</v>
      </c>
      <c r="C92" s="7" t="s">
        <v>30</v>
      </c>
      <c r="D92" s="7" t="s">
        <v>10315</v>
      </c>
      <c r="E92" s="7" t="s">
        <v>10316</v>
      </c>
      <c r="F92" s="7" t="s">
        <v>338</v>
      </c>
      <c r="G92" s="7" t="s">
        <v>10317</v>
      </c>
      <c r="H92" s="7" t="s">
        <v>8316</v>
      </c>
      <c r="I92" s="10" t="n">
        <v>2500</v>
      </c>
      <c r="J92" s="7" t="s">
        <v>3239</v>
      </c>
      <c r="K92" s="7"/>
      <c r="L92" s="7"/>
      <c r="M92" s="7" t="s">
        <v>6148</v>
      </c>
      <c r="N92" s="7"/>
      <c r="O92" s="7" t="s">
        <v>10318</v>
      </c>
      <c r="P92" s="7" t="s">
        <v>10319</v>
      </c>
    </row>
    <row r="93" customFormat="false" ht="15" hidden="false" customHeight="false" outlineLevel="0" collapsed="false">
      <c r="A93" s="7" t="s">
        <v>9854</v>
      </c>
      <c r="B93" s="7" t="s">
        <v>10320</v>
      </c>
      <c r="C93" s="7" t="s">
        <v>30</v>
      </c>
      <c r="D93" s="7" t="s">
        <v>10321</v>
      </c>
      <c r="E93" s="7" t="s">
        <v>6943</v>
      </c>
      <c r="F93" s="7" t="s">
        <v>155</v>
      </c>
      <c r="G93" s="7" t="s">
        <v>10322</v>
      </c>
      <c r="H93" s="7" t="s">
        <v>8316</v>
      </c>
      <c r="I93" s="10" t="n">
        <v>4500</v>
      </c>
      <c r="J93" s="7" t="s">
        <v>377</v>
      </c>
      <c r="K93" s="7"/>
      <c r="L93" s="7" t="s">
        <v>10323</v>
      </c>
      <c r="M93" s="7" t="s">
        <v>3224</v>
      </c>
      <c r="N93" s="7"/>
      <c r="O93" s="7" t="s">
        <v>10324</v>
      </c>
      <c r="P93" s="7" t="s">
        <v>10325</v>
      </c>
    </row>
    <row r="94" customFormat="false" ht="15" hidden="false" customHeight="false" outlineLevel="0" collapsed="false">
      <c r="A94" s="7" t="s">
        <v>9854</v>
      </c>
      <c r="B94" s="7" t="s">
        <v>10326</v>
      </c>
      <c r="C94" s="7" t="s">
        <v>30</v>
      </c>
      <c r="D94" s="7" t="s">
        <v>10327</v>
      </c>
      <c r="E94" s="7" t="s">
        <v>10328</v>
      </c>
      <c r="F94" s="7" t="s">
        <v>172</v>
      </c>
      <c r="G94" s="7" t="s">
        <v>10329</v>
      </c>
      <c r="H94" s="7" t="s">
        <v>8316</v>
      </c>
      <c r="I94" s="10" t="n">
        <v>4000</v>
      </c>
      <c r="J94" s="7" t="s">
        <v>3239</v>
      </c>
      <c r="K94" s="7"/>
      <c r="L94" s="7" t="s">
        <v>10330</v>
      </c>
      <c r="M94" s="7" t="s">
        <v>3241</v>
      </c>
      <c r="N94" s="7"/>
      <c r="O94" s="7" t="s">
        <v>10331</v>
      </c>
      <c r="P94" s="7" t="s">
        <v>10332</v>
      </c>
    </row>
    <row r="95" customFormat="false" ht="15" hidden="false" customHeight="false" outlineLevel="0" collapsed="false">
      <c r="A95" s="7" t="s">
        <v>9854</v>
      </c>
      <c r="B95" s="7" t="s">
        <v>10333</v>
      </c>
      <c r="C95" s="7" t="s">
        <v>30</v>
      </c>
      <c r="D95" s="7" t="s">
        <v>10334</v>
      </c>
      <c r="E95" s="7" t="s">
        <v>4836</v>
      </c>
      <c r="F95" s="7" t="s">
        <v>137</v>
      </c>
      <c r="G95" s="7" t="s">
        <v>10335</v>
      </c>
      <c r="H95" s="7" t="s">
        <v>8316</v>
      </c>
      <c r="I95" s="10" t="n">
        <v>4000</v>
      </c>
      <c r="J95" s="7" t="s">
        <v>3239</v>
      </c>
      <c r="K95" s="7"/>
      <c r="L95" s="7" t="s">
        <v>10336</v>
      </c>
      <c r="M95" s="7" t="s">
        <v>10337</v>
      </c>
      <c r="N95" s="7"/>
      <c r="O95" s="7" t="s">
        <v>10338</v>
      </c>
      <c r="P95" s="7" t="s">
        <v>6139</v>
      </c>
    </row>
    <row r="96" customFormat="false" ht="15" hidden="false" customHeight="false" outlineLevel="0" collapsed="false">
      <c r="A96" s="7" t="s">
        <v>9854</v>
      </c>
      <c r="B96" s="7" t="s">
        <v>10339</v>
      </c>
      <c r="C96" s="7" t="s">
        <v>30</v>
      </c>
      <c r="D96" s="7" t="s">
        <v>10340</v>
      </c>
      <c r="E96" s="7" t="s">
        <v>10341</v>
      </c>
      <c r="F96" s="7" t="s">
        <v>137</v>
      </c>
      <c r="G96" s="7" t="s">
        <v>10342</v>
      </c>
      <c r="H96" s="7" t="s">
        <v>8316</v>
      </c>
      <c r="I96" s="10" t="n">
        <v>4500</v>
      </c>
      <c r="J96" s="7" t="s">
        <v>3239</v>
      </c>
      <c r="K96" s="7"/>
      <c r="L96" s="7"/>
      <c r="M96" s="7" t="s">
        <v>6118</v>
      </c>
      <c r="N96" s="7"/>
      <c r="O96" s="7" t="s">
        <v>10343</v>
      </c>
      <c r="P96" s="7" t="s">
        <v>10344</v>
      </c>
    </row>
    <row r="97" customFormat="false" ht="15" hidden="false" customHeight="false" outlineLevel="0" collapsed="false">
      <c r="A97" s="7" t="s">
        <v>9854</v>
      </c>
      <c r="B97" s="7" t="s">
        <v>10345</v>
      </c>
      <c r="C97" s="7" t="s">
        <v>30</v>
      </c>
      <c r="D97" s="7" t="s">
        <v>10346</v>
      </c>
      <c r="E97" s="7" t="s">
        <v>6443</v>
      </c>
      <c r="F97" s="7" t="s">
        <v>163</v>
      </c>
      <c r="G97" s="7" t="s">
        <v>10347</v>
      </c>
      <c r="H97" s="7" t="s">
        <v>8316</v>
      </c>
      <c r="I97" s="10" t="n">
        <v>7500</v>
      </c>
      <c r="J97" s="7" t="s">
        <v>3239</v>
      </c>
      <c r="K97" s="7"/>
      <c r="L97" s="7" t="s">
        <v>10348</v>
      </c>
      <c r="M97" s="7" t="s">
        <v>1222</v>
      </c>
      <c r="N97" s="7"/>
      <c r="O97" s="7" t="s">
        <v>10349</v>
      </c>
      <c r="P97" s="7" t="s">
        <v>10350</v>
      </c>
    </row>
    <row r="98" customFormat="false" ht="15" hidden="false" customHeight="false" outlineLevel="0" collapsed="false">
      <c r="A98" s="7" t="s">
        <v>9854</v>
      </c>
      <c r="B98" s="7" t="s">
        <v>10351</v>
      </c>
      <c r="C98" s="7" t="s">
        <v>30</v>
      </c>
      <c r="D98" s="7" t="s">
        <v>3237</v>
      </c>
      <c r="E98" s="7" t="s">
        <v>713</v>
      </c>
      <c r="F98" s="7" t="s">
        <v>155</v>
      </c>
      <c r="G98" s="7" t="s">
        <v>10352</v>
      </c>
      <c r="H98" s="7" t="s">
        <v>8316</v>
      </c>
      <c r="I98" s="10" t="n">
        <v>11000</v>
      </c>
      <c r="J98" s="7" t="s">
        <v>350</v>
      </c>
      <c r="K98" s="7"/>
      <c r="L98" s="7" t="s">
        <v>10353</v>
      </c>
      <c r="M98" s="7" t="s">
        <v>3241</v>
      </c>
      <c r="N98" s="7"/>
      <c r="O98" s="7" t="s">
        <v>10354</v>
      </c>
      <c r="P98" s="7" t="s">
        <v>10355</v>
      </c>
    </row>
    <row r="99" customFormat="false" ht="15" hidden="false" customHeight="false" outlineLevel="0" collapsed="false">
      <c r="A99" s="7" t="s">
        <v>9854</v>
      </c>
      <c r="B99" s="7" t="s">
        <v>10356</v>
      </c>
      <c r="C99" s="7" t="s">
        <v>30</v>
      </c>
      <c r="D99" s="7" t="s">
        <v>10357</v>
      </c>
      <c r="E99" s="7" t="s">
        <v>8131</v>
      </c>
      <c r="F99" s="7" t="s">
        <v>250</v>
      </c>
      <c r="G99" s="7" t="s">
        <v>10358</v>
      </c>
      <c r="H99" s="7" t="s">
        <v>8316</v>
      </c>
      <c r="I99" s="10" t="n">
        <v>2500</v>
      </c>
      <c r="J99" s="7" t="s">
        <v>377</v>
      </c>
      <c r="K99" s="7"/>
      <c r="L99" s="7" t="s">
        <v>10359</v>
      </c>
      <c r="M99" s="7" t="s">
        <v>3241</v>
      </c>
      <c r="N99" s="7"/>
      <c r="O99" s="7" t="s">
        <v>10360</v>
      </c>
      <c r="P99" s="7" t="s">
        <v>10361</v>
      </c>
    </row>
    <row r="100" customFormat="false" ht="15" hidden="false" customHeight="false" outlineLevel="0" collapsed="false">
      <c r="A100" s="7" t="s">
        <v>9854</v>
      </c>
      <c r="B100" s="7" t="s">
        <v>10362</v>
      </c>
      <c r="C100" s="7" t="s">
        <v>30</v>
      </c>
      <c r="D100" s="7" t="s">
        <v>10363</v>
      </c>
      <c r="E100" s="7" t="s">
        <v>8162</v>
      </c>
      <c r="F100" s="7" t="s">
        <v>155</v>
      </c>
      <c r="G100" s="7" t="s">
        <v>10364</v>
      </c>
      <c r="H100" s="7" t="s">
        <v>8316</v>
      </c>
      <c r="I100" s="10" t="n">
        <v>7000</v>
      </c>
      <c r="J100" s="7" t="s">
        <v>350</v>
      </c>
      <c r="K100" s="7"/>
      <c r="L100" s="7" t="s">
        <v>10365</v>
      </c>
      <c r="M100" s="7" t="s">
        <v>3224</v>
      </c>
      <c r="N100" s="7"/>
      <c r="O100" s="7" t="s">
        <v>10366</v>
      </c>
      <c r="P100" s="7" t="s">
        <v>10367</v>
      </c>
    </row>
    <row r="101" customFormat="false" ht="15" hidden="false" customHeight="false" outlineLevel="0" collapsed="false">
      <c r="A101" s="7" t="s">
        <v>9854</v>
      </c>
      <c r="B101" s="7" t="s">
        <v>10368</v>
      </c>
      <c r="C101" s="7" t="s">
        <v>30</v>
      </c>
      <c r="D101" s="7" t="s">
        <v>10369</v>
      </c>
      <c r="E101" s="7" t="s">
        <v>10370</v>
      </c>
      <c r="F101" s="7" t="s">
        <v>155</v>
      </c>
      <c r="G101" s="7" t="s">
        <v>10371</v>
      </c>
      <c r="H101" s="7" t="s">
        <v>8316</v>
      </c>
      <c r="I101" s="10" t="n">
        <v>4500</v>
      </c>
      <c r="J101" s="7" t="s">
        <v>517</v>
      </c>
      <c r="K101" s="7"/>
      <c r="L101" s="7"/>
      <c r="M101" s="7" t="s">
        <v>1222</v>
      </c>
      <c r="N101" s="7"/>
      <c r="O101" s="7" t="s">
        <v>10372</v>
      </c>
      <c r="P101" s="7" t="s">
        <v>10373</v>
      </c>
    </row>
    <row r="102" customFormat="false" ht="15" hidden="false" customHeight="false" outlineLevel="0" collapsed="false">
      <c r="A102" s="7" t="s">
        <v>9854</v>
      </c>
      <c r="B102" s="7" t="s">
        <v>10374</v>
      </c>
      <c r="C102" s="7" t="s">
        <v>30</v>
      </c>
      <c r="D102" s="7" t="s">
        <v>6141</v>
      </c>
      <c r="E102" s="7" t="s">
        <v>10375</v>
      </c>
      <c r="F102" s="7" t="s">
        <v>105</v>
      </c>
      <c r="G102" s="7" t="s">
        <v>10376</v>
      </c>
      <c r="H102" s="7" t="s">
        <v>8316</v>
      </c>
      <c r="I102" s="10" t="n">
        <v>6000</v>
      </c>
      <c r="J102" s="7" t="s">
        <v>3239</v>
      </c>
      <c r="K102" s="7"/>
      <c r="L102" s="7" t="s">
        <v>10377</v>
      </c>
      <c r="M102" s="7" t="s">
        <v>3241</v>
      </c>
      <c r="N102" s="7"/>
      <c r="O102" s="7" t="s">
        <v>269</v>
      </c>
      <c r="P102" s="7" t="s">
        <v>10378</v>
      </c>
    </row>
    <row r="103" customFormat="false" ht="15" hidden="false" customHeight="false" outlineLevel="0" collapsed="false">
      <c r="A103" s="7" t="s">
        <v>9854</v>
      </c>
      <c r="B103" s="7" t="s">
        <v>10379</v>
      </c>
      <c r="C103" s="7" t="s">
        <v>30</v>
      </c>
      <c r="D103" s="7" t="s">
        <v>10380</v>
      </c>
      <c r="E103" s="7" t="s">
        <v>182</v>
      </c>
      <c r="F103" s="7" t="s">
        <v>163</v>
      </c>
      <c r="G103" s="7" t="s">
        <v>10381</v>
      </c>
      <c r="H103" s="7" t="s">
        <v>8316</v>
      </c>
      <c r="I103" s="10" t="n">
        <v>10000</v>
      </c>
      <c r="J103" s="7" t="s">
        <v>350</v>
      </c>
      <c r="K103" s="7"/>
      <c r="L103" s="7" t="s">
        <v>10382</v>
      </c>
      <c r="M103" s="7" t="s">
        <v>6118</v>
      </c>
      <c r="N103" s="7"/>
      <c r="O103" s="7" t="s">
        <v>10383</v>
      </c>
      <c r="P103" s="7" t="s">
        <v>6256</v>
      </c>
    </row>
    <row r="104" customFormat="false" ht="15" hidden="false" customHeight="false" outlineLevel="0" collapsed="false">
      <c r="A104" s="7" t="s">
        <v>9854</v>
      </c>
      <c r="B104" s="7" t="s">
        <v>10384</v>
      </c>
      <c r="C104" s="7" t="s">
        <v>30</v>
      </c>
      <c r="D104" s="7" t="s">
        <v>10385</v>
      </c>
      <c r="E104" s="7" t="s">
        <v>10386</v>
      </c>
      <c r="F104" s="7" t="s">
        <v>155</v>
      </c>
      <c r="G104" s="7" t="s">
        <v>10387</v>
      </c>
      <c r="H104" s="7" t="s">
        <v>8316</v>
      </c>
      <c r="I104" s="10" t="n">
        <v>1800</v>
      </c>
      <c r="J104" s="7" t="s">
        <v>377</v>
      </c>
      <c r="K104" s="7"/>
      <c r="L104" s="7" t="s">
        <v>10388</v>
      </c>
      <c r="M104" s="7" t="s">
        <v>3241</v>
      </c>
      <c r="N104" s="7"/>
      <c r="O104" s="7" t="s">
        <v>10389</v>
      </c>
      <c r="P104" s="7" t="s">
        <v>10390</v>
      </c>
    </row>
    <row r="105" customFormat="false" ht="15" hidden="false" customHeight="false" outlineLevel="0" collapsed="false">
      <c r="A105" s="7" t="s">
        <v>9854</v>
      </c>
      <c r="B105" s="7" t="s">
        <v>10391</v>
      </c>
      <c r="C105" s="7" t="s">
        <v>30</v>
      </c>
      <c r="D105" s="7" t="s">
        <v>10392</v>
      </c>
      <c r="E105" s="7" t="s">
        <v>6348</v>
      </c>
      <c r="F105" s="7" t="s">
        <v>137</v>
      </c>
      <c r="G105" s="7" t="s">
        <v>10393</v>
      </c>
      <c r="H105" s="7" t="s">
        <v>8316</v>
      </c>
      <c r="I105" s="10" t="n">
        <v>3500</v>
      </c>
      <c r="J105" s="7" t="s">
        <v>3239</v>
      </c>
      <c r="K105" s="7"/>
      <c r="L105" s="7" t="s">
        <v>10394</v>
      </c>
      <c r="M105" s="7" t="s">
        <v>3241</v>
      </c>
      <c r="N105" s="7"/>
      <c r="O105" s="7" t="s">
        <v>10395</v>
      </c>
      <c r="P105" s="7" t="s">
        <v>6139</v>
      </c>
    </row>
    <row r="106" customFormat="false" ht="15" hidden="false" customHeight="false" outlineLevel="0" collapsed="false">
      <c r="A106" s="7" t="s">
        <v>9854</v>
      </c>
      <c r="B106" s="7" t="s">
        <v>10396</v>
      </c>
      <c r="C106" s="7" t="s">
        <v>30</v>
      </c>
      <c r="D106" s="7" t="s">
        <v>10397</v>
      </c>
      <c r="E106" s="7" t="s">
        <v>10398</v>
      </c>
      <c r="F106" s="7" t="s">
        <v>137</v>
      </c>
      <c r="G106" s="7" t="s">
        <v>10399</v>
      </c>
      <c r="H106" s="7" t="s">
        <v>8316</v>
      </c>
      <c r="I106" s="10" t="n">
        <v>6000</v>
      </c>
      <c r="J106" s="7" t="s">
        <v>3239</v>
      </c>
      <c r="K106" s="7"/>
      <c r="L106" s="7" t="s">
        <v>10400</v>
      </c>
      <c r="M106" s="7" t="s">
        <v>3241</v>
      </c>
      <c r="N106" s="7"/>
      <c r="O106" s="7" t="s">
        <v>10401</v>
      </c>
      <c r="P106" s="7" t="s">
        <v>10402</v>
      </c>
    </row>
    <row r="107" customFormat="false" ht="15" hidden="false" customHeight="false" outlineLevel="0" collapsed="false">
      <c r="A107" s="7" t="s">
        <v>9854</v>
      </c>
      <c r="B107" s="7" t="s">
        <v>10403</v>
      </c>
      <c r="C107" s="7" t="s">
        <v>30</v>
      </c>
      <c r="D107" s="7" t="s">
        <v>10404</v>
      </c>
      <c r="E107" s="7" t="s">
        <v>162</v>
      </c>
      <c r="F107" s="7" t="s">
        <v>163</v>
      </c>
      <c r="G107" s="7" t="s">
        <v>10405</v>
      </c>
      <c r="H107" s="7" t="s">
        <v>8316</v>
      </c>
      <c r="I107" s="10" t="n">
        <v>3000</v>
      </c>
      <c r="J107" s="7" t="s">
        <v>386</v>
      </c>
      <c r="K107" s="7"/>
      <c r="L107" s="7" t="s">
        <v>10406</v>
      </c>
      <c r="M107" s="7" t="s">
        <v>6224</v>
      </c>
      <c r="N107" s="7"/>
      <c r="O107" s="7" t="s">
        <v>10407</v>
      </c>
      <c r="P107" s="7" t="s">
        <v>6256</v>
      </c>
    </row>
    <row r="108" customFormat="false" ht="15" hidden="false" customHeight="false" outlineLevel="0" collapsed="false">
      <c r="A108" s="7" t="s">
        <v>9854</v>
      </c>
      <c r="B108" s="7" t="s">
        <v>10408</v>
      </c>
      <c r="C108" s="7" t="s">
        <v>30</v>
      </c>
      <c r="D108" s="7" t="s">
        <v>10409</v>
      </c>
      <c r="E108" s="7" t="s">
        <v>3112</v>
      </c>
      <c r="F108" s="7" t="s">
        <v>163</v>
      </c>
      <c r="G108" s="7" t="s">
        <v>10410</v>
      </c>
      <c r="H108" s="7" t="s">
        <v>8316</v>
      </c>
      <c r="I108" s="10" t="n">
        <v>1000</v>
      </c>
      <c r="J108" s="7" t="s">
        <v>3239</v>
      </c>
      <c r="K108" s="7"/>
      <c r="L108" s="7" t="s">
        <v>10411</v>
      </c>
      <c r="M108" s="7" t="s">
        <v>6148</v>
      </c>
      <c r="N108" s="7"/>
      <c r="O108" s="7" t="s">
        <v>10412</v>
      </c>
      <c r="P108" s="7" t="s">
        <v>6256</v>
      </c>
    </row>
    <row r="109" customFormat="false" ht="15" hidden="false" customHeight="false" outlineLevel="0" collapsed="false">
      <c r="A109" s="7" t="s">
        <v>9854</v>
      </c>
      <c r="B109" s="7" t="s">
        <v>10413</v>
      </c>
      <c r="C109" s="7" t="s">
        <v>30</v>
      </c>
      <c r="D109" s="7" t="s">
        <v>10414</v>
      </c>
      <c r="E109" s="7" t="s">
        <v>10415</v>
      </c>
      <c r="F109" s="7" t="s">
        <v>105</v>
      </c>
      <c r="G109" s="7" t="s">
        <v>10416</v>
      </c>
      <c r="H109" s="7" t="s">
        <v>8316</v>
      </c>
      <c r="I109" s="10" t="n">
        <v>4000</v>
      </c>
      <c r="J109" s="7" t="s">
        <v>350</v>
      </c>
      <c r="K109" s="7"/>
      <c r="L109" s="7" t="s">
        <v>10417</v>
      </c>
      <c r="M109" s="7" t="s">
        <v>6148</v>
      </c>
      <c r="N109" s="7"/>
      <c r="O109" s="7" t="s">
        <v>10418</v>
      </c>
      <c r="P109" s="7" t="s">
        <v>10419</v>
      </c>
    </row>
    <row r="110" customFormat="false" ht="15" hidden="false" customHeight="false" outlineLevel="0" collapsed="false">
      <c r="A110" s="7" t="s">
        <v>9854</v>
      </c>
      <c r="B110" s="7" t="s">
        <v>10420</v>
      </c>
      <c r="C110" s="7" t="s">
        <v>30</v>
      </c>
      <c r="D110" s="7" t="s">
        <v>10421</v>
      </c>
      <c r="E110" s="7" t="s">
        <v>9856</v>
      </c>
      <c r="F110" s="7" t="s">
        <v>163</v>
      </c>
      <c r="G110" s="7" t="s">
        <v>10422</v>
      </c>
      <c r="H110" s="7" t="s">
        <v>8316</v>
      </c>
      <c r="I110" s="10" t="n">
        <v>10000</v>
      </c>
      <c r="J110" s="7" t="s">
        <v>350</v>
      </c>
      <c r="K110" s="7"/>
      <c r="L110" s="7" t="s">
        <v>10423</v>
      </c>
      <c r="M110" s="7" t="s">
        <v>6224</v>
      </c>
      <c r="N110" s="7"/>
      <c r="O110" s="7" t="s">
        <v>10424</v>
      </c>
      <c r="P110" s="7" t="s">
        <v>6256</v>
      </c>
    </row>
    <row r="111" customFormat="false" ht="15" hidden="false" customHeight="false" outlineLevel="0" collapsed="false">
      <c r="A111" s="7" t="s">
        <v>9854</v>
      </c>
      <c r="B111" s="7" t="s">
        <v>10425</v>
      </c>
      <c r="C111" s="7" t="s">
        <v>30</v>
      </c>
      <c r="D111" s="7" t="s">
        <v>6282</v>
      </c>
      <c r="E111" s="7" t="s">
        <v>4758</v>
      </c>
      <c r="F111" s="7" t="s">
        <v>163</v>
      </c>
      <c r="G111" s="7" t="s">
        <v>10426</v>
      </c>
      <c r="H111" s="7" t="s">
        <v>8316</v>
      </c>
      <c r="I111" s="10" t="n">
        <v>6500</v>
      </c>
      <c r="J111" s="7" t="s">
        <v>3239</v>
      </c>
      <c r="K111" s="7"/>
      <c r="L111" s="7" t="s">
        <v>10427</v>
      </c>
      <c r="M111" s="7" t="s">
        <v>10428</v>
      </c>
      <c r="N111" s="7"/>
      <c r="O111" s="7" t="s">
        <v>10429</v>
      </c>
      <c r="P111" s="7" t="s">
        <v>6256</v>
      </c>
    </row>
    <row r="112" customFormat="false" ht="15" hidden="false" customHeight="false" outlineLevel="0" collapsed="false">
      <c r="A112" s="7" t="s">
        <v>9854</v>
      </c>
      <c r="B112" s="7" t="s">
        <v>10430</v>
      </c>
      <c r="C112" s="7" t="s">
        <v>30</v>
      </c>
      <c r="D112" s="7" t="s">
        <v>10431</v>
      </c>
      <c r="E112" s="7" t="s">
        <v>3073</v>
      </c>
      <c r="F112" s="7" t="s">
        <v>172</v>
      </c>
      <c r="G112" s="7" t="s">
        <v>10432</v>
      </c>
      <c r="H112" s="7" t="s">
        <v>8316</v>
      </c>
      <c r="I112" s="10" t="n">
        <v>6000</v>
      </c>
      <c r="J112" s="7" t="s">
        <v>69</v>
      </c>
      <c r="K112" s="7" t="s">
        <v>9820</v>
      </c>
      <c r="L112" s="7" t="s">
        <v>10433</v>
      </c>
      <c r="M112" s="7" t="s">
        <v>1222</v>
      </c>
      <c r="N112" s="7"/>
      <c r="O112" s="7" t="s">
        <v>10434</v>
      </c>
      <c r="P112" s="7" t="s">
        <v>10435</v>
      </c>
    </row>
    <row r="113" customFormat="false" ht="15" hidden="false" customHeight="false" outlineLevel="0" collapsed="false">
      <c r="A113" s="7" t="s">
        <v>9854</v>
      </c>
      <c r="B113" s="7" t="s">
        <v>10436</v>
      </c>
      <c r="C113" s="7" t="s">
        <v>30</v>
      </c>
      <c r="D113" s="7" t="s">
        <v>10437</v>
      </c>
      <c r="E113" s="7" t="s">
        <v>970</v>
      </c>
      <c r="F113" s="7" t="s">
        <v>250</v>
      </c>
      <c r="G113" s="7" t="s">
        <v>10438</v>
      </c>
      <c r="H113" s="7" t="s">
        <v>8316</v>
      </c>
      <c r="I113" s="10" t="n">
        <v>7000</v>
      </c>
      <c r="J113" s="7" t="s">
        <v>377</v>
      </c>
      <c r="K113" s="7"/>
      <c r="L113" s="7" t="s">
        <v>10439</v>
      </c>
      <c r="M113" s="7" t="s">
        <v>3241</v>
      </c>
      <c r="N113" s="7"/>
      <c r="O113" s="7" t="s">
        <v>10440</v>
      </c>
      <c r="P113" s="7" t="s">
        <v>10441</v>
      </c>
    </row>
    <row r="114" customFormat="false" ht="15" hidden="false" customHeight="false" outlineLevel="0" collapsed="false">
      <c r="A114" s="7" t="s">
        <v>9854</v>
      </c>
      <c r="B114" s="7" t="s">
        <v>10442</v>
      </c>
      <c r="C114" s="7" t="s">
        <v>30</v>
      </c>
      <c r="D114" s="7" t="s">
        <v>10327</v>
      </c>
      <c r="E114" s="7" t="s">
        <v>4758</v>
      </c>
      <c r="F114" s="7" t="s">
        <v>137</v>
      </c>
      <c r="G114" s="7" t="s">
        <v>10443</v>
      </c>
      <c r="H114" s="7" t="s">
        <v>8316</v>
      </c>
      <c r="I114" s="10" t="n">
        <v>2500</v>
      </c>
      <c r="J114" s="7" t="s">
        <v>3239</v>
      </c>
      <c r="K114" s="7"/>
      <c r="L114" s="7" t="s">
        <v>10444</v>
      </c>
      <c r="M114" s="7" t="s">
        <v>3241</v>
      </c>
      <c r="N114" s="7"/>
      <c r="O114" s="7" t="s">
        <v>10445</v>
      </c>
      <c r="P114" s="7" t="s">
        <v>6139</v>
      </c>
    </row>
    <row r="115" customFormat="false" ht="15" hidden="false" customHeight="false" outlineLevel="0" collapsed="false">
      <c r="A115" s="7" t="s">
        <v>9854</v>
      </c>
      <c r="B115" s="7" t="s">
        <v>10446</v>
      </c>
      <c r="C115" s="7" t="s">
        <v>30</v>
      </c>
      <c r="D115" s="7" t="s">
        <v>10447</v>
      </c>
      <c r="E115" s="7" t="s">
        <v>1047</v>
      </c>
      <c r="F115" s="7" t="s">
        <v>137</v>
      </c>
      <c r="G115" s="7" t="s">
        <v>10448</v>
      </c>
      <c r="H115" s="7" t="s">
        <v>8316</v>
      </c>
      <c r="I115" s="10" t="n">
        <v>4000</v>
      </c>
      <c r="J115" s="7" t="s">
        <v>3239</v>
      </c>
      <c r="K115" s="7"/>
      <c r="L115" s="7" t="s">
        <v>10449</v>
      </c>
      <c r="M115" s="7" t="s">
        <v>1222</v>
      </c>
      <c r="N115" s="7"/>
      <c r="O115" s="7" t="s">
        <v>10450</v>
      </c>
      <c r="P115" s="7" t="s">
        <v>6139</v>
      </c>
    </row>
    <row r="116" customFormat="false" ht="15" hidden="false" customHeight="false" outlineLevel="0" collapsed="false">
      <c r="A116" s="7" t="s">
        <v>9854</v>
      </c>
      <c r="B116" s="7" t="s">
        <v>10451</v>
      </c>
      <c r="C116" s="7" t="s">
        <v>30</v>
      </c>
      <c r="D116" s="7" t="s">
        <v>10452</v>
      </c>
      <c r="E116" s="7" t="s">
        <v>6688</v>
      </c>
      <c r="F116" s="7" t="s">
        <v>163</v>
      </c>
      <c r="G116" s="7" t="s">
        <v>10453</v>
      </c>
      <c r="H116" s="7" t="s">
        <v>8316</v>
      </c>
      <c r="I116" s="10" t="n">
        <v>4500</v>
      </c>
      <c r="J116" s="7" t="s">
        <v>69</v>
      </c>
      <c r="K116" s="7" t="s">
        <v>10454</v>
      </c>
      <c r="L116" s="7" t="s">
        <v>10455</v>
      </c>
      <c r="M116" s="7" t="s">
        <v>6316</v>
      </c>
      <c r="N116" s="7"/>
      <c r="O116" s="7" t="s">
        <v>10456</v>
      </c>
      <c r="P116" s="7" t="s">
        <v>6256</v>
      </c>
    </row>
    <row r="117" customFormat="false" ht="15" hidden="false" customHeight="false" outlineLevel="0" collapsed="false">
      <c r="A117" s="7" t="s">
        <v>9854</v>
      </c>
      <c r="B117" s="7" t="s">
        <v>10457</v>
      </c>
      <c r="C117" s="7" t="s">
        <v>31</v>
      </c>
      <c r="D117" s="7" t="s">
        <v>10458</v>
      </c>
      <c r="E117" s="7" t="s">
        <v>10459</v>
      </c>
      <c r="F117" s="7" t="s">
        <v>854</v>
      </c>
      <c r="G117" s="7" t="s">
        <v>10460</v>
      </c>
      <c r="H117" s="7" t="s">
        <v>8316</v>
      </c>
      <c r="I117" s="10" t="n">
        <v>12000</v>
      </c>
      <c r="J117" s="7" t="s">
        <v>3239</v>
      </c>
      <c r="K117" s="7"/>
      <c r="L117" s="7" t="s">
        <v>10461</v>
      </c>
      <c r="M117" s="7" t="s">
        <v>9145</v>
      </c>
      <c r="N117" s="7"/>
      <c r="O117" s="7" t="s">
        <v>10462</v>
      </c>
      <c r="P117" s="7" t="s">
        <v>10463</v>
      </c>
    </row>
    <row r="118" customFormat="false" ht="15" hidden="false" customHeight="false" outlineLevel="0" collapsed="false">
      <c r="A118" s="7" t="s">
        <v>9854</v>
      </c>
      <c r="B118" s="7" t="s">
        <v>10464</v>
      </c>
      <c r="C118" s="7" t="s">
        <v>32</v>
      </c>
      <c r="D118" s="7" t="s">
        <v>10465</v>
      </c>
      <c r="E118" s="7" t="s">
        <v>10466</v>
      </c>
      <c r="F118" s="7" t="s">
        <v>155</v>
      </c>
      <c r="G118" s="7" t="s">
        <v>10467</v>
      </c>
      <c r="H118" s="7" t="s">
        <v>8316</v>
      </c>
      <c r="I118" s="10" t="n">
        <v>4000</v>
      </c>
      <c r="J118" s="7" t="s">
        <v>69</v>
      </c>
      <c r="K118" s="7" t="s">
        <v>1427</v>
      </c>
      <c r="L118" s="7" t="s">
        <v>10468</v>
      </c>
      <c r="M118" s="7" t="s">
        <v>1109</v>
      </c>
      <c r="N118" s="7"/>
      <c r="O118" s="7" t="s">
        <v>10469</v>
      </c>
      <c r="P118" s="7" t="s">
        <v>1431</v>
      </c>
    </row>
    <row r="119" customFormat="false" ht="15" hidden="false" customHeight="false" outlineLevel="0" collapsed="false">
      <c r="A119" s="7" t="s">
        <v>9854</v>
      </c>
      <c r="B119" s="7" t="s">
        <v>10470</v>
      </c>
      <c r="C119" s="7" t="s">
        <v>32</v>
      </c>
      <c r="D119" s="7" t="s">
        <v>10471</v>
      </c>
      <c r="E119" s="7" t="s">
        <v>10472</v>
      </c>
      <c r="F119" s="7" t="s">
        <v>338</v>
      </c>
      <c r="G119" s="7" t="s">
        <v>10473</v>
      </c>
      <c r="H119" s="7" t="s">
        <v>8316</v>
      </c>
      <c r="I119" s="10" t="n">
        <v>5000</v>
      </c>
      <c r="J119" s="7" t="s">
        <v>69</v>
      </c>
      <c r="K119" s="7" t="s">
        <v>1427</v>
      </c>
      <c r="L119" s="7" t="s">
        <v>10474</v>
      </c>
      <c r="M119" s="7" t="s">
        <v>1398</v>
      </c>
      <c r="N119" s="7"/>
      <c r="O119" s="7" t="s">
        <v>10475</v>
      </c>
      <c r="P119" s="7" t="s">
        <v>1603</v>
      </c>
    </row>
    <row r="120" customFormat="false" ht="15" hidden="false" customHeight="false" outlineLevel="0" collapsed="false">
      <c r="A120" s="7" t="s">
        <v>9854</v>
      </c>
      <c r="B120" s="7" t="s">
        <v>10476</v>
      </c>
      <c r="C120" s="7" t="s">
        <v>32</v>
      </c>
      <c r="D120" s="7" t="s">
        <v>10477</v>
      </c>
      <c r="E120" s="7" t="s">
        <v>1474</v>
      </c>
      <c r="F120" s="7" t="s">
        <v>155</v>
      </c>
      <c r="G120" s="7" t="s">
        <v>10478</v>
      </c>
      <c r="H120" s="7" t="s">
        <v>8316</v>
      </c>
      <c r="I120" s="10" t="n">
        <v>10000</v>
      </c>
      <c r="J120" s="7" t="s">
        <v>69</v>
      </c>
      <c r="K120" s="7" t="s">
        <v>1452</v>
      </c>
      <c r="L120" s="7" t="s">
        <v>10479</v>
      </c>
      <c r="M120" s="7" t="s">
        <v>1398</v>
      </c>
      <c r="N120" s="7"/>
      <c r="O120" s="7" t="s">
        <v>10480</v>
      </c>
      <c r="P120" s="7" t="s">
        <v>1456</v>
      </c>
    </row>
    <row r="121" customFormat="false" ht="15" hidden="false" customHeight="false" outlineLevel="0" collapsed="false">
      <c r="A121" s="7" t="s">
        <v>9854</v>
      </c>
      <c r="B121" s="7" t="s">
        <v>10481</v>
      </c>
      <c r="C121" s="7" t="s">
        <v>32</v>
      </c>
      <c r="D121" s="7" t="s">
        <v>10482</v>
      </c>
      <c r="E121" s="7" t="s">
        <v>479</v>
      </c>
      <c r="F121" s="7" t="s">
        <v>480</v>
      </c>
      <c r="G121" s="7" t="s">
        <v>10483</v>
      </c>
      <c r="H121" s="7" t="s">
        <v>8316</v>
      </c>
      <c r="I121" s="10" t="n">
        <v>3000</v>
      </c>
      <c r="J121" s="7" t="s">
        <v>69</v>
      </c>
      <c r="K121" s="7" t="s">
        <v>1427</v>
      </c>
      <c r="L121" s="7" t="s">
        <v>10484</v>
      </c>
      <c r="M121" s="7" t="s">
        <v>5250</v>
      </c>
      <c r="N121" s="7"/>
      <c r="O121" s="7" t="s">
        <v>10485</v>
      </c>
      <c r="P121" s="7" t="s">
        <v>1431</v>
      </c>
    </row>
    <row r="122" customFormat="false" ht="15" hidden="false" customHeight="false" outlineLevel="0" collapsed="false">
      <c r="A122" s="7" t="s">
        <v>9854</v>
      </c>
      <c r="B122" s="7" t="s">
        <v>10486</v>
      </c>
      <c r="C122" s="7" t="s">
        <v>32</v>
      </c>
      <c r="D122" s="7" t="s">
        <v>10487</v>
      </c>
      <c r="E122" s="7" t="s">
        <v>1434</v>
      </c>
      <c r="F122" s="7" t="s">
        <v>250</v>
      </c>
      <c r="G122" s="7" t="s">
        <v>10488</v>
      </c>
      <c r="H122" s="7" t="s">
        <v>8316</v>
      </c>
      <c r="I122" s="10" t="n">
        <v>2000</v>
      </c>
      <c r="J122" s="7" t="s">
        <v>69</v>
      </c>
      <c r="K122" s="7" t="s">
        <v>1330</v>
      </c>
      <c r="L122" s="7"/>
      <c r="M122" s="7" t="s">
        <v>5250</v>
      </c>
      <c r="N122" s="7"/>
      <c r="O122" s="7" t="s">
        <v>1334</v>
      </c>
      <c r="P122" s="7" t="s">
        <v>1335</v>
      </c>
    </row>
    <row r="123" customFormat="false" ht="15" hidden="false" customHeight="false" outlineLevel="0" collapsed="false">
      <c r="A123" s="7" t="s">
        <v>9854</v>
      </c>
      <c r="B123" s="7" t="s">
        <v>10489</v>
      </c>
      <c r="C123" s="7" t="s">
        <v>33</v>
      </c>
      <c r="D123" s="7" t="s">
        <v>3512</v>
      </c>
      <c r="E123" s="7" t="s">
        <v>347</v>
      </c>
      <c r="F123" s="7" t="s">
        <v>348</v>
      </c>
      <c r="G123" s="7" t="s">
        <v>10490</v>
      </c>
      <c r="H123" s="7" t="s">
        <v>8316</v>
      </c>
      <c r="I123" s="10" t="n">
        <v>5500</v>
      </c>
      <c r="J123" s="7" t="s">
        <v>69</v>
      </c>
      <c r="K123" s="7" t="s">
        <v>10491</v>
      </c>
      <c r="L123" s="7" t="s">
        <v>10492</v>
      </c>
      <c r="M123" s="7" t="s">
        <v>1109</v>
      </c>
      <c r="N123" s="7"/>
      <c r="O123" s="7" t="s">
        <v>10493</v>
      </c>
      <c r="P123" s="7" t="s">
        <v>3517</v>
      </c>
    </row>
    <row r="124" customFormat="false" ht="15" hidden="false" customHeight="false" outlineLevel="0" collapsed="false">
      <c r="A124" s="7" t="s">
        <v>9854</v>
      </c>
      <c r="B124" s="7" t="s">
        <v>10494</v>
      </c>
      <c r="C124" s="7" t="s">
        <v>33</v>
      </c>
      <c r="D124" s="7" t="s">
        <v>3512</v>
      </c>
      <c r="E124" s="7" t="s">
        <v>420</v>
      </c>
      <c r="F124" s="7" t="s">
        <v>78</v>
      </c>
      <c r="G124" s="7" t="s">
        <v>10495</v>
      </c>
      <c r="H124" s="7" t="s">
        <v>8316</v>
      </c>
      <c r="I124" s="10" t="n">
        <v>13000</v>
      </c>
      <c r="J124" s="7" t="s">
        <v>69</v>
      </c>
      <c r="K124" s="7" t="s">
        <v>837</v>
      </c>
      <c r="L124" s="7" t="s">
        <v>10496</v>
      </c>
      <c r="M124" s="7" t="s">
        <v>1109</v>
      </c>
      <c r="N124" s="7"/>
      <c r="O124" s="7" t="s">
        <v>10497</v>
      </c>
      <c r="P124" s="7" t="s">
        <v>3517</v>
      </c>
    </row>
    <row r="125" customFormat="false" ht="15" hidden="false" customHeight="false" outlineLevel="0" collapsed="false">
      <c r="A125" s="7" t="s">
        <v>9854</v>
      </c>
      <c r="B125" s="7" t="s">
        <v>10498</v>
      </c>
      <c r="C125" s="7" t="s">
        <v>33</v>
      </c>
      <c r="D125" s="7" t="s">
        <v>7441</v>
      </c>
      <c r="E125" s="7" t="s">
        <v>427</v>
      </c>
      <c r="F125" s="7" t="s">
        <v>428</v>
      </c>
      <c r="G125" s="7" t="s">
        <v>10499</v>
      </c>
      <c r="H125" s="7" t="s">
        <v>8316</v>
      </c>
      <c r="I125" s="10" t="n">
        <v>1200</v>
      </c>
      <c r="J125" s="7" t="s">
        <v>377</v>
      </c>
      <c r="K125" s="7"/>
      <c r="L125" s="7" t="s">
        <v>10500</v>
      </c>
      <c r="M125" s="7" t="s">
        <v>1491</v>
      </c>
      <c r="N125" s="7"/>
      <c r="O125" s="7" t="s">
        <v>10501</v>
      </c>
      <c r="P125" s="7" t="s">
        <v>10502</v>
      </c>
    </row>
    <row r="126" customFormat="false" ht="15" hidden="false" customHeight="false" outlineLevel="0" collapsed="false">
      <c r="A126" s="7" t="s">
        <v>9854</v>
      </c>
      <c r="B126" s="7" t="s">
        <v>10503</v>
      </c>
      <c r="C126" s="7" t="s">
        <v>33</v>
      </c>
      <c r="D126" s="7" t="s">
        <v>1689</v>
      </c>
      <c r="E126" s="7" t="s">
        <v>347</v>
      </c>
      <c r="F126" s="7" t="s">
        <v>348</v>
      </c>
      <c r="G126" s="7" t="s">
        <v>10504</v>
      </c>
      <c r="H126" s="7" t="s">
        <v>8316</v>
      </c>
      <c r="I126" s="10" t="n">
        <v>1500</v>
      </c>
      <c r="J126" s="7" t="s">
        <v>350</v>
      </c>
      <c r="K126" s="7"/>
      <c r="L126" s="7" t="s">
        <v>10505</v>
      </c>
      <c r="M126" s="7" t="s">
        <v>1693</v>
      </c>
      <c r="N126" s="7"/>
      <c r="O126" s="7" t="s">
        <v>3485</v>
      </c>
      <c r="P126" s="7" t="s">
        <v>3486</v>
      </c>
    </row>
    <row r="127" customFormat="false" ht="15" hidden="false" customHeight="false" outlineLevel="0" collapsed="false">
      <c r="A127" s="7" t="s">
        <v>9854</v>
      </c>
      <c r="B127" s="7" t="s">
        <v>10506</v>
      </c>
      <c r="C127" s="7" t="s">
        <v>33</v>
      </c>
      <c r="D127" s="7" t="s">
        <v>3512</v>
      </c>
      <c r="E127" s="7" t="s">
        <v>3149</v>
      </c>
      <c r="F127" s="7" t="s">
        <v>172</v>
      </c>
      <c r="G127" s="7" t="s">
        <v>10507</v>
      </c>
      <c r="H127" s="7" t="s">
        <v>8316</v>
      </c>
      <c r="I127" s="10" t="n">
        <v>6000</v>
      </c>
      <c r="J127" s="7" t="s">
        <v>69</v>
      </c>
      <c r="K127" s="7" t="s">
        <v>10508</v>
      </c>
      <c r="L127" s="7" t="s">
        <v>10509</v>
      </c>
      <c r="M127" s="7" t="s">
        <v>1491</v>
      </c>
      <c r="N127" s="7"/>
      <c r="O127" s="7" t="s">
        <v>10510</v>
      </c>
      <c r="P127" s="7" t="s">
        <v>3517</v>
      </c>
    </row>
    <row r="128" customFormat="false" ht="15" hidden="false" customHeight="false" outlineLevel="0" collapsed="false">
      <c r="A128" s="7" t="s">
        <v>9854</v>
      </c>
      <c r="B128" s="7" t="s">
        <v>10511</v>
      </c>
      <c r="C128" s="7" t="s">
        <v>33</v>
      </c>
      <c r="D128" s="7" t="s">
        <v>3512</v>
      </c>
      <c r="E128" s="7" t="s">
        <v>1245</v>
      </c>
      <c r="F128" s="7" t="s">
        <v>78</v>
      </c>
      <c r="G128" s="7" t="s">
        <v>10512</v>
      </c>
      <c r="H128" s="7" t="s">
        <v>8316</v>
      </c>
      <c r="I128" s="10" t="n">
        <v>3000</v>
      </c>
      <c r="J128" s="7" t="s">
        <v>69</v>
      </c>
      <c r="K128" s="7" t="s">
        <v>10513</v>
      </c>
      <c r="L128" s="7" t="s">
        <v>10514</v>
      </c>
      <c r="M128" s="7" t="s">
        <v>1109</v>
      </c>
      <c r="N128" s="7"/>
      <c r="O128" s="7" t="s">
        <v>10515</v>
      </c>
      <c r="P128" s="7" t="s">
        <v>3517</v>
      </c>
    </row>
    <row r="129" customFormat="false" ht="15" hidden="false" customHeight="false" outlineLevel="0" collapsed="false">
      <c r="A129" s="7" t="s">
        <v>9854</v>
      </c>
      <c r="B129" s="7" t="s">
        <v>10516</v>
      </c>
      <c r="C129" s="7" t="s">
        <v>33</v>
      </c>
      <c r="D129" s="7" t="s">
        <v>1689</v>
      </c>
      <c r="E129" s="7" t="s">
        <v>5307</v>
      </c>
      <c r="F129" s="7" t="s">
        <v>1106</v>
      </c>
      <c r="G129" s="7" t="s">
        <v>10517</v>
      </c>
      <c r="H129" s="7" t="s">
        <v>8316</v>
      </c>
      <c r="I129" s="10" t="n">
        <v>1000</v>
      </c>
      <c r="J129" s="7" t="s">
        <v>350</v>
      </c>
      <c r="K129" s="7"/>
      <c r="L129" s="7" t="s">
        <v>10518</v>
      </c>
      <c r="M129" s="7" t="s">
        <v>2760</v>
      </c>
      <c r="N129" s="7"/>
      <c r="O129" s="7" t="s">
        <v>10519</v>
      </c>
      <c r="P129" s="7" t="s">
        <v>9236</v>
      </c>
    </row>
    <row r="130" customFormat="false" ht="15" hidden="false" customHeight="false" outlineLevel="0" collapsed="false">
      <c r="A130" s="7" t="s">
        <v>9854</v>
      </c>
      <c r="B130" s="7" t="s">
        <v>10520</v>
      </c>
      <c r="C130" s="7" t="s">
        <v>33</v>
      </c>
      <c r="D130" s="7" t="s">
        <v>1689</v>
      </c>
      <c r="E130" s="7" t="s">
        <v>1822</v>
      </c>
      <c r="F130" s="7" t="s">
        <v>66</v>
      </c>
      <c r="G130" s="7" t="s">
        <v>10521</v>
      </c>
      <c r="H130" s="7" t="s">
        <v>8316</v>
      </c>
      <c r="I130" s="10" t="n">
        <v>2500</v>
      </c>
      <c r="J130" s="7" t="s">
        <v>3239</v>
      </c>
      <c r="K130" s="7"/>
      <c r="L130" s="7" t="s">
        <v>10522</v>
      </c>
      <c r="M130" s="7" t="s">
        <v>1693</v>
      </c>
      <c r="N130" s="7"/>
      <c r="O130" s="7" t="s">
        <v>10523</v>
      </c>
      <c r="P130" s="7" t="s">
        <v>9236</v>
      </c>
    </row>
    <row r="131" customFormat="false" ht="15" hidden="false" customHeight="false" outlineLevel="0" collapsed="false">
      <c r="A131" s="7" t="s">
        <v>9854</v>
      </c>
      <c r="B131" s="7" t="s">
        <v>10524</v>
      </c>
      <c r="C131" s="7" t="s">
        <v>33</v>
      </c>
      <c r="D131" s="7" t="s">
        <v>7441</v>
      </c>
      <c r="E131" s="7" t="s">
        <v>112</v>
      </c>
      <c r="F131" s="7" t="s">
        <v>113</v>
      </c>
      <c r="G131" s="7" t="s">
        <v>10525</v>
      </c>
      <c r="H131" s="7" t="s">
        <v>8316</v>
      </c>
      <c r="I131" s="10" t="n">
        <v>1300</v>
      </c>
      <c r="J131" s="7" t="s">
        <v>350</v>
      </c>
      <c r="K131" s="7"/>
      <c r="L131" s="7" t="s">
        <v>10526</v>
      </c>
      <c r="M131" s="7" t="s">
        <v>1693</v>
      </c>
      <c r="N131" s="7"/>
      <c r="O131" s="7" t="s">
        <v>10527</v>
      </c>
      <c r="P131" s="7" t="s">
        <v>10528</v>
      </c>
    </row>
    <row r="132" customFormat="false" ht="15" hidden="false" customHeight="false" outlineLevel="0" collapsed="false">
      <c r="A132" s="7" t="s">
        <v>9854</v>
      </c>
      <c r="B132" s="7" t="s">
        <v>10529</v>
      </c>
      <c r="C132" s="7" t="s">
        <v>33</v>
      </c>
      <c r="D132" s="7" t="s">
        <v>3512</v>
      </c>
      <c r="E132" s="7" t="s">
        <v>827</v>
      </c>
      <c r="F132" s="7" t="s">
        <v>480</v>
      </c>
      <c r="G132" s="7" t="s">
        <v>10530</v>
      </c>
      <c r="H132" s="7" t="s">
        <v>8316</v>
      </c>
      <c r="I132" s="10" t="n">
        <v>12500</v>
      </c>
      <c r="J132" s="7" t="s">
        <v>3239</v>
      </c>
      <c r="K132" s="7"/>
      <c r="L132" s="7" t="s">
        <v>10531</v>
      </c>
      <c r="M132" s="7" t="s">
        <v>1109</v>
      </c>
      <c r="N132" s="7"/>
      <c r="O132" s="7" t="s">
        <v>10532</v>
      </c>
      <c r="P132" s="7" t="s">
        <v>3517</v>
      </c>
    </row>
    <row r="133" customFormat="false" ht="15" hidden="false" customHeight="false" outlineLevel="0" collapsed="false">
      <c r="A133" s="7" t="s">
        <v>9854</v>
      </c>
      <c r="B133" s="7" t="s">
        <v>10533</v>
      </c>
      <c r="C133" s="7" t="s">
        <v>33</v>
      </c>
      <c r="D133" s="7" t="s">
        <v>1689</v>
      </c>
      <c r="E133" s="7" t="s">
        <v>327</v>
      </c>
      <c r="F133" s="7" t="s">
        <v>328</v>
      </c>
      <c r="G133" s="7" t="s">
        <v>10534</v>
      </c>
      <c r="H133" s="7" t="s">
        <v>8316</v>
      </c>
      <c r="I133" s="10" t="n">
        <v>1500</v>
      </c>
      <c r="J133" s="7" t="s">
        <v>69</v>
      </c>
      <c r="K133" s="7" t="s">
        <v>10535</v>
      </c>
      <c r="L133" s="7" t="s">
        <v>10536</v>
      </c>
      <c r="M133" s="7" t="s">
        <v>1693</v>
      </c>
      <c r="N133" s="7"/>
      <c r="O133" s="7" t="s">
        <v>3485</v>
      </c>
      <c r="P133" s="7" t="s">
        <v>3486</v>
      </c>
    </row>
    <row r="134" customFormat="false" ht="15" hidden="false" customHeight="false" outlineLevel="0" collapsed="false">
      <c r="A134" s="7" t="s">
        <v>9854</v>
      </c>
      <c r="B134" s="7" t="s">
        <v>10537</v>
      </c>
      <c r="C134" s="7" t="s">
        <v>33</v>
      </c>
      <c r="D134" s="7" t="s">
        <v>3475</v>
      </c>
      <c r="E134" s="7" t="s">
        <v>112</v>
      </c>
      <c r="F134" s="7" t="s">
        <v>113</v>
      </c>
      <c r="G134" s="7" t="s">
        <v>10538</v>
      </c>
      <c r="H134" s="7" t="s">
        <v>8316</v>
      </c>
      <c r="I134" s="10" t="n">
        <v>8000</v>
      </c>
      <c r="J134" s="7" t="s">
        <v>377</v>
      </c>
      <c r="K134" s="7"/>
      <c r="L134" s="7" t="s">
        <v>10539</v>
      </c>
      <c r="M134" s="7" t="s">
        <v>1693</v>
      </c>
      <c r="N134" s="7"/>
      <c r="O134" s="7" t="s">
        <v>10540</v>
      </c>
      <c r="P134" s="7" t="s">
        <v>3492</v>
      </c>
    </row>
    <row r="135" customFormat="false" ht="15" hidden="false" customHeight="false" outlineLevel="0" collapsed="false">
      <c r="A135" s="7" t="s">
        <v>9854</v>
      </c>
      <c r="B135" s="7" t="s">
        <v>10541</v>
      </c>
      <c r="C135" s="7" t="s">
        <v>33</v>
      </c>
      <c r="D135" s="7" t="s">
        <v>3512</v>
      </c>
      <c r="E135" s="7" t="s">
        <v>65</v>
      </c>
      <c r="F135" s="7" t="s">
        <v>66</v>
      </c>
      <c r="G135" s="7" t="s">
        <v>10542</v>
      </c>
      <c r="H135" s="7" t="s">
        <v>8316</v>
      </c>
      <c r="I135" s="10" t="n">
        <v>4500</v>
      </c>
      <c r="J135" s="7" t="s">
        <v>69</v>
      </c>
      <c r="K135" s="7" t="s">
        <v>10543</v>
      </c>
      <c r="L135" s="7" t="s">
        <v>10544</v>
      </c>
      <c r="M135" s="7" t="s">
        <v>1109</v>
      </c>
      <c r="N135" s="7"/>
      <c r="O135" s="7" t="s">
        <v>10545</v>
      </c>
      <c r="P135" s="7" t="s">
        <v>3517</v>
      </c>
    </row>
    <row r="136" customFormat="false" ht="15" hidden="false" customHeight="false" outlineLevel="0" collapsed="false">
      <c r="A136" s="7" t="s">
        <v>9854</v>
      </c>
      <c r="B136" s="7" t="s">
        <v>10546</v>
      </c>
      <c r="C136" s="7" t="s">
        <v>33</v>
      </c>
      <c r="D136" s="7" t="s">
        <v>7441</v>
      </c>
      <c r="E136" s="7" t="s">
        <v>2706</v>
      </c>
      <c r="F136" s="7" t="s">
        <v>78</v>
      </c>
      <c r="G136" s="7" t="s">
        <v>10547</v>
      </c>
      <c r="H136" s="7" t="s">
        <v>8316</v>
      </c>
      <c r="I136" s="10" t="n">
        <v>3800</v>
      </c>
      <c r="J136" s="7" t="s">
        <v>377</v>
      </c>
      <c r="K136" s="7"/>
      <c r="L136" s="7" t="s">
        <v>10548</v>
      </c>
      <c r="M136" s="7" t="s">
        <v>1693</v>
      </c>
      <c r="N136" s="7"/>
      <c r="O136" s="7" t="s">
        <v>10549</v>
      </c>
      <c r="P136" s="7" t="s">
        <v>10502</v>
      </c>
    </row>
    <row r="137" customFormat="false" ht="15" hidden="false" customHeight="false" outlineLevel="0" collapsed="false">
      <c r="A137" s="7" t="s">
        <v>9854</v>
      </c>
      <c r="B137" s="7" t="s">
        <v>10550</v>
      </c>
      <c r="C137" s="7" t="s">
        <v>34</v>
      </c>
      <c r="D137" s="7" t="s">
        <v>7515</v>
      </c>
      <c r="E137" s="7" t="s">
        <v>3149</v>
      </c>
      <c r="F137" s="7" t="s">
        <v>172</v>
      </c>
      <c r="G137" s="7" t="s">
        <v>10551</v>
      </c>
      <c r="H137" s="7" t="s">
        <v>8316</v>
      </c>
      <c r="I137" s="10" t="n">
        <v>4000</v>
      </c>
      <c r="J137" s="7" t="s">
        <v>3239</v>
      </c>
      <c r="K137" s="7"/>
      <c r="L137" s="7" t="s">
        <v>10552</v>
      </c>
      <c r="M137" s="7" t="s">
        <v>7527</v>
      </c>
      <c r="N137" s="7"/>
      <c r="O137" s="7" t="s">
        <v>10553</v>
      </c>
      <c r="P137" s="7" t="s">
        <v>10554</v>
      </c>
    </row>
    <row r="138" customFormat="false" ht="15" hidden="false" customHeight="false" outlineLevel="0" collapsed="false">
      <c r="A138" s="7" t="s">
        <v>9854</v>
      </c>
      <c r="B138" s="7" t="s">
        <v>10555</v>
      </c>
      <c r="C138" s="7" t="s">
        <v>34</v>
      </c>
      <c r="D138" s="7" t="s">
        <v>10556</v>
      </c>
      <c r="E138" s="7" t="s">
        <v>10557</v>
      </c>
      <c r="F138" s="7" t="s">
        <v>78</v>
      </c>
      <c r="G138" s="7" t="s">
        <v>10558</v>
      </c>
      <c r="H138" s="7" t="s">
        <v>8316</v>
      </c>
      <c r="I138" s="10" t="n">
        <v>1000</v>
      </c>
      <c r="J138" s="7" t="s">
        <v>350</v>
      </c>
      <c r="K138" s="7"/>
      <c r="L138" s="7" t="s">
        <v>10559</v>
      </c>
      <c r="M138" s="7" t="s">
        <v>3608</v>
      </c>
      <c r="N138" s="7"/>
      <c r="O138" s="7" t="s">
        <v>10560</v>
      </c>
      <c r="P138" s="7" t="s">
        <v>10561</v>
      </c>
    </row>
    <row r="139" customFormat="false" ht="15" hidden="false" customHeight="false" outlineLevel="0" collapsed="false">
      <c r="A139" s="7" t="s">
        <v>9854</v>
      </c>
      <c r="B139" s="7" t="s">
        <v>10562</v>
      </c>
      <c r="C139" s="7" t="s">
        <v>34</v>
      </c>
      <c r="D139" s="7" t="s">
        <v>10563</v>
      </c>
      <c r="E139" s="7" t="s">
        <v>10564</v>
      </c>
      <c r="F139" s="7" t="s">
        <v>147</v>
      </c>
      <c r="G139" s="7" t="s">
        <v>10565</v>
      </c>
      <c r="H139" s="7" t="s">
        <v>8316</v>
      </c>
      <c r="I139" s="10" t="n">
        <v>15000</v>
      </c>
      <c r="J139" s="7" t="s">
        <v>3239</v>
      </c>
      <c r="K139" s="7"/>
      <c r="L139" s="7" t="s">
        <v>10566</v>
      </c>
      <c r="M139" s="7" t="s">
        <v>10567</v>
      </c>
      <c r="N139" s="7"/>
      <c r="O139" s="7" t="s">
        <v>10568</v>
      </c>
      <c r="P139" s="7" t="s">
        <v>10569</v>
      </c>
    </row>
    <row r="140" customFormat="false" ht="15" hidden="false" customHeight="false" outlineLevel="0" collapsed="false">
      <c r="A140" s="7" t="s">
        <v>9854</v>
      </c>
      <c r="B140" s="7" t="s">
        <v>10570</v>
      </c>
      <c r="C140" s="7" t="s">
        <v>34</v>
      </c>
      <c r="D140" s="7" t="s">
        <v>7608</v>
      </c>
      <c r="E140" s="7" t="s">
        <v>723</v>
      </c>
      <c r="F140" s="7" t="s">
        <v>105</v>
      </c>
      <c r="G140" s="7" t="s">
        <v>10571</v>
      </c>
      <c r="H140" s="7" t="s">
        <v>8316</v>
      </c>
      <c r="I140" s="10" t="n">
        <v>17000</v>
      </c>
      <c r="J140" s="7" t="s">
        <v>69</v>
      </c>
      <c r="K140" s="7" t="s">
        <v>7525</v>
      </c>
      <c r="L140" s="7" t="s">
        <v>10572</v>
      </c>
      <c r="M140" s="7" t="s">
        <v>7527</v>
      </c>
      <c r="N140" s="7"/>
      <c r="O140" s="7" t="s">
        <v>10573</v>
      </c>
      <c r="P140" s="7" t="s">
        <v>10574</v>
      </c>
    </row>
    <row r="141" customFormat="false" ht="15" hidden="false" customHeight="false" outlineLevel="0" collapsed="false">
      <c r="A141" s="7" t="s">
        <v>9854</v>
      </c>
      <c r="B141" s="7" t="s">
        <v>10575</v>
      </c>
      <c r="C141" s="7" t="s">
        <v>34</v>
      </c>
      <c r="D141" s="7" t="s">
        <v>10576</v>
      </c>
      <c r="E141" s="7" t="s">
        <v>10577</v>
      </c>
      <c r="F141" s="7" t="s">
        <v>137</v>
      </c>
      <c r="G141" s="7" t="s">
        <v>10578</v>
      </c>
      <c r="H141" s="7" t="s">
        <v>8316</v>
      </c>
      <c r="I141" s="10" t="n">
        <v>5000</v>
      </c>
      <c r="J141" s="7" t="s">
        <v>3239</v>
      </c>
      <c r="K141" s="7"/>
      <c r="L141" s="7" t="s">
        <v>10579</v>
      </c>
      <c r="M141" s="7" t="s">
        <v>7527</v>
      </c>
      <c r="N141" s="7"/>
      <c r="O141" s="7" t="s">
        <v>10580</v>
      </c>
      <c r="P141" s="7" t="s">
        <v>10581</v>
      </c>
    </row>
    <row r="142" customFormat="false" ht="15" hidden="false" customHeight="false" outlineLevel="0" collapsed="false">
      <c r="A142" s="7" t="s">
        <v>9854</v>
      </c>
      <c r="B142" s="7" t="s">
        <v>10582</v>
      </c>
      <c r="C142" s="7" t="s">
        <v>34</v>
      </c>
      <c r="D142" s="7" t="s">
        <v>10583</v>
      </c>
      <c r="E142" s="7" t="s">
        <v>10584</v>
      </c>
      <c r="F142" s="7" t="s">
        <v>610</v>
      </c>
      <c r="G142" s="7" t="s">
        <v>10585</v>
      </c>
      <c r="H142" s="7" t="s">
        <v>8316</v>
      </c>
      <c r="I142" s="10" t="n">
        <v>4500</v>
      </c>
      <c r="J142" s="7" t="s">
        <v>69</v>
      </c>
      <c r="K142" s="7" t="s">
        <v>157</v>
      </c>
      <c r="L142" s="7" t="s">
        <v>10586</v>
      </c>
      <c r="M142" s="7" t="s">
        <v>3608</v>
      </c>
      <c r="N142" s="7"/>
      <c r="O142" s="7" t="s">
        <v>10587</v>
      </c>
      <c r="P142" s="7" t="s">
        <v>10588</v>
      </c>
    </row>
    <row r="143" customFormat="false" ht="15" hidden="false" customHeight="false" outlineLevel="0" collapsed="false">
      <c r="A143" s="7" t="s">
        <v>9854</v>
      </c>
      <c r="B143" s="7" t="s">
        <v>10589</v>
      </c>
      <c r="C143" s="7" t="s">
        <v>34</v>
      </c>
      <c r="D143" s="7" t="s">
        <v>7608</v>
      </c>
      <c r="E143" s="7" t="s">
        <v>835</v>
      </c>
      <c r="F143" s="7" t="s">
        <v>338</v>
      </c>
      <c r="G143" s="7" t="s">
        <v>10590</v>
      </c>
      <c r="H143" s="7" t="s">
        <v>8316</v>
      </c>
      <c r="I143" s="10" t="n">
        <v>8000</v>
      </c>
      <c r="J143" s="7" t="s">
        <v>3239</v>
      </c>
      <c r="K143" s="7"/>
      <c r="L143" s="7" t="s">
        <v>10591</v>
      </c>
      <c r="M143" s="7" t="s">
        <v>7527</v>
      </c>
      <c r="N143" s="7"/>
      <c r="O143" s="7" t="s">
        <v>10592</v>
      </c>
      <c r="P143" s="7" t="s">
        <v>10593</v>
      </c>
    </row>
    <row r="144" customFormat="false" ht="15" hidden="false" customHeight="false" outlineLevel="0" collapsed="false">
      <c r="A144" s="7" t="s">
        <v>9854</v>
      </c>
      <c r="B144" s="7" t="s">
        <v>10594</v>
      </c>
      <c r="C144" s="7" t="s">
        <v>34</v>
      </c>
      <c r="D144" s="7" t="s">
        <v>9421</v>
      </c>
      <c r="E144" s="7" t="s">
        <v>9157</v>
      </c>
      <c r="F144" s="7" t="s">
        <v>147</v>
      </c>
      <c r="G144" s="7" t="s">
        <v>10595</v>
      </c>
      <c r="H144" s="7" t="s">
        <v>8316</v>
      </c>
      <c r="I144" s="10" t="n">
        <v>5500</v>
      </c>
      <c r="J144" s="7" t="s">
        <v>69</v>
      </c>
      <c r="K144" s="7" t="s">
        <v>7525</v>
      </c>
      <c r="L144" s="7" t="s">
        <v>10596</v>
      </c>
      <c r="M144" s="7" t="s">
        <v>10597</v>
      </c>
      <c r="N144" s="7"/>
      <c r="O144" s="7" t="s">
        <v>10598</v>
      </c>
      <c r="P144" s="7" t="s">
        <v>10599</v>
      </c>
    </row>
    <row r="145" customFormat="false" ht="15" hidden="false" customHeight="false" outlineLevel="0" collapsed="false">
      <c r="A145" s="7" t="s">
        <v>9854</v>
      </c>
      <c r="B145" s="7" t="s">
        <v>10600</v>
      </c>
      <c r="C145" s="7" t="s">
        <v>34</v>
      </c>
      <c r="D145" s="7" t="s">
        <v>10576</v>
      </c>
      <c r="E145" s="7" t="s">
        <v>10601</v>
      </c>
      <c r="F145" s="7" t="s">
        <v>137</v>
      </c>
      <c r="G145" s="7" t="s">
        <v>10602</v>
      </c>
      <c r="H145" s="7" t="s">
        <v>8316</v>
      </c>
      <c r="I145" s="10" t="n">
        <v>7000</v>
      </c>
      <c r="J145" s="7" t="s">
        <v>69</v>
      </c>
      <c r="K145" s="7" t="s">
        <v>715</v>
      </c>
      <c r="L145" s="7" t="s">
        <v>10603</v>
      </c>
      <c r="M145" s="7" t="s">
        <v>7527</v>
      </c>
      <c r="N145" s="7"/>
      <c r="O145" s="7" t="s">
        <v>10604</v>
      </c>
      <c r="P145" s="7" t="s">
        <v>10605</v>
      </c>
    </row>
    <row r="146" customFormat="false" ht="15" hidden="false" customHeight="false" outlineLevel="0" collapsed="false">
      <c r="A146" s="7" t="s">
        <v>9854</v>
      </c>
      <c r="B146" s="7" t="s">
        <v>10606</v>
      </c>
      <c r="C146" s="7" t="s">
        <v>34</v>
      </c>
      <c r="D146" s="7" t="s">
        <v>10607</v>
      </c>
      <c r="E146" s="7" t="s">
        <v>8534</v>
      </c>
      <c r="F146" s="7" t="s">
        <v>78</v>
      </c>
      <c r="G146" s="7" t="s">
        <v>10608</v>
      </c>
      <c r="H146" s="7" t="s">
        <v>8316</v>
      </c>
      <c r="I146" s="10" t="n">
        <v>13000</v>
      </c>
      <c r="J146" s="7" t="s">
        <v>69</v>
      </c>
      <c r="K146" s="7" t="s">
        <v>10609</v>
      </c>
      <c r="L146" s="7" t="s">
        <v>10610</v>
      </c>
      <c r="M146" s="7" t="s">
        <v>7527</v>
      </c>
      <c r="N146" s="7"/>
      <c r="O146" s="7" t="s">
        <v>10611</v>
      </c>
      <c r="P146" s="7" t="s">
        <v>10612</v>
      </c>
    </row>
    <row r="147" customFormat="false" ht="15" hidden="false" customHeight="false" outlineLevel="0" collapsed="false">
      <c r="A147" s="7" t="s">
        <v>9854</v>
      </c>
      <c r="B147" s="7" t="s">
        <v>10613</v>
      </c>
      <c r="C147" s="7" t="s">
        <v>34</v>
      </c>
      <c r="D147" s="7" t="s">
        <v>10614</v>
      </c>
      <c r="E147" s="7" t="s">
        <v>10615</v>
      </c>
      <c r="F147" s="7" t="s">
        <v>954</v>
      </c>
      <c r="G147" s="7" t="s">
        <v>10616</v>
      </c>
      <c r="H147" s="7" t="s">
        <v>8316</v>
      </c>
      <c r="I147" s="10" t="n">
        <v>5000</v>
      </c>
      <c r="J147" s="7" t="s">
        <v>3239</v>
      </c>
      <c r="K147" s="7"/>
      <c r="L147" s="7" t="s">
        <v>10617</v>
      </c>
      <c r="M147" s="7" t="s">
        <v>10618</v>
      </c>
      <c r="N147" s="7"/>
      <c r="O147" s="7" t="s">
        <v>10619</v>
      </c>
      <c r="P147" s="7" t="s">
        <v>10620</v>
      </c>
    </row>
    <row r="148" customFormat="false" ht="15" hidden="false" customHeight="false" outlineLevel="0" collapsed="false">
      <c r="A148" s="7" t="s">
        <v>9854</v>
      </c>
      <c r="B148" s="7" t="s">
        <v>10621</v>
      </c>
      <c r="C148" s="7" t="s">
        <v>34</v>
      </c>
      <c r="D148" s="7" t="s">
        <v>7515</v>
      </c>
      <c r="E148" s="7" t="s">
        <v>10622</v>
      </c>
      <c r="F148" s="7" t="s">
        <v>78</v>
      </c>
      <c r="G148" s="7" t="s">
        <v>10623</v>
      </c>
      <c r="H148" s="7" t="s">
        <v>8316</v>
      </c>
      <c r="I148" s="10" t="n">
        <v>4000</v>
      </c>
      <c r="J148" s="7" t="s">
        <v>350</v>
      </c>
      <c r="K148" s="7"/>
      <c r="L148" s="7" t="s">
        <v>10624</v>
      </c>
      <c r="M148" s="7" t="s">
        <v>3608</v>
      </c>
      <c r="N148" s="7"/>
      <c r="O148" s="7" t="s">
        <v>10625</v>
      </c>
      <c r="P148" s="7" t="s">
        <v>10626</v>
      </c>
    </row>
    <row r="149" customFormat="false" ht="15" hidden="false" customHeight="false" outlineLevel="0" collapsed="false">
      <c r="A149" s="7" t="s">
        <v>9854</v>
      </c>
      <c r="B149" s="7" t="s">
        <v>10627</v>
      </c>
      <c r="C149" s="7" t="s">
        <v>34</v>
      </c>
      <c r="D149" s="7" t="s">
        <v>10628</v>
      </c>
      <c r="E149" s="7" t="s">
        <v>3162</v>
      </c>
      <c r="F149" s="7" t="s">
        <v>113</v>
      </c>
      <c r="G149" s="7" t="s">
        <v>10629</v>
      </c>
      <c r="H149" s="7" t="s">
        <v>8316</v>
      </c>
      <c r="I149" s="10" t="n">
        <v>20000</v>
      </c>
      <c r="J149" s="7" t="s">
        <v>69</v>
      </c>
      <c r="K149" s="7" t="s">
        <v>10630</v>
      </c>
      <c r="L149" s="7" t="s">
        <v>10631</v>
      </c>
      <c r="M149" s="7" t="s">
        <v>10632</v>
      </c>
      <c r="N149" s="7"/>
      <c r="O149" s="7" t="s">
        <v>10633</v>
      </c>
      <c r="P149" s="7" t="s">
        <v>1752</v>
      </c>
    </row>
    <row r="150" customFormat="false" ht="15" hidden="false" customHeight="false" outlineLevel="0" collapsed="false">
      <c r="A150" s="7" t="s">
        <v>9854</v>
      </c>
      <c r="B150" s="7" t="s">
        <v>10634</v>
      </c>
      <c r="C150" s="7" t="s">
        <v>34</v>
      </c>
      <c r="D150" s="7" t="s">
        <v>10635</v>
      </c>
      <c r="E150" s="7" t="s">
        <v>10636</v>
      </c>
      <c r="F150" s="7" t="s">
        <v>172</v>
      </c>
      <c r="G150" s="7" t="s">
        <v>10637</v>
      </c>
      <c r="H150" s="7" t="s">
        <v>8316</v>
      </c>
      <c r="I150" s="10" t="n">
        <v>4500</v>
      </c>
      <c r="J150" s="7" t="s">
        <v>350</v>
      </c>
      <c r="K150" s="7"/>
      <c r="L150" s="7" t="s">
        <v>10638</v>
      </c>
      <c r="M150" s="7" t="s">
        <v>7527</v>
      </c>
      <c r="N150" s="7"/>
      <c r="O150" s="7" t="s">
        <v>10639</v>
      </c>
      <c r="P150" s="7" t="s">
        <v>10640</v>
      </c>
    </row>
    <row r="151" customFormat="false" ht="15" hidden="false" customHeight="false" outlineLevel="0" collapsed="false">
      <c r="A151" s="7" t="s">
        <v>9854</v>
      </c>
      <c r="B151" s="7" t="s">
        <v>10641</v>
      </c>
      <c r="C151" s="7" t="s">
        <v>34</v>
      </c>
      <c r="D151" s="7" t="s">
        <v>7515</v>
      </c>
      <c r="E151" s="7" t="s">
        <v>10642</v>
      </c>
      <c r="F151" s="7" t="s">
        <v>113</v>
      </c>
      <c r="G151" s="7" t="s">
        <v>10643</v>
      </c>
      <c r="H151" s="7" t="s">
        <v>8316</v>
      </c>
      <c r="I151" s="10" t="n">
        <v>4500</v>
      </c>
      <c r="J151" s="7" t="s">
        <v>3239</v>
      </c>
      <c r="K151" s="7"/>
      <c r="L151" s="7" t="s">
        <v>10644</v>
      </c>
      <c r="M151" s="7" t="s">
        <v>10645</v>
      </c>
      <c r="N151" s="7"/>
      <c r="O151" s="7" t="s">
        <v>10646</v>
      </c>
      <c r="P151" s="7" t="s">
        <v>10647</v>
      </c>
    </row>
    <row r="152" customFormat="false" ht="15" hidden="false" customHeight="false" outlineLevel="0" collapsed="false">
      <c r="A152" s="7" t="s">
        <v>9854</v>
      </c>
      <c r="B152" s="7" t="s">
        <v>10648</v>
      </c>
      <c r="C152" s="7" t="s">
        <v>34</v>
      </c>
      <c r="D152" s="7" t="s">
        <v>10576</v>
      </c>
      <c r="E152" s="7" t="s">
        <v>10649</v>
      </c>
      <c r="F152" s="7" t="s">
        <v>155</v>
      </c>
      <c r="G152" s="7" t="s">
        <v>10650</v>
      </c>
      <c r="H152" s="7" t="s">
        <v>8316</v>
      </c>
      <c r="I152" s="10" t="n">
        <v>10000</v>
      </c>
      <c r="J152" s="7" t="s">
        <v>3239</v>
      </c>
      <c r="K152" s="7"/>
      <c r="L152" s="7" t="s">
        <v>10651</v>
      </c>
      <c r="M152" s="7" t="s">
        <v>3608</v>
      </c>
      <c r="N152" s="7"/>
      <c r="O152" s="7" t="s">
        <v>10652</v>
      </c>
      <c r="P152" s="7" t="s">
        <v>10653</v>
      </c>
    </row>
    <row r="153" customFormat="false" ht="15" hidden="false" customHeight="false" outlineLevel="0" collapsed="false">
      <c r="A153" s="7" t="s">
        <v>9854</v>
      </c>
      <c r="B153" s="7" t="s">
        <v>10654</v>
      </c>
      <c r="C153" s="7" t="s">
        <v>34</v>
      </c>
      <c r="D153" s="7" t="s">
        <v>10655</v>
      </c>
      <c r="E153" s="7" t="s">
        <v>121</v>
      </c>
      <c r="F153" s="7" t="s">
        <v>122</v>
      </c>
      <c r="G153" s="7" t="s">
        <v>10656</v>
      </c>
      <c r="H153" s="7" t="s">
        <v>8316</v>
      </c>
      <c r="I153" s="10" t="n">
        <v>9000</v>
      </c>
      <c r="J153" s="7" t="s">
        <v>517</v>
      </c>
      <c r="K153" s="7"/>
      <c r="L153" s="7" t="s">
        <v>10657</v>
      </c>
      <c r="M153" s="7" t="s">
        <v>7612</v>
      </c>
      <c r="N153" s="7"/>
      <c r="O153" s="7" t="s">
        <v>10658</v>
      </c>
      <c r="P153" s="7" t="s">
        <v>10659</v>
      </c>
    </row>
    <row r="154" customFormat="false" ht="15" hidden="false" customHeight="false" outlineLevel="0" collapsed="false">
      <c r="A154" s="7" t="s">
        <v>9854</v>
      </c>
      <c r="B154" s="7" t="s">
        <v>10660</v>
      </c>
      <c r="C154" s="7" t="s">
        <v>34</v>
      </c>
      <c r="D154" s="7" t="s">
        <v>10661</v>
      </c>
      <c r="E154" s="7" t="s">
        <v>10662</v>
      </c>
      <c r="F154" s="7" t="s">
        <v>66</v>
      </c>
      <c r="G154" s="7" t="s">
        <v>10663</v>
      </c>
      <c r="H154" s="7" t="s">
        <v>8316</v>
      </c>
      <c r="I154" s="10" t="n">
        <v>4000</v>
      </c>
      <c r="J154" s="7" t="s">
        <v>350</v>
      </c>
      <c r="K154" s="7"/>
      <c r="L154" s="7" t="s">
        <v>10664</v>
      </c>
      <c r="M154" s="7" t="s">
        <v>3608</v>
      </c>
      <c r="N154" s="7"/>
      <c r="O154" s="7" t="s">
        <v>10665</v>
      </c>
      <c r="P154" s="7" t="s">
        <v>10666</v>
      </c>
    </row>
    <row r="155" customFormat="false" ht="15" hidden="false" customHeight="false" outlineLevel="0" collapsed="false">
      <c r="A155" s="7" t="s">
        <v>9854</v>
      </c>
      <c r="B155" s="7" t="s">
        <v>10667</v>
      </c>
      <c r="C155" s="7" t="s">
        <v>34</v>
      </c>
      <c r="D155" s="7" t="s">
        <v>10668</v>
      </c>
      <c r="E155" s="7" t="s">
        <v>8655</v>
      </c>
      <c r="F155" s="7" t="s">
        <v>328</v>
      </c>
      <c r="G155" s="7" t="s">
        <v>10669</v>
      </c>
      <c r="H155" s="7" t="s">
        <v>8316</v>
      </c>
      <c r="I155" s="10" t="n">
        <v>8000</v>
      </c>
      <c r="J155" s="7" t="s">
        <v>377</v>
      </c>
      <c r="K155" s="7"/>
      <c r="L155" s="7" t="s">
        <v>10670</v>
      </c>
      <c r="M155" s="7" t="s">
        <v>7598</v>
      </c>
      <c r="N155" s="7"/>
      <c r="O155" s="7" t="s">
        <v>10671</v>
      </c>
      <c r="P155" s="7" t="s">
        <v>10672</v>
      </c>
    </row>
    <row r="156" customFormat="false" ht="15" hidden="false" customHeight="false" outlineLevel="0" collapsed="false">
      <c r="A156" s="7" t="s">
        <v>9854</v>
      </c>
      <c r="B156" s="7" t="s">
        <v>10673</v>
      </c>
      <c r="C156" s="7" t="s">
        <v>35</v>
      </c>
      <c r="D156" s="7" t="s">
        <v>10674</v>
      </c>
      <c r="E156" s="7" t="s">
        <v>10675</v>
      </c>
      <c r="F156" s="7" t="s">
        <v>338</v>
      </c>
      <c r="G156" s="7" t="s">
        <v>10676</v>
      </c>
      <c r="H156" s="7" t="s">
        <v>8316</v>
      </c>
      <c r="I156" s="10" t="n">
        <v>3500</v>
      </c>
      <c r="J156" s="7" t="s">
        <v>69</v>
      </c>
      <c r="K156" s="7" t="s">
        <v>157</v>
      </c>
      <c r="L156" s="7" t="s">
        <v>10677</v>
      </c>
      <c r="M156" s="7" t="s">
        <v>1826</v>
      </c>
      <c r="N156" s="7"/>
      <c r="O156" s="7" t="s">
        <v>10678</v>
      </c>
      <c r="P156" s="7" t="s">
        <v>10679</v>
      </c>
    </row>
    <row r="157" customFormat="false" ht="15" hidden="false" customHeight="false" outlineLevel="0" collapsed="false">
      <c r="A157" s="7" t="s">
        <v>9854</v>
      </c>
      <c r="B157" s="7" t="s">
        <v>10680</v>
      </c>
      <c r="C157" s="7" t="s">
        <v>36</v>
      </c>
      <c r="D157" s="7" t="s">
        <v>8168</v>
      </c>
      <c r="E157" s="7" t="s">
        <v>6153</v>
      </c>
      <c r="F157" s="7" t="s">
        <v>155</v>
      </c>
      <c r="G157" s="7" t="s">
        <v>10681</v>
      </c>
      <c r="H157" s="7" t="s">
        <v>8316</v>
      </c>
      <c r="I157" s="10" t="n">
        <v>3000</v>
      </c>
      <c r="J157" s="7" t="s">
        <v>69</v>
      </c>
      <c r="K157" s="7" t="s">
        <v>8143</v>
      </c>
      <c r="L157" s="7" t="s">
        <v>10682</v>
      </c>
      <c r="M157" s="7" t="s">
        <v>2339</v>
      </c>
      <c r="N157" s="7"/>
      <c r="O157" s="7" t="s">
        <v>10683</v>
      </c>
      <c r="P157" s="7" t="s">
        <v>10684</v>
      </c>
    </row>
    <row r="158" customFormat="false" ht="15" hidden="false" customHeight="false" outlineLevel="0" collapsed="false">
      <c r="A158" s="7" t="s">
        <v>9854</v>
      </c>
      <c r="B158" s="7" t="s">
        <v>10685</v>
      </c>
      <c r="C158" s="7" t="s">
        <v>36</v>
      </c>
      <c r="D158" s="7" t="s">
        <v>10686</v>
      </c>
      <c r="E158" s="7" t="s">
        <v>10687</v>
      </c>
      <c r="F158" s="7" t="s">
        <v>78</v>
      </c>
      <c r="G158" s="7" t="s">
        <v>10688</v>
      </c>
      <c r="H158" s="7" t="s">
        <v>8316</v>
      </c>
      <c r="I158" s="10" t="n">
        <v>700</v>
      </c>
      <c r="J158" s="7" t="s">
        <v>3239</v>
      </c>
      <c r="K158" s="7"/>
      <c r="L158" s="7" t="s">
        <v>10689</v>
      </c>
      <c r="M158" s="7" t="s">
        <v>4282</v>
      </c>
      <c r="N158" s="7"/>
      <c r="O158" s="7" t="s">
        <v>10690</v>
      </c>
      <c r="P158" s="7" t="s">
        <v>2334</v>
      </c>
    </row>
    <row r="159" customFormat="false" ht="15" hidden="false" customHeight="false" outlineLevel="0" collapsed="false">
      <c r="A159" s="7" t="s">
        <v>9854</v>
      </c>
      <c r="B159" s="7" t="s">
        <v>10691</v>
      </c>
      <c r="C159" s="7" t="s">
        <v>36</v>
      </c>
      <c r="D159" s="7" t="s">
        <v>10692</v>
      </c>
      <c r="E159" s="7" t="s">
        <v>853</v>
      </c>
      <c r="F159" s="7" t="s">
        <v>854</v>
      </c>
      <c r="G159" s="7" t="s">
        <v>10693</v>
      </c>
      <c r="H159" s="7" t="s">
        <v>8316</v>
      </c>
      <c r="I159" s="10" t="n">
        <v>3500</v>
      </c>
      <c r="J159" s="7" t="s">
        <v>3239</v>
      </c>
      <c r="K159" s="7"/>
      <c r="L159" s="7"/>
      <c r="M159" s="7" t="s">
        <v>4289</v>
      </c>
      <c r="N159" s="7"/>
      <c r="O159" s="7" t="s">
        <v>10694</v>
      </c>
      <c r="P159" s="7" t="s">
        <v>8065</v>
      </c>
    </row>
    <row r="160" customFormat="false" ht="15" hidden="false" customHeight="false" outlineLevel="0" collapsed="false">
      <c r="A160" s="7" t="s">
        <v>9854</v>
      </c>
      <c r="B160" s="7" t="s">
        <v>10695</v>
      </c>
      <c r="C160" s="7" t="s">
        <v>36</v>
      </c>
      <c r="D160" s="7" t="s">
        <v>8109</v>
      </c>
      <c r="E160" s="7" t="s">
        <v>723</v>
      </c>
      <c r="F160" s="7" t="s">
        <v>105</v>
      </c>
      <c r="G160" s="7" t="s">
        <v>10696</v>
      </c>
      <c r="H160" s="7" t="s">
        <v>8316</v>
      </c>
      <c r="I160" s="10" t="n">
        <v>500</v>
      </c>
      <c r="J160" s="7" t="s">
        <v>350</v>
      </c>
      <c r="K160" s="7"/>
      <c r="L160" s="7"/>
      <c r="M160" s="7" t="s">
        <v>8112</v>
      </c>
      <c r="N160" s="7"/>
      <c r="O160" s="7" t="s">
        <v>10697</v>
      </c>
      <c r="P160" s="7" t="s">
        <v>2334</v>
      </c>
    </row>
    <row r="161" customFormat="false" ht="15" hidden="false" customHeight="false" outlineLevel="0" collapsed="false">
      <c r="A161" s="7" t="s">
        <v>9854</v>
      </c>
      <c r="B161" s="7" t="s">
        <v>10698</v>
      </c>
      <c r="C161" s="7" t="s">
        <v>36</v>
      </c>
      <c r="D161" s="7" t="s">
        <v>10699</v>
      </c>
      <c r="E161" s="7" t="s">
        <v>10700</v>
      </c>
      <c r="F161" s="7" t="s">
        <v>163</v>
      </c>
      <c r="G161" s="7" t="s">
        <v>10701</v>
      </c>
      <c r="H161" s="7" t="s">
        <v>8316</v>
      </c>
      <c r="I161" s="10" t="n">
        <v>1200</v>
      </c>
      <c r="J161" s="7" t="s">
        <v>69</v>
      </c>
      <c r="K161" s="7" t="s">
        <v>8264</v>
      </c>
      <c r="L161" s="7" t="s">
        <v>8265</v>
      </c>
      <c r="M161" s="7" t="s">
        <v>2331</v>
      </c>
      <c r="N161" s="7"/>
      <c r="O161" s="7" t="s">
        <v>10702</v>
      </c>
      <c r="P161" s="7" t="s">
        <v>2334</v>
      </c>
    </row>
    <row r="162" customFormat="false" ht="15" hidden="false" customHeight="false" outlineLevel="0" collapsed="false">
      <c r="A162" s="7" t="s">
        <v>9854</v>
      </c>
      <c r="B162" s="7" t="s">
        <v>10703</v>
      </c>
      <c r="C162" s="7" t="s">
        <v>36</v>
      </c>
      <c r="D162" s="7" t="s">
        <v>10704</v>
      </c>
      <c r="E162" s="7" t="s">
        <v>10705</v>
      </c>
      <c r="F162" s="7" t="s">
        <v>779</v>
      </c>
      <c r="G162" s="7" t="s">
        <v>10706</v>
      </c>
      <c r="H162" s="7" t="s">
        <v>8316</v>
      </c>
      <c r="I162" s="10" t="n">
        <v>9000</v>
      </c>
      <c r="J162" s="7" t="s">
        <v>350</v>
      </c>
      <c r="K162" s="7"/>
      <c r="L162" s="7" t="s">
        <v>10707</v>
      </c>
      <c r="M162" s="7" t="s">
        <v>4289</v>
      </c>
      <c r="N162" s="7"/>
      <c r="O162" s="7" t="s">
        <v>10708</v>
      </c>
      <c r="P162" s="7" t="s">
        <v>8065</v>
      </c>
    </row>
    <row r="163" customFormat="false" ht="15" hidden="false" customHeight="false" outlineLevel="0" collapsed="false">
      <c r="A163" s="7" t="s">
        <v>9854</v>
      </c>
      <c r="B163" s="7" t="s">
        <v>10709</v>
      </c>
      <c r="C163" s="7" t="s">
        <v>36</v>
      </c>
      <c r="D163" s="7" t="s">
        <v>8100</v>
      </c>
      <c r="E163" s="7" t="s">
        <v>2484</v>
      </c>
      <c r="F163" s="7" t="s">
        <v>779</v>
      </c>
      <c r="G163" s="7" t="s">
        <v>10710</v>
      </c>
      <c r="H163" s="7" t="s">
        <v>8316</v>
      </c>
      <c r="I163" s="10" t="n">
        <v>800</v>
      </c>
      <c r="J163" s="7" t="s">
        <v>350</v>
      </c>
      <c r="K163" s="7"/>
      <c r="L163" s="7" t="s">
        <v>10711</v>
      </c>
      <c r="M163" s="7" t="s">
        <v>2331</v>
      </c>
      <c r="N163" s="7"/>
      <c r="O163" s="7" t="s">
        <v>10712</v>
      </c>
      <c r="P163" s="7" t="s">
        <v>2334</v>
      </c>
    </row>
    <row r="164" customFormat="false" ht="15" hidden="false" customHeight="false" outlineLevel="0" collapsed="false">
      <c r="A164" s="7" t="s">
        <v>9854</v>
      </c>
      <c r="B164" s="7" t="s">
        <v>10713</v>
      </c>
      <c r="C164" s="7" t="s">
        <v>36</v>
      </c>
      <c r="D164" s="7" t="s">
        <v>10714</v>
      </c>
      <c r="E164" s="7" t="s">
        <v>10715</v>
      </c>
      <c r="F164" s="7" t="s">
        <v>66</v>
      </c>
      <c r="G164" s="7" t="s">
        <v>10716</v>
      </c>
      <c r="H164" s="7" t="s">
        <v>8316</v>
      </c>
      <c r="I164" s="10" t="n">
        <v>3500</v>
      </c>
      <c r="J164" s="7" t="s">
        <v>3239</v>
      </c>
      <c r="K164" s="7"/>
      <c r="L164" s="7" t="s">
        <v>10717</v>
      </c>
      <c r="M164" s="7" t="s">
        <v>4289</v>
      </c>
      <c r="N164" s="7"/>
      <c r="O164" s="7" t="s">
        <v>10718</v>
      </c>
      <c r="P164" s="7" t="s">
        <v>8065</v>
      </c>
    </row>
    <row r="165" customFormat="false" ht="15" hidden="false" customHeight="false" outlineLevel="0" collapsed="false">
      <c r="A165" s="7" t="s">
        <v>9854</v>
      </c>
      <c r="B165" s="7" t="s">
        <v>10719</v>
      </c>
      <c r="C165" s="7" t="s">
        <v>36</v>
      </c>
      <c r="D165" s="7" t="s">
        <v>8090</v>
      </c>
      <c r="E165" s="7" t="s">
        <v>1907</v>
      </c>
      <c r="F165" s="7" t="s">
        <v>206</v>
      </c>
      <c r="G165" s="7" t="s">
        <v>10720</v>
      </c>
      <c r="H165" s="7" t="s">
        <v>8316</v>
      </c>
      <c r="I165" s="10" t="n">
        <v>6500</v>
      </c>
      <c r="J165" s="7" t="s">
        <v>3239</v>
      </c>
      <c r="K165" s="7"/>
      <c r="L165" s="7" t="s">
        <v>10721</v>
      </c>
      <c r="M165" s="7" t="s">
        <v>4289</v>
      </c>
      <c r="N165" s="7"/>
      <c r="O165" s="7" t="s">
        <v>10722</v>
      </c>
      <c r="P165" s="7" t="s">
        <v>8065</v>
      </c>
    </row>
    <row r="166" customFormat="false" ht="15" hidden="false" customHeight="false" outlineLevel="0" collapsed="false">
      <c r="A166" s="7" t="s">
        <v>9854</v>
      </c>
      <c r="B166" s="7" t="s">
        <v>10723</v>
      </c>
      <c r="C166" s="7" t="s">
        <v>36</v>
      </c>
      <c r="D166" s="7" t="s">
        <v>10724</v>
      </c>
      <c r="E166" s="7" t="s">
        <v>1080</v>
      </c>
      <c r="F166" s="7" t="s">
        <v>1081</v>
      </c>
      <c r="G166" s="7" t="s">
        <v>10725</v>
      </c>
      <c r="H166" s="7" t="s">
        <v>8316</v>
      </c>
      <c r="I166" s="10" t="n">
        <v>5000</v>
      </c>
      <c r="J166" s="7" t="s">
        <v>3239</v>
      </c>
      <c r="K166" s="7"/>
      <c r="L166" s="7" t="s">
        <v>10726</v>
      </c>
      <c r="M166" s="7" t="s">
        <v>4289</v>
      </c>
      <c r="N166" s="7"/>
      <c r="O166" s="7" t="s">
        <v>10727</v>
      </c>
      <c r="P166" s="7" t="s">
        <v>8065</v>
      </c>
    </row>
    <row r="167" customFormat="false" ht="15" hidden="false" customHeight="false" outlineLevel="0" collapsed="false">
      <c r="A167" s="7" t="s">
        <v>9854</v>
      </c>
      <c r="B167" s="7" t="s">
        <v>10728</v>
      </c>
      <c r="C167" s="7" t="s">
        <v>36</v>
      </c>
      <c r="D167" s="7" t="s">
        <v>10729</v>
      </c>
      <c r="E167" s="7" t="s">
        <v>283</v>
      </c>
      <c r="F167" s="7" t="s">
        <v>66</v>
      </c>
      <c r="G167" s="7" t="s">
        <v>10730</v>
      </c>
      <c r="H167" s="7" t="s">
        <v>8316</v>
      </c>
      <c r="I167" s="10" t="n">
        <v>20000</v>
      </c>
      <c r="J167" s="7" t="s">
        <v>69</v>
      </c>
      <c r="K167" s="7" t="s">
        <v>865</v>
      </c>
      <c r="L167" s="7" t="s">
        <v>10731</v>
      </c>
      <c r="M167" s="7" t="s">
        <v>3241</v>
      </c>
      <c r="N167" s="7"/>
      <c r="O167" s="7" t="s">
        <v>10732</v>
      </c>
      <c r="P167" s="7" t="s">
        <v>10733</v>
      </c>
    </row>
    <row r="168" customFormat="false" ht="15" hidden="false" customHeight="false" outlineLevel="0" collapsed="false">
      <c r="A168" s="7" t="s">
        <v>9854</v>
      </c>
      <c r="B168" s="7" t="s">
        <v>10734</v>
      </c>
      <c r="C168" s="7" t="s">
        <v>36</v>
      </c>
      <c r="D168" s="7" t="s">
        <v>8248</v>
      </c>
      <c r="E168" s="7" t="s">
        <v>5364</v>
      </c>
      <c r="F168" s="7" t="s">
        <v>163</v>
      </c>
      <c r="G168" s="7" t="s">
        <v>10735</v>
      </c>
      <c r="H168" s="7" t="s">
        <v>8316</v>
      </c>
      <c r="I168" s="10" t="n">
        <v>7000</v>
      </c>
      <c r="J168" s="7" t="s">
        <v>3239</v>
      </c>
      <c r="K168" s="7"/>
      <c r="L168" s="7"/>
      <c r="M168" s="7" t="s">
        <v>4289</v>
      </c>
      <c r="N168" s="7"/>
      <c r="O168" s="7" t="s">
        <v>10736</v>
      </c>
      <c r="P168" s="7" t="s">
        <v>8065</v>
      </c>
    </row>
    <row r="169" customFormat="false" ht="15" hidden="false" customHeight="false" outlineLevel="0" collapsed="false">
      <c r="A169" s="7" t="s">
        <v>9854</v>
      </c>
      <c r="B169" s="7" t="s">
        <v>10737</v>
      </c>
      <c r="C169" s="7" t="s">
        <v>36</v>
      </c>
      <c r="D169" s="7" t="s">
        <v>10738</v>
      </c>
      <c r="E169" s="7" t="s">
        <v>4401</v>
      </c>
      <c r="F169" s="7" t="s">
        <v>779</v>
      </c>
      <c r="G169" s="7" t="s">
        <v>10739</v>
      </c>
      <c r="H169" s="7" t="s">
        <v>8316</v>
      </c>
      <c r="I169" s="10" t="n">
        <v>4800</v>
      </c>
      <c r="J169" s="7" t="s">
        <v>377</v>
      </c>
      <c r="K169" s="7"/>
      <c r="L169" s="7" t="s">
        <v>10740</v>
      </c>
      <c r="M169" s="7" t="s">
        <v>4289</v>
      </c>
      <c r="N169" s="7"/>
      <c r="O169" s="7" t="s">
        <v>10741</v>
      </c>
      <c r="P169" s="7" t="s">
        <v>8065</v>
      </c>
    </row>
    <row r="170" customFormat="false" ht="15" hidden="false" customHeight="false" outlineLevel="0" collapsed="false">
      <c r="A170" s="7" t="s">
        <v>9854</v>
      </c>
      <c r="B170" s="7" t="s">
        <v>10742</v>
      </c>
      <c r="C170" s="7" t="s">
        <v>36</v>
      </c>
      <c r="D170" s="7" t="s">
        <v>8084</v>
      </c>
      <c r="E170" s="7" t="s">
        <v>4157</v>
      </c>
      <c r="F170" s="7" t="s">
        <v>328</v>
      </c>
      <c r="G170" s="7" t="s">
        <v>10743</v>
      </c>
      <c r="H170" s="7" t="s">
        <v>8316</v>
      </c>
      <c r="I170" s="10" t="n">
        <v>5500</v>
      </c>
      <c r="J170" s="7" t="s">
        <v>350</v>
      </c>
      <c r="K170" s="7"/>
      <c r="L170" s="7" t="s">
        <v>10744</v>
      </c>
      <c r="M170" s="7" t="s">
        <v>4289</v>
      </c>
      <c r="N170" s="7"/>
      <c r="O170" s="7" t="s">
        <v>10745</v>
      </c>
      <c r="P170" s="7" t="s">
        <v>8065</v>
      </c>
    </row>
    <row r="171" customFormat="false" ht="15" hidden="false" customHeight="false" outlineLevel="0" collapsed="false">
      <c r="A171" s="7" t="s">
        <v>9854</v>
      </c>
      <c r="B171" s="7" t="s">
        <v>10746</v>
      </c>
      <c r="C171" s="7" t="s">
        <v>36</v>
      </c>
      <c r="D171" s="7" t="s">
        <v>8248</v>
      </c>
      <c r="E171" s="7" t="s">
        <v>1667</v>
      </c>
      <c r="F171" s="7" t="s">
        <v>172</v>
      </c>
      <c r="G171" s="7" t="s">
        <v>10747</v>
      </c>
      <c r="H171" s="7" t="s">
        <v>8316</v>
      </c>
      <c r="I171" s="10" t="n">
        <v>6500</v>
      </c>
      <c r="J171" s="7" t="s">
        <v>350</v>
      </c>
      <c r="K171" s="7"/>
      <c r="L171" s="7" t="s">
        <v>10748</v>
      </c>
      <c r="M171" s="7" t="s">
        <v>4289</v>
      </c>
      <c r="N171" s="7"/>
      <c r="O171" s="7" t="s">
        <v>10749</v>
      </c>
      <c r="P171" s="7" t="s">
        <v>8065</v>
      </c>
    </row>
    <row r="172" customFormat="false" ht="15" hidden="false" customHeight="false" outlineLevel="0" collapsed="false">
      <c r="A172" s="7" t="s">
        <v>9854</v>
      </c>
      <c r="B172" s="7" t="s">
        <v>10750</v>
      </c>
      <c r="C172" s="7" t="s">
        <v>36</v>
      </c>
      <c r="D172" s="7" t="s">
        <v>10751</v>
      </c>
      <c r="E172" s="7" t="s">
        <v>10752</v>
      </c>
      <c r="F172" s="7" t="s">
        <v>338</v>
      </c>
      <c r="G172" s="7" t="s">
        <v>10753</v>
      </c>
      <c r="H172" s="7" t="s">
        <v>8316</v>
      </c>
      <c r="I172" s="10" t="n">
        <v>1500</v>
      </c>
      <c r="J172" s="7" t="s">
        <v>69</v>
      </c>
      <c r="K172" s="7" t="s">
        <v>1263</v>
      </c>
      <c r="L172" s="7"/>
      <c r="M172" s="7" t="s">
        <v>4289</v>
      </c>
      <c r="N172" s="7"/>
      <c r="O172" s="7" t="s">
        <v>10754</v>
      </c>
      <c r="P172" s="7" t="s">
        <v>8065</v>
      </c>
    </row>
    <row r="173" customFormat="false" ht="15" hidden="false" customHeight="false" outlineLevel="0" collapsed="false">
      <c r="A173" s="7" t="s">
        <v>9854</v>
      </c>
      <c r="B173" s="7" t="s">
        <v>10755</v>
      </c>
      <c r="C173" s="7" t="s">
        <v>36</v>
      </c>
      <c r="D173" s="7" t="s">
        <v>10756</v>
      </c>
      <c r="E173" s="7" t="s">
        <v>10757</v>
      </c>
      <c r="F173" s="7" t="s">
        <v>779</v>
      </c>
      <c r="G173" s="7" t="s">
        <v>10758</v>
      </c>
      <c r="H173" s="7" t="s">
        <v>8316</v>
      </c>
      <c r="I173" s="10" t="n">
        <v>10000</v>
      </c>
      <c r="J173" s="7" t="s">
        <v>377</v>
      </c>
      <c r="K173" s="7"/>
      <c r="L173" s="7" t="s">
        <v>10759</v>
      </c>
      <c r="M173" s="7" t="s">
        <v>4289</v>
      </c>
      <c r="N173" s="7"/>
      <c r="O173" s="7" t="s">
        <v>10760</v>
      </c>
      <c r="P173" s="7" t="s">
        <v>2334</v>
      </c>
    </row>
    <row r="174" customFormat="false" ht="15" hidden="false" customHeight="false" outlineLevel="0" collapsed="false">
      <c r="A174" s="7" t="s">
        <v>9854</v>
      </c>
      <c r="B174" s="7" t="s">
        <v>10761</v>
      </c>
      <c r="C174" s="7" t="s">
        <v>36</v>
      </c>
      <c r="D174" s="7" t="s">
        <v>10762</v>
      </c>
      <c r="E174" s="7" t="s">
        <v>6943</v>
      </c>
      <c r="F174" s="7" t="s">
        <v>155</v>
      </c>
      <c r="G174" s="7" t="s">
        <v>10763</v>
      </c>
      <c r="H174" s="7" t="s">
        <v>8316</v>
      </c>
      <c r="I174" s="10" t="n">
        <v>5000</v>
      </c>
      <c r="J174" s="7" t="s">
        <v>377</v>
      </c>
      <c r="K174" s="7"/>
      <c r="L174" s="7" t="s">
        <v>10764</v>
      </c>
      <c r="M174" s="7" t="s">
        <v>4289</v>
      </c>
      <c r="N174" s="7"/>
      <c r="O174" s="7" t="s">
        <v>10765</v>
      </c>
      <c r="P174" s="7" t="s">
        <v>10684</v>
      </c>
    </row>
    <row r="175" customFormat="false" ht="15" hidden="false" customHeight="false" outlineLevel="0" collapsed="false">
      <c r="A175" s="7" t="s">
        <v>9854</v>
      </c>
      <c r="B175" s="7" t="s">
        <v>10766</v>
      </c>
      <c r="C175" s="7" t="s">
        <v>36</v>
      </c>
      <c r="D175" s="7" t="s">
        <v>10767</v>
      </c>
      <c r="E175" s="7" t="s">
        <v>2431</v>
      </c>
      <c r="F175" s="7" t="s">
        <v>2538</v>
      </c>
      <c r="G175" s="7" t="s">
        <v>10768</v>
      </c>
      <c r="H175" s="7" t="s">
        <v>8316</v>
      </c>
      <c r="I175" s="10" t="n">
        <v>1500</v>
      </c>
      <c r="J175" s="7" t="s">
        <v>350</v>
      </c>
      <c r="K175" s="7"/>
      <c r="L175" s="7" t="s">
        <v>10769</v>
      </c>
      <c r="M175" s="7" t="s">
        <v>4282</v>
      </c>
      <c r="N175" s="7"/>
      <c r="O175" s="7" t="s">
        <v>10770</v>
      </c>
      <c r="P175" s="7" t="s">
        <v>2334</v>
      </c>
    </row>
    <row r="176" customFormat="false" ht="15" hidden="false" customHeight="false" outlineLevel="0" collapsed="false">
      <c r="A176" s="7" t="s">
        <v>9854</v>
      </c>
      <c r="B176" s="7" t="s">
        <v>10771</v>
      </c>
      <c r="C176" s="7" t="s">
        <v>36</v>
      </c>
      <c r="D176" s="7" t="s">
        <v>10772</v>
      </c>
      <c r="E176" s="7" t="s">
        <v>10773</v>
      </c>
      <c r="F176" s="7" t="s">
        <v>172</v>
      </c>
      <c r="G176" s="7" t="s">
        <v>10774</v>
      </c>
      <c r="H176" s="7" t="s">
        <v>8316</v>
      </c>
      <c r="I176" s="10" t="n">
        <v>8000</v>
      </c>
      <c r="J176" s="7" t="s">
        <v>69</v>
      </c>
      <c r="K176" s="7" t="s">
        <v>507</v>
      </c>
      <c r="L176" s="7" t="s">
        <v>10775</v>
      </c>
      <c r="M176" s="7" t="s">
        <v>4289</v>
      </c>
      <c r="N176" s="7"/>
      <c r="O176" s="7" t="s">
        <v>10776</v>
      </c>
      <c r="P176" s="7" t="s">
        <v>8065</v>
      </c>
    </row>
    <row r="177" customFormat="false" ht="15" hidden="false" customHeight="false" outlineLevel="0" collapsed="false">
      <c r="A177" s="7" t="s">
        <v>9854</v>
      </c>
      <c r="B177" s="7" t="s">
        <v>10777</v>
      </c>
      <c r="C177" s="7" t="s">
        <v>36</v>
      </c>
      <c r="D177" s="7" t="s">
        <v>10778</v>
      </c>
      <c r="E177" s="7" t="s">
        <v>1612</v>
      </c>
      <c r="F177" s="7" t="s">
        <v>147</v>
      </c>
      <c r="G177" s="7" t="s">
        <v>10779</v>
      </c>
      <c r="H177" s="7" t="s">
        <v>8316</v>
      </c>
      <c r="I177" s="10" t="n">
        <v>1500</v>
      </c>
      <c r="J177" s="7" t="s">
        <v>377</v>
      </c>
      <c r="K177" s="7"/>
      <c r="L177" s="7" t="s">
        <v>10780</v>
      </c>
      <c r="M177" s="7" t="s">
        <v>10781</v>
      </c>
      <c r="N177" s="7"/>
      <c r="O177" s="7" t="s">
        <v>10782</v>
      </c>
      <c r="P177" s="7" t="s">
        <v>8065</v>
      </c>
    </row>
    <row r="178" customFormat="false" ht="15" hidden="false" customHeight="false" outlineLevel="0" collapsed="false">
      <c r="A178" s="7" t="s">
        <v>9854</v>
      </c>
      <c r="B178" s="7" t="s">
        <v>10783</v>
      </c>
      <c r="C178" s="7" t="s">
        <v>36</v>
      </c>
      <c r="D178" s="7" t="s">
        <v>10784</v>
      </c>
      <c r="E178" s="7" t="s">
        <v>4581</v>
      </c>
      <c r="F178" s="7" t="s">
        <v>4582</v>
      </c>
      <c r="G178" s="7" t="s">
        <v>10785</v>
      </c>
      <c r="H178" s="7" t="s">
        <v>8316</v>
      </c>
      <c r="I178" s="10" t="n">
        <v>2500</v>
      </c>
      <c r="J178" s="7" t="s">
        <v>3239</v>
      </c>
      <c r="K178" s="7"/>
      <c r="L178" s="7" t="s">
        <v>10786</v>
      </c>
      <c r="M178" s="7" t="s">
        <v>4289</v>
      </c>
      <c r="N178" s="7"/>
      <c r="O178" s="7" t="s">
        <v>10787</v>
      </c>
      <c r="P178" s="7" t="s">
        <v>8065</v>
      </c>
    </row>
    <row r="179" customFormat="false" ht="15" hidden="false" customHeight="false" outlineLevel="0" collapsed="false">
      <c r="A179" s="7" t="s">
        <v>9854</v>
      </c>
      <c r="B179" s="7" t="s">
        <v>10788</v>
      </c>
      <c r="C179" s="7" t="s">
        <v>36</v>
      </c>
      <c r="D179" s="7" t="s">
        <v>10789</v>
      </c>
      <c r="E179" s="7" t="s">
        <v>10790</v>
      </c>
      <c r="F179" s="7" t="s">
        <v>222</v>
      </c>
      <c r="G179" s="7" t="s">
        <v>10791</v>
      </c>
      <c r="H179" s="7" t="s">
        <v>8316</v>
      </c>
      <c r="I179" s="10" t="n">
        <v>18000</v>
      </c>
      <c r="J179" s="7" t="s">
        <v>3239</v>
      </c>
      <c r="K179" s="7"/>
      <c r="L179" s="7" t="s">
        <v>10792</v>
      </c>
      <c r="M179" s="7" t="s">
        <v>3224</v>
      </c>
      <c r="N179" s="7"/>
      <c r="O179" s="7" t="s">
        <v>10793</v>
      </c>
      <c r="P179" s="7" t="s">
        <v>10794</v>
      </c>
    </row>
    <row r="180" customFormat="false" ht="15" hidden="false" customHeight="false" outlineLevel="0" collapsed="false">
      <c r="A180" s="7" t="s">
        <v>9854</v>
      </c>
      <c r="B180" s="7" t="s">
        <v>10795</v>
      </c>
      <c r="C180" s="7" t="s">
        <v>36</v>
      </c>
      <c r="D180" s="7" t="s">
        <v>10796</v>
      </c>
      <c r="E180" s="7" t="s">
        <v>5205</v>
      </c>
      <c r="F180" s="7" t="s">
        <v>296</v>
      </c>
      <c r="G180" s="7" t="s">
        <v>10797</v>
      </c>
      <c r="H180" s="7" t="s">
        <v>8316</v>
      </c>
      <c r="I180" s="10" t="n">
        <v>10000</v>
      </c>
      <c r="J180" s="7" t="s">
        <v>69</v>
      </c>
      <c r="K180" s="7" t="s">
        <v>10798</v>
      </c>
      <c r="L180" s="7"/>
      <c r="M180" s="7" t="s">
        <v>10799</v>
      </c>
      <c r="N180" s="7"/>
      <c r="O180" s="7" t="s">
        <v>10800</v>
      </c>
      <c r="P180" s="7" t="s">
        <v>10801</v>
      </c>
    </row>
    <row r="181" customFormat="false" ht="15" hidden="false" customHeight="false" outlineLevel="0" collapsed="false">
      <c r="A181" s="7" t="s">
        <v>9854</v>
      </c>
      <c r="B181" s="7" t="s">
        <v>10802</v>
      </c>
      <c r="C181" s="7" t="s">
        <v>36</v>
      </c>
      <c r="D181" s="7" t="s">
        <v>8222</v>
      </c>
      <c r="E181" s="7" t="s">
        <v>2440</v>
      </c>
      <c r="F181" s="7" t="s">
        <v>97</v>
      </c>
      <c r="G181" s="7" t="s">
        <v>10803</v>
      </c>
      <c r="H181" s="7" t="s">
        <v>8316</v>
      </c>
      <c r="I181" s="10" t="n">
        <v>5000</v>
      </c>
      <c r="J181" s="7" t="s">
        <v>69</v>
      </c>
      <c r="K181" s="7" t="s">
        <v>10804</v>
      </c>
      <c r="L181" s="7" t="s">
        <v>10805</v>
      </c>
      <c r="M181" s="7" t="s">
        <v>4289</v>
      </c>
      <c r="N181" s="7"/>
      <c r="O181" s="7" t="s">
        <v>10806</v>
      </c>
      <c r="P181" s="7" t="s">
        <v>8065</v>
      </c>
    </row>
    <row r="182" customFormat="false" ht="15" hidden="false" customHeight="false" outlineLevel="0" collapsed="false">
      <c r="A182" s="7" t="s">
        <v>9854</v>
      </c>
      <c r="B182" s="7" t="s">
        <v>10807</v>
      </c>
      <c r="C182" s="7" t="s">
        <v>36</v>
      </c>
      <c r="D182" s="7" t="s">
        <v>8248</v>
      </c>
      <c r="E182" s="7" t="s">
        <v>337</v>
      </c>
      <c r="F182" s="7" t="s">
        <v>338</v>
      </c>
      <c r="G182" s="7" t="s">
        <v>10808</v>
      </c>
      <c r="H182" s="7" t="s">
        <v>8316</v>
      </c>
      <c r="I182" s="10" t="n">
        <v>5000</v>
      </c>
      <c r="J182" s="7" t="s">
        <v>3239</v>
      </c>
      <c r="K182" s="7"/>
      <c r="L182" s="7" t="s">
        <v>10809</v>
      </c>
      <c r="M182" s="7" t="s">
        <v>4289</v>
      </c>
      <c r="N182" s="7"/>
      <c r="O182" s="7" t="s">
        <v>10810</v>
      </c>
      <c r="P182" s="7" t="s">
        <v>10811</v>
      </c>
    </row>
    <row r="183" customFormat="false" ht="15" hidden="false" customHeight="false" outlineLevel="0" collapsed="false">
      <c r="A183" s="7" t="s">
        <v>9854</v>
      </c>
      <c r="B183" s="7" t="s">
        <v>10812</v>
      </c>
      <c r="C183" s="7" t="s">
        <v>36</v>
      </c>
      <c r="D183" s="7" t="s">
        <v>10813</v>
      </c>
      <c r="E183" s="7" t="s">
        <v>8356</v>
      </c>
      <c r="F183" s="7" t="s">
        <v>480</v>
      </c>
      <c r="G183" s="7" t="s">
        <v>10814</v>
      </c>
      <c r="H183" s="7" t="s">
        <v>8316</v>
      </c>
      <c r="I183" s="10" t="n">
        <v>9000</v>
      </c>
      <c r="J183" s="7" t="s">
        <v>350</v>
      </c>
      <c r="K183" s="7"/>
      <c r="L183" s="7" t="s">
        <v>10815</v>
      </c>
      <c r="M183" s="7" t="s">
        <v>4289</v>
      </c>
      <c r="N183" s="7"/>
      <c r="O183" s="7" t="s">
        <v>10816</v>
      </c>
      <c r="P183" s="7" t="s">
        <v>8065</v>
      </c>
    </row>
    <row r="184" customFormat="false" ht="15" hidden="false" customHeight="false" outlineLevel="0" collapsed="false">
      <c r="A184" s="7" t="s">
        <v>9854</v>
      </c>
      <c r="B184" s="7" t="s">
        <v>10817</v>
      </c>
      <c r="C184" s="7" t="s">
        <v>36</v>
      </c>
      <c r="D184" s="7" t="s">
        <v>10818</v>
      </c>
      <c r="E184" s="7" t="s">
        <v>3532</v>
      </c>
      <c r="F184" s="7" t="s">
        <v>3533</v>
      </c>
      <c r="G184" s="7" t="s">
        <v>10819</v>
      </c>
      <c r="H184" s="7" t="s">
        <v>8316</v>
      </c>
      <c r="I184" s="10" t="n">
        <v>600</v>
      </c>
      <c r="J184" s="7" t="s">
        <v>350</v>
      </c>
      <c r="K184" s="7"/>
      <c r="L184" s="7"/>
      <c r="M184" s="7" t="s">
        <v>2331</v>
      </c>
      <c r="N184" s="7"/>
      <c r="O184" s="7" t="s">
        <v>10820</v>
      </c>
      <c r="P184" s="7" t="s">
        <v>2334</v>
      </c>
    </row>
    <row r="185" customFormat="false" ht="15" hidden="false" customHeight="false" outlineLevel="0" collapsed="false">
      <c r="A185" s="7" t="s">
        <v>9854</v>
      </c>
      <c r="B185" s="7" t="s">
        <v>10821</v>
      </c>
      <c r="C185" s="7" t="s">
        <v>36</v>
      </c>
      <c r="D185" s="7" t="s">
        <v>8248</v>
      </c>
      <c r="E185" s="7" t="s">
        <v>316</v>
      </c>
      <c r="F185" s="7" t="s">
        <v>172</v>
      </c>
      <c r="G185" s="7" t="s">
        <v>10822</v>
      </c>
      <c r="H185" s="7" t="s">
        <v>8316</v>
      </c>
      <c r="I185" s="10" t="n">
        <v>15000</v>
      </c>
      <c r="J185" s="7" t="s">
        <v>3239</v>
      </c>
      <c r="K185" s="7"/>
      <c r="L185" s="7"/>
      <c r="M185" s="7" t="s">
        <v>4289</v>
      </c>
      <c r="N185" s="7"/>
      <c r="O185" s="7" t="s">
        <v>10823</v>
      </c>
      <c r="P185" s="7" t="s">
        <v>8065</v>
      </c>
    </row>
    <row r="186" customFormat="false" ht="15" hidden="false" customHeight="false" outlineLevel="0" collapsed="false">
      <c r="A186" s="7" t="s">
        <v>9854</v>
      </c>
      <c r="B186" s="7" t="s">
        <v>10824</v>
      </c>
      <c r="C186" s="7" t="s">
        <v>36</v>
      </c>
      <c r="D186" s="7" t="s">
        <v>10825</v>
      </c>
      <c r="E186" s="7" t="s">
        <v>6788</v>
      </c>
      <c r="F186" s="7" t="s">
        <v>1081</v>
      </c>
      <c r="G186" s="7" t="s">
        <v>10826</v>
      </c>
      <c r="H186" s="7" t="s">
        <v>8316</v>
      </c>
      <c r="I186" s="10" t="n">
        <v>6000</v>
      </c>
      <c r="J186" s="7" t="s">
        <v>3239</v>
      </c>
      <c r="K186" s="7"/>
      <c r="L186" s="7" t="s">
        <v>10827</v>
      </c>
      <c r="M186" s="7" t="s">
        <v>10828</v>
      </c>
      <c r="N186" s="7"/>
      <c r="O186" s="7" t="s">
        <v>10829</v>
      </c>
      <c r="P186" s="7" t="s">
        <v>8065</v>
      </c>
    </row>
    <row r="187" customFormat="false" ht="15" hidden="false" customHeight="false" outlineLevel="0" collapsed="false">
      <c r="A187" s="7" t="s">
        <v>9854</v>
      </c>
      <c r="B187" s="7" t="s">
        <v>10830</v>
      </c>
      <c r="C187" s="7" t="s">
        <v>36</v>
      </c>
      <c r="D187" s="7" t="s">
        <v>8100</v>
      </c>
      <c r="E187" s="7" t="s">
        <v>1115</v>
      </c>
      <c r="F187" s="7" t="s">
        <v>1116</v>
      </c>
      <c r="G187" s="7" t="s">
        <v>10831</v>
      </c>
      <c r="H187" s="7" t="s">
        <v>8316</v>
      </c>
      <c r="I187" s="10" t="n">
        <v>500</v>
      </c>
      <c r="J187" s="7" t="s">
        <v>350</v>
      </c>
      <c r="K187" s="7"/>
      <c r="L187" s="7"/>
      <c r="M187" s="7" t="s">
        <v>2331</v>
      </c>
      <c r="N187" s="7"/>
      <c r="O187" s="7" t="s">
        <v>10832</v>
      </c>
      <c r="P187" s="7" t="s">
        <v>10833</v>
      </c>
    </row>
    <row r="188" customFormat="false" ht="15" hidden="false" customHeight="false" outlineLevel="0" collapsed="false">
      <c r="A188" s="7" t="s">
        <v>9854</v>
      </c>
      <c r="B188" s="7" t="s">
        <v>10834</v>
      </c>
      <c r="C188" s="7" t="s">
        <v>36</v>
      </c>
      <c r="D188" s="7" t="s">
        <v>10835</v>
      </c>
      <c r="E188" s="7" t="s">
        <v>10836</v>
      </c>
      <c r="F188" s="7" t="s">
        <v>155</v>
      </c>
      <c r="G188" s="7" t="s">
        <v>10837</v>
      </c>
      <c r="H188" s="7" t="s">
        <v>8316</v>
      </c>
      <c r="I188" s="10" t="n">
        <v>4000</v>
      </c>
      <c r="J188" s="7" t="s">
        <v>69</v>
      </c>
      <c r="K188" s="7" t="s">
        <v>10838</v>
      </c>
      <c r="L188" s="7" t="s">
        <v>10839</v>
      </c>
      <c r="M188" s="7" t="s">
        <v>4289</v>
      </c>
      <c r="N188" s="7"/>
      <c r="O188" s="7" t="s">
        <v>10840</v>
      </c>
      <c r="P188" s="7" t="s">
        <v>8065</v>
      </c>
    </row>
    <row r="189" customFormat="false" ht="15" hidden="false" customHeight="false" outlineLevel="0" collapsed="false">
      <c r="A189" s="7" t="s">
        <v>9854</v>
      </c>
      <c r="B189" s="7" t="s">
        <v>10841</v>
      </c>
      <c r="C189" s="7" t="s">
        <v>36</v>
      </c>
      <c r="D189" s="7" t="s">
        <v>8248</v>
      </c>
      <c r="E189" s="7" t="s">
        <v>1418</v>
      </c>
      <c r="F189" s="7" t="s">
        <v>66</v>
      </c>
      <c r="G189" s="7" t="s">
        <v>10842</v>
      </c>
      <c r="H189" s="7" t="s">
        <v>8316</v>
      </c>
      <c r="I189" s="10" t="n">
        <v>15000</v>
      </c>
      <c r="J189" s="7" t="s">
        <v>377</v>
      </c>
      <c r="K189" s="7"/>
      <c r="L189" s="7" t="s">
        <v>10843</v>
      </c>
      <c r="M189" s="7" t="s">
        <v>4289</v>
      </c>
      <c r="N189" s="7"/>
      <c r="O189" s="7" t="s">
        <v>10844</v>
      </c>
      <c r="P189" s="7" t="s">
        <v>8065</v>
      </c>
    </row>
    <row r="190" customFormat="false" ht="15" hidden="false" customHeight="false" outlineLevel="0" collapsed="false">
      <c r="A190" s="7" t="s">
        <v>9854</v>
      </c>
      <c r="B190" s="7" t="s">
        <v>10845</v>
      </c>
      <c r="C190" s="7" t="s">
        <v>36</v>
      </c>
      <c r="D190" s="7" t="s">
        <v>10846</v>
      </c>
      <c r="E190" s="7" t="s">
        <v>9157</v>
      </c>
      <c r="F190" s="7" t="s">
        <v>147</v>
      </c>
      <c r="G190" s="7" t="s">
        <v>10847</v>
      </c>
      <c r="H190" s="7" t="s">
        <v>8316</v>
      </c>
      <c r="I190" s="10" t="n">
        <v>700</v>
      </c>
      <c r="J190" s="7" t="s">
        <v>3239</v>
      </c>
      <c r="K190" s="7"/>
      <c r="L190" s="7" t="s">
        <v>10848</v>
      </c>
      <c r="M190" s="7" t="s">
        <v>2331</v>
      </c>
      <c r="N190" s="7"/>
      <c r="O190" s="7" t="s">
        <v>10849</v>
      </c>
      <c r="P190" s="7" t="s">
        <v>2334</v>
      </c>
    </row>
    <row r="191" customFormat="false" ht="15" hidden="false" customHeight="false" outlineLevel="0" collapsed="false">
      <c r="A191" s="7" t="s">
        <v>9854</v>
      </c>
      <c r="B191" s="7" t="s">
        <v>10850</v>
      </c>
      <c r="C191" s="7" t="s">
        <v>36</v>
      </c>
      <c r="D191" s="7" t="s">
        <v>10851</v>
      </c>
      <c r="E191" s="7" t="s">
        <v>6153</v>
      </c>
      <c r="F191" s="7" t="s">
        <v>155</v>
      </c>
      <c r="G191" s="7" t="s">
        <v>10852</v>
      </c>
      <c r="H191" s="7" t="s">
        <v>8316</v>
      </c>
      <c r="I191" s="10" t="n">
        <v>3000</v>
      </c>
      <c r="J191" s="7" t="s">
        <v>69</v>
      </c>
      <c r="K191" s="7" t="s">
        <v>5241</v>
      </c>
      <c r="L191" s="7" t="s">
        <v>10853</v>
      </c>
      <c r="M191" s="7" t="s">
        <v>2339</v>
      </c>
      <c r="N191" s="7"/>
      <c r="O191" s="7" t="s">
        <v>10854</v>
      </c>
      <c r="P191" s="7" t="s">
        <v>2334</v>
      </c>
    </row>
    <row r="192" customFormat="false" ht="15" hidden="false" customHeight="false" outlineLevel="0" collapsed="false">
      <c r="A192" s="7" t="s">
        <v>9854</v>
      </c>
      <c r="B192" s="7" t="s">
        <v>10855</v>
      </c>
      <c r="C192" s="7" t="s">
        <v>36</v>
      </c>
      <c r="D192" s="7" t="s">
        <v>8248</v>
      </c>
      <c r="E192" s="7" t="s">
        <v>2463</v>
      </c>
      <c r="F192" s="7" t="s">
        <v>190</v>
      </c>
      <c r="G192" s="7" t="s">
        <v>10856</v>
      </c>
      <c r="H192" s="7" t="s">
        <v>8316</v>
      </c>
      <c r="I192" s="10" t="n">
        <v>9000</v>
      </c>
      <c r="J192" s="7" t="s">
        <v>3239</v>
      </c>
      <c r="K192" s="7"/>
      <c r="L192" s="7" t="s">
        <v>10857</v>
      </c>
      <c r="M192" s="7" t="s">
        <v>4289</v>
      </c>
      <c r="N192" s="7"/>
      <c r="O192" s="7" t="s">
        <v>10858</v>
      </c>
      <c r="P192" s="7" t="s">
        <v>8065</v>
      </c>
    </row>
    <row r="193" customFormat="false" ht="15" hidden="false" customHeight="false" outlineLevel="0" collapsed="false">
      <c r="A193" s="7" t="s">
        <v>9854</v>
      </c>
      <c r="B193" s="7" t="s">
        <v>10859</v>
      </c>
      <c r="C193" s="7" t="s">
        <v>36</v>
      </c>
      <c r="D193" s="7" t="s">
        <v>2328</v>
      </c>
      <c r="E193" s="7" t="s">
        <v>10860</v>
      </c>
      <c r="F193" s="7" t="s">
        <v>317</v>
      </c>
      <c r="G193" s="7" t="s">
        <v>10861</v>
      </c>
      <c r="H193" s="7" t="s">
        <v>8316</v>
      </c>
      <c r="I193" s="10" t="n">
        <v>600</v>
      </c>
      <c r="J193" s="7" t="s">
        <v>386</v>
      </c>
      <c r="K193" s="7"/>
      <c r="L193" s="7" t="s">
        <v>10862</v>
      </c>
      <c r="M193" s="7" t="s">
        <v>4282</v>
      </c>
      <c r="N193" s="7"/>
      <c r="O193" s="7" t="s">
        <v>10863</v>
      </c>
      <c r="P193" s="7" t="s">
        <v>2334</v>
      </c>
    </row>
    <row r="194" customFormat="false" ht="15" hidden="false" customHeight="false" outlineLevel="0" collapsed="false">
      <c r="A194" s="7" t="s">
        <v>9854</v>
      </c>
      <c r="B194" s="7" t="s">
        <v>10864</v>
      </c>
      <c r="C194" s="7" t="s">
        <v>36</v>
      </c>
      <c r="D194" s="7" t="s">
        <v>10865</v>
      </c>
      <c r="E194" s="7" t="s">
        <v>5364</v>
      </c>
      <c r="F194" s="7" t="s">
        <v>163</v>
      </c>
      <c r="G194" s="7" t="s">
        <v>10866</v>
      </c>
      <c r="H194" s="7" t="s">
        <v>8316</v>
      </c>
      <c r="I194" s="10" t="n">
        <v>10000</v>
      </c>
      <c r="J194" s="7" t="s">
        <v>377</v>
      </c>
      <c r="K194" s="7"/>
      <c r="L194" s="7" t="s">
        <v>10867</v>
      </c>
      <c r="M194" s="7" t="s">
        <v>4289</v>
      </c>
      <c r="N194" s="7"/>
      <c r="O194" s="7" t="s">
        <v>10868</v>
      </c>
      <c r="P194" s="7" t="s">
        <v>8065</v>
      </c>
    </row>
    <row r="195" customFormat="false" ht="15" hidden="false" customHeight="false" outlineLevel="0" collapsed="false">
      <c r="A195" s="7" t="s">
        <v>10869</v>
      </c>
      <c r="B195" s="7" t="s">
        <v>10870</v>
      </c>
      <c r="C195" s="7" t="s">
        <v>24</v>
      </c>
      <c r="D195" s="7" t="s">
        <v>10871</v>
      </c>
      <c r="E195" s="7" t="s">
        <v>1599</v>
      </c>
      <c r="F195" s="7" t="s">
        <v>78</v>
      </c>
      <c r="G195" s="7" t="s">
        <v>10872</v>
      </c>
      <c r="H195" s="7" t="s">
        <v>10873</v>
      </c>
      <c r="I195" s="10" t="n">
        <v>4500</v>
      </c>
      <c r="J195" s="7" t="s">
        <v>377</v>
      </c>
      <c r="K195" s="7"/>
      <c r="L195" s="7" t="s">
        <v>10874</v>
      </c>
      <c r="M195" s="7" t="s">
        <v>2531</v>
      </c>
      <c r="N195" s="7"/>
      <c r="O195" s="7" t="s">
        <v>10875</v>
      </c>
      <c r="P195" s="7" t="s">
        <v>10876</v>
      </c>
    </row>
    <row r="196" customFormat="false" ht="15" hidden="false" customHeight="false" outlineLevel="0" collapsed="false">
      <c r="A196" s="7" t="s">
        <v>10869</v>
      </c>
      <c r="B196" s="7" t="s">
        <v>10877</v>
      </c>
      <c r="C196" s="7" t="s">
        <v>24</v>
      </c>
      <c r="D196" s="7" t="s">
        <v>2520</v>
      </c>
      <c r="E196" s="7" t="s">
        <v>10878</v>
      </c>
      <c r="F196" s="7" t="s">
        <v>88</v>
      </c>
      <c r="G196" s="7" t="s">
        <v>10879</v>
      </c>
      <c r="H196" s="7" t="s">
        <v>10873</v>
      </c>
      <c r="I196" s="10" t="n">
        <v>24000</v>
      </c>
      <c r="J196" s="7" t="s">
        <v>350</v>
      </c>
      <c r="K196" s="7"/>
      <c r="L196" s="7" t="s">
        <v>10880</v>
      </c>
      <c r="M196" s="7" t="s">
        <v>8418</v>
      </c>
      <c r="N196" s="7" t="s">
        <v>10881</v>
      </c>
      <c r="O196" s="7" t="s">
        <v>10882</v>
      </c>
      <c r="P196" s="7" t="s">
        <v>2509</v>
      </c>
    </row>
    <row r="197" customFormat="false" ht="15" hidden="false" customHeight="false" outlineLevel="0" collapsed="false">
      <c r="A197" s="7" t="s">
        <v>10869</v>
      </c>
      <c r="B197" s="7" t="s">
        <v>10883</v>
      </c>
      <c r="C197" s="7" t="s">
        <v>24</v>
      </c>
      <c r="D197" s="7" t="s">
        <v>10884</v>
      </c>
      <c r="E197" s="7" t="s">
        <v>3112</v>
      </c>
      <c r="F197" s="7" t="s">
        <v>163</v>
      </c>
      <c r="G197" s="7" t="s">
        <v>10885</v>
      </c>
      <c r="H197" s="7" t="s">
        <v>10873</v>
      </c>
      <c r="I197" s="10" t="n">
        <v>14000</v>
      </c>
      <c r="J197" s="7" t="s">
        <v>377</v>
      </c>
      <c r="K197" s="7"/>
      <c r="L197" s="7" t="s">
        <v>10886</v>
      </c>
      <c r="M197" s="7" t="s">
        <v>300</v>
      </c>
      <c r="N197" s="7" t="s">
        <v>10887</v>
      </c>
      <c r="O197" s="7" t="s">
        <v>10888</v>
      </c>
      <c r="P197" s="7" t="s">
        <v>10889</v>
      </c>
    </row>
    <row r="198" customFormat="false" ht="15" hidden="false" customHeight="false" outlineLevel="0" collapsed="false">
      <c r="A198" s="7" t="s">
        <v>10869</v>
      </c>
      <c r="B198" s="7" t="s">
        <v>10890</v>
      </c>
      <c r="C198" s="7" t="s">
        <v>25</v>
      </c>
      <c r="D198" s="7" t="s">
        <v>384</v>
      </c>
      <c r="E198" s="7" t="s">
        <v>112</v>
      </c>
      <c r="F198" s="7" t="s">
        <v>113</v>
      </c>
      <c r="G198" s="7" t="s">
        <v>10891</v>
      </c>
      <c r="H198" s="7" t="s">
        <v>10873</v>
      </c>
      <c r="I198" s="10" t="n">
        <v>790000</v>
      </c>
      <c r="J198" s="7" t="s">
        <v>377</v>
      </c>
      <c r="K198" s="7"/>
      <c r="L198" s="7" t="s">
        <v>10892</v>
      </c>
      <c r="M198" s="7" t="s">
        <v>10893</v>
      </c>
      <c r="N198" s="7" t="s">
        <v>10894</v>
      </c>
      <c r="O198" s="7" t="s">
        <v>10895</v>
      </c>
      <c r="P198" s="7" t="s">
        <v>10896</v>
      </c>
    </row>
    <row r="199" customFormat="false" ht="15" hidden="false" customHeight="false" outlineLevel="0" collapsed="false">
      <c r="A199" s="7" t="s">
        <v>10869</v>
      </c>
      <c r="B199" s="7" t="s">
        <v>10897</v>
      </c>
      <c r="C199" s="7" t="s">
        <v>25</v>
      </c>
      <c r="D199" s="7" t="s">
        <v>8680</v>
      </c>
      <c r="E199" s="7" t="s">
        <v>347</v>
      </c>
      <c r="F199" s="7" t="s">
        <v>348</v>
      </c>
      <c r="G199" s="7" t="s">
        <v>10898</v>
      </c>
      <c r="H199" s="7" t="s">
        <v>10873</v>
      </c>
      <c r="I199" s="10" t="n">
        <v>19000</v>
      </c>
      <c r="J199" s="7" t="s">
        <v>350</v>
      </c>
      <c r="K199" s="7"/>
      <c r="L199" s="7" t="s">
        <v>10899</v>
      </c>
      <c r="M199" s="7" t="s">
        <v>10900</v>
      </c>
      <c r="N199" s="7" t="s">
        <v>10901</v>
      </c>
      <c r="O199" s="7" t="s">
        <v>10902</v>
      </c>
      <c r="P199" s="7" t="s">
        <v>10903</v>
      </c>
    </row>
    <row r="200" customFormat="false" ht="15" hidden="false" customHeight="false" outlineLevel="0" collapsed="false">
      <c r="A200" s="7" t="s">
        <v>10869</v>
      </c>
      <c r="B200" s="7" t="s">
        <v>10904</v>
      </c>
      <c r="C200" s="7" t="s">
        <v>25</v>
      </c>
      <c r="D200" s="7" t="s">
        <v>10905</v>
      </c>
      <c r="E200" s="7" t="s">
        <v>1010</v>
      </c>
      <c r="F200" s="7" t="s">
        <v>88</v>
      </c>
      <c r="G200" s="7" t="s">
        <v>10906</v>
      </c>
      <c r="H200" s="7" t="s">
        <v>10873</v>
      </c>
      <c r="I200" s="10" t="n">
        <v>34000</v>
      </c>
      <c r="J200" s="7" t="s">
        <v>377</v>
      </c>
      <c r="K200" s="7"/>
      <c r="L200" s="7" t="s">
        <v>10907</v>
      </c>
      <c r="M200" s="7" t="s">
        <v>10908</v>
      </c>
      <c r="N200" s="7" t="s">
        <v>10909</v>
      </c>
      <c r="O200" s="7" t="s">
        <v>10910</v>
      </c>
      <c r="P200" s="7" t="s">
        <v>10911</v>
      </c>
    </row>
    <row r="201" customFormat="false" ht="15" hidden="false" customHeight="false" outlineLevel="0" collapsed="false">
      <c r="A201" s="7" t="s">
        <v>10869</v>
      </c>
      <c r="B201" s="7" t="s">
        <v>10912</v>
      </c>
      <c r="C201" s="7" t="s">
        <v>25</v>
      </c>
      <c r="D201" s="7" t="s">
        <v>8680</v>
      </c>
      <c r="E201" s="7" t="s">
        <v>347</v>
      </c>
      <c r="F201" s="7" t="s">
        <v>348</v>
      </c>
      <c r="G201" s="7" t="s">
        <v>10913</v>
      </c>
      <c r="H201" s="7" t="s">
        <v>10873</v>
      </c>
      <c r="I201" s="10" t="n">
        <v>33000</v>
      </c>
      <c r="J201" s="7" t="s">
        <v>350</v>
      </c>
      <c r="K201" s="7"/>
      <c r="L201" s="7" t="s">
        <v>10914</v>
      </c>
      <c r="M201" s="7" t="s">
        <v>10915</v>
      </c>
      <c r="N201" s="7" t="s">
        <v>10916</v>
      </c>
      <c r="O201" s="7" t="s">
        <v>10917</v>
      </c>
      <c r="P201" s="7" t="s">
        <v>10918</v>
      </c>
    </row>
    <row r="202" customFormat="false" ht="15" hidden="false" customHeight="false" outlineLevel="0" collapsed="false">
      <c r="A202" s="7" t="s">
        <v>10869</v>
      </c>
      <c r="B202" s="7" t="s">
        <v>10919</v>
      </c>
      <c r="C202" s="7" t="s">
        <v>25</v>
      </c>
      <c r="D202" s="7" t="s">
        <v>10920</v>
      </c>
      <c r="E202" s="7" t="s">
        <v>112</v>
      </c>
      <c r="F202" s="7" t="s">
        <v>113</v>
      </c>
      <c r="G202" s="7" t="s">
        <v>10921</v>
      </c>
      <c r="H202" s="7" t="s">
        <v>10873</v>
      </c>
      <c r="I202" s="10" t="n">
        <v>460000</v>
      </c>
      <c r="J202" s="7" t="s">
        <v>350</v>
      </c>
      <c r="K202" s="7"/>
      <c r="L202" s="7" t="s">
        <v>10922</v>
      </c>
      <c r="M202" s="7" t="s">
        <v>10923</v>
      </c>
      <c r="N202" s="7" t="s">
        <v>10924</v>
      </c>
      <c r="O202" s="7" t="s">
        <v>10925</v>
      </c>
      <c r="P202" s="7" t="s">
        <v>10926</v>
      </c>
    </row>
    <row r="203" customFormat="false" ht="15" hidden="false" customHeight="false" outlineLevel="0" collapsed="false">
      <c r="A203" s="7" t="s">
        <v>10869</v>
      </c>
      <c r="B203" s="7" t="s">
        <v>10927</v>
      </c>
      <c r="C203" s="7" t="s">
        <v>25</v>
      </c>
      <c r="D203" s="7" t="s">
        <v>10920</v>
      </c>
      <c r="E203" s="7" t="s">
        <v>112</v>
      </c>
      <c r="F203" s="7" t="s">
        <v>113</v>
      </c>
      <c r="G203" s="7" t="s">
        <v>10928</v>
      </c>
      <c r="H203" s="7" t="s">
        <v>10873</v>
      </c>
      <c r="I203" s="10" t="n">
        <v>400000</v>
      </c>
      <c r="J203" s="7" t="s">
        <v>350</v>
      </c>
      <c r="K203" s="7"/>
      <c r="L203" s="7" t="s">
        <v>10929</v>
      </c>
      <c r="M203" s="7" t="s">
        <v>10930</v>
      </c>
      <c r="N203" s="7" t="s">
        <v>10931</v>
      </c>
      <c r="O203" s="7" t="s">
        <v>10932</v>
      </c>
      <c r="P203" s="7" t="s">
        <v>10933</v>
      </c>
    </row>
    <row r="204" customFormat="false" ht="15" hidden="false" customHeight="false" outlineLevel="0" collapsed="false">
      <c r="A204" s="7" t="s">
        <v>10869</v>
      </c>
      <c r="B204" s="7" t="s">
        <v>10934</v>
      </c>
      <c r="C204" s="7" t="s">
        <v>25</v>
      </c>
      <c r="D204" s="7" t="s">
        <v>488</v>
      </c>
      <c r="E204" s="7" t="s">
        <v>609</v>
      </c>
      <c r="F204" s="7" t="s">
        <v>610</v>
      </c>
      <c r="G204" s="7" t="s">
        <v>10935</v>
      </c>
      <c r="H204" s="7" t="s">
        <v>10873</v>
      </c>
      <c r="I204" s="10" t="n">
        <v>21000</v>
      </c>
      <c r="J204" s="7" t="s">
        <v>377</v>
      </c>
      <c r="K204" s="7"/>
      <c r="L204" s="7" t="s">
        <v>10936</v>
      </c>
      <c r="M204" s="7" t="s">
        <v>10937</v>
      </c>
      <c r="N204" s="7" t="s">
        <v>10938</v>
      </c>
      <c r="O204" s="7" t="s">
        <v>10939</v>
      </c>
      <c r="P204" s="7" t="s">
        <v>10940</v>
      </c>
    </row>
    <row r="205" customFormat="false" ht="15" hidden="false" customHeight="false" outlineLevel="0" collapsed="false">
      <c r="A205" s="7" t="s">
        <v>10869</v>
      </c>
      <c r="B205" s="7" t="s">
        <v>10941</v>
      </c>
      <c r="C205" s="7" t="s">
        <v>25</v>
      </c>
      <c r="D205" s="7" t="s">
        <v>10942</v>
      </c>
      <c r="E205" s="7" t="s">
        <v>10943</v>
      </c>
      <c r="F205" s="7" t="s">
        <v>113</v>
      </c>
      <c r="G205" s="7" t="s">
        <v>10944</v>
      </c>
      <c r="H205" s="7" t="s">
        <v>10873</v>
      </c>
      <c r="I205" s="10" t="n">
        <v>160000</v>
      </c>
      <c r="J205" s="7" t="s">
        <v>386</v>
      </c>
      <c r="K205" s="7"/>
      <c r="L205" s="7" t="s">
        <v>10945</v>
      </c>
      <c r="M205" s="7" t="s">
        <v>10946</v>
      </c>
      <c r="N205" s="7" t="s">
        <v>10947</v>
      </c>
      <c r="O205" s="7" t="s">
        <v>10948</v>
      </c>
      <c r="P205" s="7" t="s">
        <v>10949</v>
      </c>
    </row>
    <row r="206" customFormat="false" ht="15" hidden="false" customHeight="false" outlineLevel="0" collapsed="false">
      <c r="A206" s="7" t="s">
        <v>10869</v>
      </c>
      <c r="B206" s="7" t="s">
        <v>10950</v>
      </c>
      <c r="C206" s="7" t="s">
        <v>25</v>
      </c>
      <c r="D206" s="7" t="s">
        <v>10920</v>
      </c>
      <c r="E206" s="7" t="s">
        <v>112</v>
      </c>
      <c r="F206" s="7" t="s">
        <v>113</v>
      </c>
      <c r="G206" s="7" t="s">
        <v>10951</v>
      </c>
      <c r="H206" s="7" t="s">
        <v>10873</v>
      </c>
      <c r="I206" s="10" t="n">
        <v>275000</v>
      </c>
      <c r="J206" s="7" t="s">
        <v>350</v>
      </c>
      <c r="K206" s="7"/>
      <c r="L206" s="7" t="s">
        <v>10952</v>
      </c>
      <c r="M206" s="7" t="s">
        <v>10953</v>
      </c>
      <c r="N206" s="7" t="s">
        <v>10954</v>
      </c>
      <c r="O206" s="7" t="s">
        <v>10955</v>
      </c>
      <c r="P206" s="7" t="s">
        <v>10956</v>
      </c>
    </row>
    <row r="207" customFormat="false" ht="15" hidden="false" customHeight="false" outlineLevel="0" collapsed="false">
      <c r="A207" s="7" t="s">
        <v>10869</v>
      </c>
      <c r="B207" s="7" t="s">
        <v>10957</v>
      </c>
      <c r="C207" s="7" t="s">
        <v>25</v>
      </c>
      <c r="D207" s="7" t="s">
        <v>8680</v>
      </c>
      <c r="E207" s="7" t="s">
        <v>112</v>
      </c>
      <c r="F207" s="7" t="s">
        <v>113</v>
      </c>
      <c r="G207" s="7" t="s">
        <v>10958</v>
      </c>
      <c r="H207" s="7" t="s">
        <v>10873</v>
      </c>
      <c r="I207" s="10" t="n">
        <v>45000</v>
      </c>
      <c r="J207" s="7" t="s">
        <v>350</v>
      </c>
      <c r="K207" s="7"/>
      <c r="L207" s="7" t="s">
        <v>10959</v>
      </c>
      <c r="M207" s="7" t="s">
        <v>10960</v>
      </c>
      <c r="N207" s="7" t="s">
        <v>10961</v>
      </c>
      <c r="O207" s="7" t="s">
        <v>10962</v>
      </c>
      <c r="P207" s="7" t="s">
        <v>10963</v>
      </c>
    </row>
    <row r="208" customFormat="false" ht="15" hidden="false" customHeight="false" outlineLevel="0" collapsed="false">
      <c r="A208" s="7" t="s">
        <v>10869</v>
      </c>
      <c r="B208" s="7" t="s">
        <v>10964</v>
      </c>
      <c r="C208" s="7" t="s">
        <v>25</v>
      </c>
      <c r="D208" s="7" t="s">
        <v>10965</v>
      </c>
      <c r="E208" s="7" t="s">
        <v>112</v>
      </c>
      <c r="F208" s="7" t="s">
        <v>113</v>
      </c>
      <c r="G208" s="7" t="s">
        <v>10966</v>
      </c>
      <c r="H208" s="7" t="s">
        <v>10873</v>
      </c>
      <c r="I208" s="10" t="n">
        <v>25000</v>
      </c>
      <c r="J208" s="7" t="s">
        <v>386</v>
      </c>
      <c r="K208" s="7"/>
      <c r="L208" s="7" t="s">
        <v>10967</v>
      </c>
      <c r="M208" s="7" t="s">
        <v>10968</v>
      </c>
      <c r="N208" s="7" t="s">
        <v>10969</v>
      </c>
      <c r="O208" s="7" t="s">
        <v>10970</v>
      </c>
      <c r="P208" s="7" t="s">
        <v>10971</v>
      </c>
    </row>
    <row r="209" customFormat="false" ht="15" hidden="false" customHeight="false" outlineLevel="0" collapsed="false">
      <c r="A209" s="7" t="s">
        <v>10869</v>
      </c>
      <c r="B209" s="7" t="s">
        <v>10972</v>
      </c>
      <c r="C209" s="7" t="s">
        <v>25</v>
      </c>
      <c r="D209" s="7" t="s">
        <v>10920</v>
      </c>
      <c r="E209" s="7" t="s">
        <v>112</v>
      </c>
      <c r="F209" s="7" t="s">
        <v>113</v>
      </c>
      <c r="G209" s="7" t="s">
        <v>10973</v>
      </c>
      <c r="H209" s="7" t="s">
        <v>10873</v>
      </c>
      <c r="I209" s="10" t="n">
        <v>370000</v>
      </c>
      <c r="J209" s="7" t="s">
        <v>350</v>
      </c>
      <c r="K209" s="7"/>
      <c r="L209" s="7" t="s">
        <v>10974</v>
      </c>
      <c r="M209" s="7" t="s">
        <v>10930</v>
      </c>
      <c r="N209" s="7" t="s">
        <v>10975</v>
      </c>
      <c r="O209" s="7" t="s">
        <v>10976</v>
      </c>
      <c r="P209" s="7" t="s">
        <v>10977</v>
      </c>
    </row>
    <row r="210" customFormat="false" ht="15" hidden="false" customHeight="false" outlineLevel="0" collapsed="false">
      <c r="A210" s="7" t="s">
        <v>10869</v>
      </c>
      <c r="B210" s="7" t="s">
        <v>10978</v>
      </c>
      <c r="C210" s="7" t="s">
        <v>26</v>
      </c>
      <c r="D210" s="7" t="s">
        <v>10979</v>
      </c>
      <c r="E210" s="7" t="s">
        <v>10980</v>
      </c>
      <c r="F210" s="7" t="s">
        <v>137</v>
      </c>
      <c r="G210" s="7" t="s">
        <v>10981</v>
      </c>
      <c r="H210" s="7" t="s">
        <v>10873</v>
      </c>
      <c r="I210" s="10" t="n">
        <v>20000</v>
      </c>
      <c r="J210" s="7" t="s">
        <v>3239</v>
      </c>
      <c r="K210" s="7"/>
      <c r="L210" s="7"/>
      <c r="M210" s="7" t="s">
        <v>8733</v>
      </c>
      <c r="N210" s="7"/>
      <c r="O210" s="7" t="s">
        <v>10982</v>
      </c>
      <c r="P210" s="7" t="s">
        <v>2755</v>
      </c>
    </row>
    <row r="211" customFormat="false" ht="15" hidden="false" customHeight="false" outlineLevel="0" collapsed="false">
      <c r="A211" s="7" t="s">
        <v>10869</v>
      </c>
      <c r="B211" s="7" t="s">
        <v>10983</v>
      </c>
      <c r="C211" s="7" t="s">
        <v>26</v>
      </c>
      <c r="D211" s="7" t="s">
        <v>10984</v>
      </c>
      <c r="E211" s="7" t="s">
        <v>112</v>
      </c>
      <c r="F211" s="7" t="s">
        <v>113</v>
      </c>
      <c r="G211" s="7" t="s">
        <v>10985</v>
      </c>
      <c r="H211" s="7" t="s">
        <v>10873</v>
      </c>
      <c r="I211" s="10" t="n">
        <v>7500</v>
      </c>
      <c r="J211" s="7" t="s">
        <v>3239</v>
      </c>
      <c r="K211" s="7"/>
      <c r="L211" s="7" t="s">
        <v>10986</v>
      </c>
      <c r="M211" s="7" t="s">
        <v>2738</v>
      </c>
      <c r="N211" s="7" t="s">
        <v>10987</v>
      </c>
      <c r="O211" s="7" t="s">
        <v>2740</v>
      </c>
      <c r="P211" s="7" t="s">
        <v>5128</v>
      </c>
    </row>
    <row r="212" customFormat="false" ht="15" hidden="false" customHeight="false" outlineLevel="0" collapsed="false">
      <c r="A212" s="7" t="s">
        <v>10869</v>
      </c>
      <c r="B212" s="7" t="s">
        <v>10988</v>
      </c>
      <c r="C212" s="7" t="s">
        <v>26</v>
      </c>
      <c r="D212" s="7" t="s">
        <v>10989</v>
      </c>
      <c r="E212" s="7" t="s">
        <v>10990</v>
      </c>
      <c r="F212" s="7" t="s">
        <v>854</v>
      </c>
      <c r="G212" s="7" t="s">
        <v>10991</v>
      </c>
      <c r="H212" s="7" t="s">
        <v>10873</v>
      </c>
      <c r="I212" s="10" t="n">
        <v>23000</v>
      </c>
      <c r="J212" s="7" t="s">
        <v>377</v>
      </c>
      <c r="K212" s="7"/>
      <c r="L212" s="7"/>
      <c r="M212" s="7" t="s">
        <v>10992</v>
      </c>
      <c r="N212" s="7" t="s">
        <v>10993</v>
      </c>
      <c r="O212" s="7" t="s">
        <v>10994</v>
      </c>
      <c r="P212" s="7" t="s">
        <v>5124</v>
      </c>
    </row>
    <row r="213" customFormat="false" ht="15" hidden="false" customHeight="false" outlineLevel="0" collapsed="false">
      <c r="A213" s="7" t="s">
        <v>10869</v>
      </c>
      <c r="B213" s="7" t="s">
        <v>10995</v>
      </c>
      <c r="C213" s="7" t="s">
        <v>26</v>
      </c>
      <c r="D213" s="7" t="s">
        <v>10996</v>
      </c>
      <c r="E213" s="7" t="s">
        <v>65</v>
      </c>
      <c r="F213" s="7" t="s">
        <v>66</v>
      </c>
      <c r="G213" s="7" t="s">
        <v>10997</v>
      </c>
      <c r="H213" s="7" t="s">
        <v>10873</v>
      </c>
      <c r="I213" s="10" t="n">
        <v>60000</v>
      </c>
      <c r="J213" s="7" t="s">
        <v>377</v>
      </c>
      <c r="K213" s="7"/>
      <c r="L213" s="7" t="s">
        <v>10998</v>
      </c>
      <c r="M213" s="7" t="s">
        <v>10999</v>
      </c>
      <c r="N213" s="7" t="s">
        <v>11000</v>
      </c>
      <c r="O213" s="7"/>
      <c r="P213" s="7" t="s">
        <v>2741</v>
      </c>
    </row>
    <row r="214" customFormat="false" ht="15" hidden="false" customHeight="false" outlineLevel="0" collapsed="false">
      <c r="A214" s="7" t="s">
        <v>10869</v>
      </c>
      <c r="B214" s="7" t="s">
        <v>11001</v>
      </c>
      <c r="C214" s="7" t="s">
        <v>26</v>
      </c>
      <c r="D214" s="7" t="s">
        <v>11002</v>
      </c>
      <c r="E214" s="7" t="s">
        <v>479</v>
      </c>
      <c r="F214" s="7" t="s">
        <v>480</v>
      </c>
      <c r="G214" s="7" t="s">
        <v>11003</v>
      </c>
      <c r="H214" s="7" t="s">
        <v>10873</v>
      </c>
      <c r="I214" s="10" t="n">
        <v>9500</v>
      </c>
      <c r="J214" s="7" t="s">
        <v>517</v>
      </c>
      <c r="K214" s="7"/>
      <c r="L214" s="7" t="s">
        <v>11004</v>
      </c>
      <c r="M214" s="7" t="s">
        <v>11005</v>
      </c>
      <c r="N214" s="7" t="s">
        <v>11006</v>
      </c>
      <c r="O214" s="7" t="s">
        <v>11007</v>
      </c>
      <c r="P214" s="7" t="s">
        <v>5160</v>
      </c>
    </row>
    <row r="215" customFormat="false" ht="15" hidden="false" customHeight="false" outlineLevel="0" collapsed="false">
      <c r="A215" s="7" t="s">
        <v>10869</v>
      </c>
      <c r="B215" s="7" t="s">
        <v>11008</v>
      </c>
      <c r="C215" s="7" t="s">
        <v>26</v>
      </c>
      <c r="D215" s="7" t="s">
        <v>11009</v>
      </c>
      <c r="E215" s="7" t="s">
        <v>1972</v>
      </c>
      <c r="F215" s="7" t="s">
        <v>113</v>
      </c>
      <c r="G215" s="7" t="s">
        <v>11010</v>
      </c>
      <c r="H215" s="7" t="s">
        <v>10873</v>
      </c>
      <c r="I215" s="10" t="n">
        <v>25000</v>
      </c>
      <c r="J215" s="7" t="s">
        <v>377</v>
      </c>
      <c r="K215" s="7"/>
      <c r="L215" s="7" t="s">
        <v>11011</v>
      </c>
      <c r="M215" s="7" t="s">
        <v>11012</v>
      </c>
      <c r="N215" s="7" t="s">
        <v>11013</v>
      </c>
      <c r="O215" s="7"/>
      <c r="P215" s="7" t="s">
        <v>2741</v>
      </c>
    </row>
    <row r="216" customFormat="false" ht="15" hidden="false" customHeight="false" outlineLevel="0" collapsed="false">
      <c r="A216" s="7" t="s">
        <v>10869</v>
      </c>
      <c r="B216" s="7" t="s">
        <v>11014</v>
      </c>
      <c r="C216" s="7" t="s">
        <v>26</v>
      </c>
      <c r="D216" s="7" t="s">
        <v>11015</v>
      </c>
      <c r="E216" s="7" t="s">
        <v>11016</v>
      </c>
      <c r="F216" s="7" t="s">
        <v>222</v>
      </c>
      <c r="G216" s="7" t="s">
        <v>11017</v>
      </c>
      <c r="H216" s="7" t="s">
        <v>10873</v>
      </c>
      <c r="I216" s="10" t="n">
        <v>8000</v>
      </c>
      <c r="J216" s="7" t="s">
        <v>69</v>
      </c>
      <c r="K216" s="7" t="s">
        <v>11018</v>
      </c>
      <c r="L216" s="7" t="s">
        <v>11019</v>
      </c>
      <c r="M216" s="7" t="s">
        <v>2738</v>
      </c>
      <c r="N216" s="7"/>
      <c r="O216" s="7" t="s">
        <v>11020</v>
      </c>
      <c r="P216" s="7" t="s">
        <v>2741</v>
      </c>
    </row>
    <row r="217" customFormat="false" ht="15" hidden="false" customHeight="false" outlineLevel="0" collapsed="false">
      <c r="A217" s="7" t="s">
        <v>10869</v>
      </c>
      <c r="B217" s="7" t="s">
        <v>11021</v>
      </c>
      <c r="C217" s="7" t="s">
        <v>26</v>
      </c>
      <c r="D217" s="7" t="s">
        <v>11022</v>
      </c>
      <c r="E217" s="7" t="s">
        <v>1487</v>
      </c>
      <c r="F217" s="7" t="s">
        <v>854</v>
      </c>
      <c r="G217" s="7" t="s">
        <v>11023</v>
      </c>
      <c r="H217" s="7" t="s">
        <v>10873</v>
      </c>
      <c r="I217" s="10" t="n">
        <v>8000</v>
      </c>
      <c r="J217" s="7" t="s">
        <v>69</v>
      </c>
      <c r="K217" s="7" t="s">
        <v>11024</v>
      </c>
      <c r="L217" s="7" t="s">
        <v>11025</v>
      </c>
      <c r="M217" s="7" t="s">
        <v>11026</v>
      </c>
      <c r="N217" s="7"/>
      <c r="O217" s="7" t="s">
        <v>11027</v>
      </c>
      <c r="P217" s="7" t="s">
        <v>2741</v>
      </c>
    </row>
    <row r="218" customFormat="false" ht="15" hidden="false" customHeight="false" outlineLevel="0" collapsed="false">
      <c r="A218" s="7" t="s">
        <v>10869</v>
      </c>
      <c r="B218" s="7" t="s">
        <v>11028</v>
      </c>
      <c r="C218" s="7" t="s">
        <v>26</v>
      </c>
      <c r="D218" s="7" t="s">
        <v>5126</v>
      </c>
      <c r="E218" s="7" t="s">
        <v>11029</v>
      </c>
      <c r="F218" s="7" t="s">
        <v>155</v>
      </c>
      <c r="G218" s="7" t="s">
        <v>11030</v>
      </c>
      <c r="H218" s="7" t="s">
        <v>10873</v>
      </c>
      <c r="I218" s="10" t="n">
        <v>15000</v>
      </c>
      <c r="J218" s="7" t="s">
        <v>3239</v>
      </c>
      <c r="K218" s="7"/>
      <c r="L218" s="7"/>
      <c r="M218" s="7" t="s">
        <v>2738</v>
      </c>
      <c r="N218" s="7" t="s">
        <v>11031</v>
      </c>
      <c r="O218" s="7" t="s">
        <v>11032</v>
      </c>
      <c r="P218" s="7" t="s">
        <v>5128</v>
      </c>
    </row>
    <row r="219" customFormat="false" ht="15" hidden="false" customHeight="false" outlineLevel="0" collapsed="false">
      <c r="A219" s="7" t="s">
        <v>10869</v>
      </c>
      <c r="B219" s="7" t="s">
        <v>11033</v>
      </c>
      <c r="C219" s="7" t="s">
        <v>26</v>
      </c>
      <c r="D219" s="7" t="s">
        <v>5226</v>
      </c>
      <c r="E219" s="7" t="s">
        <v>970</v>
      </c>
      <c r="F219" s="7" t="s">
        <v>250</v>
      </c>
      <c r="G219" s="7" t="s">
        <v>11034</v>
      </c>
      <c r="H219" s="7" t="s">
        <v>10873</v>
      </c>
      <c r="I219" s="10" t="n">
        <v>76000</v>
      </c>
      <c r="J219" s="7" t="s">
        <v>377</v>
      </c>
      <c r="K219" s="7"/>
      <c r="L219" s="7" t="s">
        <v>11035</v>
      </c>
      <c r="M219" s="7" t="s">
        <v>10999</v>
      </c>
      <c r="N219" s="7" t="s">
        <v>11036</v>
      </c>
      <c r="O219" s="7" t="s">
        <v>11037</v>
      </c>
      <c r="P219" s="7" t="s">
        <v>5174</v>
      </c>
    </row>
    <row r="220" customFormat="false" ht="15" hidden="false" customHeight="false" outlineLevel="0" collapsed="false">
      <c r="A220" s="7" t="s">
        <v>10869</v>
      </c>
      <c r="B220" s="7" t="s">
        <v>11038</v>
      </c>
      <c r="C220" s="7" t="s">
        <v>26</v>
      </c>
      <c r="D220" s="7" t="s">
        <v>5226</v>
      </c>
      <c r="E220" s="7" t="s">
        <v>11029</v>
      </c>
      <c r="F220" s="7" t="s">
        <v>155</v>
      </c>
      <c r="G220" s="7" t="s">
        <v>11039</v>
      </c>
      <c r="H220" s="7" t="s">
        <v>10873</v>
      </c>
      <c r="I220" s="10" t="n">
        <v>30000</v>
      </c>
      <c r="J220" s="7" t="s">
        <v>377</v>
      </c>
      <c r="K220" s="7"/>
      <c r="L220" s="7" t="s">
        <v>11040</v>
      </c>
      <c r="M220" s="7" t="s">
        <v>9458</v>
      </c>
      <c r="N220" s="7" t="s">
        <v>11041</v>
      </c>
      <c r="O220" s="7"/>
      <c r="P220" s="7" t="s">
        <v>5174</v>
      </c>
    </row>
    <row r="221" customFormat="false" ht="15" hidden="false" customHeight="false" outlineLevel="0" collapsed="false">
      <c r="A221" s="7" t="s">
        <v>10869</v>
      </c>
      <c r="B221" s="7" t="s">
        <v>11042</v>
      </c>
      <c r="C221" s="7" t="s">
        <v>26</v>
      </c>
      <c r="D221" s="7" t="s">
        <v>11043</v>
      </c>
      <c r="E221" s="7" t="s">
        <v>65</v>
      </c>
      <c r="F221" s="7" t="s">
        <v>66</v>
      </c>
      <c r="G221" s="7" t="s">
        <v>11044</v>
      </c>
      <c r="H221" s="7" t="s">
        <v>10873</v>
      </c>
      <c r="I221" s="10" t="n">
        <v>15000</v>
      </c>
      <c r="J221" s="7" t="s">
        <v>69</v>
      </c>
      <c r="K221" s="7" t="s">
        <v>157</v>
      </c>
      <c r="L221" s="7" t="s">
        <v>11045</v>
      </c>
      <c r="M221" s="7" t="s">
        <v>8733</v>
      </c>
      <c r="N221" s="7" t="s">
        <v>11046</v>
      </c>
      <c r="O221" s="7" t="s">
        <v>2740</v>
      </c>
      <c r="P221" s="7" t="s">
        <v>2755</v>
      </c>
    </row>
    <row r="222" customFormat="false" ht="15" hidden="false" customHeight="false" outlineLevel="0" collapsed="false">
      <c r="A222" s="7" t="s">
        <v>10869</v>
      </c>
      <c r="B222" s="7" t="s">
        <v>11047</v>
      </c>
      <c r="C222" s="7" t="s">
        <v>26</v>
      </c>
      <c r="D222" s="7" t="s">
        <v>5191</v>
      </c>
      <c r="E222" s="7" t="s">
        <v>713</v>
      </c>
      <c r="F222" s="7" t="s">
        <v>155</v>
      </c>
      <c r="G222" s="7" t="s">
        <v>11048</v>
      </c>
      <c r="H222" s="7" t="s">
        <v>10873</v>
      </c>
      <c r="I222" s="10" t="n">
        <v>10000</v>
      </c>
      <c r="J222" s="7" t="s">
        <v>69</v>
      </c>
      <c r="K222" s="7" t="s">
        <v>8926</v>
      </c>
      <c r="L222" s="7" t="s">
        <v>11049</v>
      </c>
      <c r="M222" s="7" t="s">
        <v>8744</v>
      </c>
      <c r="N222" s="7" t="s">
        <v>11050</v>
      </c>
      <c r="O222" s="7" t="s">
        <v>11051</v>
      </c>
      <c r="P222" s="7" t="s">
        <v>5194</v>
      </c>
    </row>
    <row r="223" customFormat="false" ht="15" hidden="false" customHeight="false" outlineLevel="0" collapsed="false">
      <c r="A223" s="7" t="s">
        <v>10869</v>
      </c>
      <c r="B223" s="7" t="s">
        <v>11052</v>
      </c>
      <c r="C223" s="7" t="s">
        <v>26</v>
      </c>
      <c r="D223" s="7" t="s">
        <v>11053</v>
      </c>
      <c r="E223" s="7" t="s">
        <v>2765</v>
      </c>
      <c r="F223" s="7" t="s">
        <v>155</v>
      </c>
      <c r="G223" s="7" t="s">
        <v>11054</v>
      </c>
      <c r="H223" s="7" t="s">
        <v>10873</v>
      </c>
      <c r="I223" s="10" t="n">
        <v>26000</v>
      </c>
      <c r="J223" s="7" t="s">
        <v>377</v>
      </c>
      <c r="K223" s="7"/>
      <c r="L223" s="7" t="s">
        <v>11055</v>
      </c>
      <c r="M223" s="7" t="s">
        <v>11056</v>
      </c>
      <c r="N223" s="7" t="s">
        <v>11057</v>
      </c>
      <c r="O223" s="7" t="s">
        <v>11058</v>
      </c>
      <c r="P223" s="7" t="s">
        <v>5124</v>
      </c>
    </row>
    <row r="224" customFormat="false" ht="15" hidden="false" customHeight="false" outlineLevel="0" collapsed="false">
      <c r="A224" s="7" t="s">
        <v>10869</v>
      </c>
      <c r="B224" s="7" t="s">
        <v>11059</v>
      </c>
      <c r="C224" s="7" t="s">
        <v>26</v>
      </c>
      <c r="D224" s="7" t="s">
        <v>5253</v>
      </c>
      <c r="E224" s="7" t="s">
        <v>549</v>
      </c>
      <c r="F224" s="7" t="s">
        <v>147</v>
      </c>
      <c r="G224" s="7" t="s">
        <v>11060</v>
      </c>
      <c r="H224" s="7" t="s">
        <v>10873</v>
      </c>
      <c r="I224" s="10" t="n">
        <v>7300</v>
      </c>
      <c r="J224" s="7" t="s">
        <v>377</v>
      </c>
      <c r="K224" s="7"/>
      <c r="L224" s="7"/>
      <c r="M224" s="7" t="s">
        <v>11061</v>
      </c>
      <c r="N224" s="7" t="s">
        <v>11062</v>
      </c>
      <c r="O224" s="7" t="s">
        <v>11063</v>
      </c>
      <c r="P224" s="7" t="s">
        <v>5148</v>
      </c>
    </row>
    <row r="225" customFormat="false" ht="15" hidden="false" customHeight="false" outlineLevel="0" collapsed="false">
      <c r="A225" s="7" t="s">
        <v>10869</v>
      </c>
      <c r="B225" s="7" t="s">
        <v>11064</v>
      </c>
      <c r="C225" s="7" t="s">
        <v>26</v>
      </c>
      <c r="D225" s="7" t="s">
        <v>5287</v>
      </c>
      <c r="E225" s="7" t="s">
        <v>1667</v>
      </c>
      <c r="F225" s="7" t="s">
        <v>172</v>
      </c>
      <c r="G225" s="7" t="s">
        <v>11065</v>
      </c>
      <c r="H225" s="7" t="s">
        <v>10873</v>
      </c>
      <c r="I225" s="10" t="n">
        <v>7000</v>
      </c>
      <c r="J225" s="7" t="s">
        <v>517</v>
      </c>
      <c r="K225" s="7"/>
      <c r="L225" s="7"/>
      <c r="M225" s="7" t="s">
        <v>2738</v>
      </c>
      <c r="N225" s="7"/>
      <c r="O225" s="7" t="s">
        <v>11066</v>
      </c>
      <c r="P225" s="7" t="s">
        <v>5124</v>
      </c>
    </row>
    <row r="226" customFormat="false" ht="15" hidden="false" customHeight="false" outlineLevel="0" collapsed="false">
      <c r="A226" s="7" t="s">
        <v>10869</v>
      </c>
      <c r="B226" s="7" t="s">
        <v>11067</v>
      </c>
      <c r="C226" s="7" t="s">
        <v>27</v>
      </c>
      <c r="D226" s="7" t="s">
        <v>5756</v>
      </c>
      <c r="E226" s="7" t="s">
        <v>2458</v>
      </c>
      <c r="F226" s="7" t="s">
        <v>338</v>
      </c>
      <c r="G226" s="7" t="s">
        <v>11068</v>
      </c>
      <c r="H226" s="7" t="s">
        <v>10873</v>
      </c>
      <c r="I226" s="10" t="n">
        <v>260000</v>
      </c>
      <c r="J226" s="7" t="s">
        <v>377</v>
      </c>
      <c r="K226" s="7"/>
      <c r="L226" s="7" t="s">
        <v>11069</v>
      </c>
      <c r="M226" s="7" t="s">
        <v>1109</v>
      </c>
      <c r="N226" s="7" t="s">
        <v>11070</v>
      </c>
      <c r="O226" s="7" t="s">
        <v>11071</v>
      </c>
      <c r="P226" s="7" t="s">
        <v>11072</v>
      </c>
    </row>
    <row r="227" customFormat="false" ht="15" hidden="false" customHeight="false" outlineLevel="0" collapsed="false">
      <c r="A227" s="7" t="s">
        <v>10869</v>
      </c>
      <c r="B227" s="7" t="s">
        <v>11073</v>
      </c>
      <c r="C227" s="7" t="s">
        <v>27</v>
      </c>
      <c r="D227" s="7" t="s">
        <v>11074</v>
      </c>
      <c r="E227" s="7" t="s">
        <v>11075</v>
      </c>
      <c r="F227" s="7" t="s">
        <v>78</v>
      </c>
      <c r="G227" s="7" t="s">
        <v>11076</v>
      </c>
      <c r="H227" s="7" t="s">
        <v>10873</v>
      </c>
      <c r="I227" s="10" t="n">
        <v>20000</v>
      </c>
      <c r="J227" s="7" t="s">
        <v>3239</v>
      </c>
      <c r="K227" s="7"/>
      <c r="L227" s="7" t="s">
        <v>11077</v>
      </c>
      <c r="M227" s="7" t="s">
        <v>1491</v>
      </c>
      <c r="N227" s="7" t="s">
        <v>11078</v>
      </c>
      <c r="O227" s="7" t="s">
        <v>11079</v>
      </c>
      <c r="P227" s="7" t="s">
        <v>11080</v>
      </c>
    </row>
    <row r="228" customFormat="false" ht="15" hidden="false" customHeight="false" outlineLevel="0" collapsed="false">
      <c r="A228" s="7" t="s">
        <v>10869</v>
      </c>
      <c r="B228" s="7" t="s">
        <v>11081</v>
      </c>
      <c r="C228" s="7" t="s">
        <v>28</v>
      </c>
      <c r="D228" s="7" t="s">
        <v>11082</v>
      </c>
      <c r="E228" s="7" t="s">
        <v>1889</v>
      </c>
      <c r="F228" s="7" t="s">
        <v>88</v>
      </c>
      <c r="G228" s="7" t="s">
        <v>11083</v>
      </c>
      <c r="H228" s="7" t="s">
        <v>10873</v>
      </c>
      <c r="I228" s="10" t="n">
        <v>25000</v>
      </c>
      <c r="J228" s="7" t="s">
        <v>377</v>
      </c>
      <c r="K228" s="7"/>
      <c r="L228" s="7" t="s">
        <v>11084</v>
      </c>
      <c r="M228" s="7" t="s">
        <v>11085</v>
      </c>
      <c r="N228" s="7" t="s">
        <v>11086</v>
      </c>
      <c r="O228" s="7" t="s">
        <v>11087</v>
      </c>
      <c r="P228" s="7" t="s">
        <v>11088</v>
      </c>
    </row>
    <row r="229" customFormat="false" ht="15" hidden="false" customHeight="false" outlineLevel="0" collapsed="false">
      <c r="A229" s="7" t="s">
        <v>10869</v>
      </c>
      <c r="B229" s="7" t="s">
        <v>11089</v>
      </c>
      <c r="C229" s="7" t="s">
        <v>28</v>
      </c>
      <c r="D229" s="7" t="s">
        <v>2818</v>
      </c>
      <c r="E229" s="7" t="s">
        <v>2878</v>
      </c>
      <c r="F229" s="7" t="s">
        <v>155</v>
      </c>
      <c r="G229" s="7" t="s">
        <v>11090</v>
      </c>
      <c r="H229" s="7" t="s">
        <v>10873</v>
      </c>
      <c r="I229" s="10" t="n">
        <v>15000</v>
      </c>
      <c r="J229" s="7" t="s">
        <v>377</v>
      </c>
      <c r="K229" s="7"/>
      <c r="L229" s="7" t="s">
        <v>11091</v>
      </c>
      <c r="M229" s="7" t="s">
        <v>11092</v>
      </c>
      <c r="N229" s="7" t="s">
        <v>11093</v>
      </c>
      <c r="O229" s="7" t="s">
        <v>11094</v>
      </c>
      <c r="P229" s="7" t="s">
        <v>11095</v>
      </c>
    </row>
    <row r="230" customFormat="false" ht="15" hidden="false" customHeight="false" outlineLevel="0" collapsed="false">
      <c r="A230" s="7" t="s">
        <v>10869</v>
      </c>
      <c r="B230" s="7" t="s">
        <v>11096</v>
      </c>
      <c r="C230" s="7" t="s">
        <v>28</v>
      </c>
      <c r="D230" s="7" t="s">
        <v>11097</v>
      </c>
      <c r="E230" s="7" t="s">
        <v>1889</v>
      </c>
      <c r="F230" s="7" t="s">
        <v>88</v>
      </c>
      <c r="G230" s="7" t="s">
        <v>11098</v>
      </c>
      <c r="H230" s="7" t="s">
        <v>10873</v>
      </c>
      <c r="I230" s="10" t="n">
        <v>2500</v>
      </c>
      <c r="J230" s="7" t="s">
        <v>350</v>
      </c>
      <c r="K230" s="7"/>
      <c r="L230" s="7" t="s">
        <v>11099</v>
      </c>
      <c r="M230" s="7" t="s">
        <v>11100</v>
      </c>
      <c r="N230" s="7" t="s">
        <v>11101</v>
      </c>
      <c r="O230" s="7" t="s">
        <v>11102</v>
      </c>
      <c r="P230" s="7" t="s">
        <v>11103</v>
      </c>
    </row>
    <row r="231" customFormat="false" ht="15" hidden="false" customHeight="false" outlineLevel="0" collapsed="false">
      <c r="A231" s="7" t="s">
        <v>10869</v>
      </c>
      <c r="B231" s="7" t="s">
        <v>11104</v>
      </c>
      <c r="C231" s="7" t="s">
        <v>28</v>
      </c>
      <c r="D231" s="7" t="s">
        <v>11105</v>
      </c>
      <c r="E231" s="7" t="s">
        <v>872</v>
      </c>
      <c r="F231" s="7" t="s">
        <v>222</v>
      </c>
      <c r="G231" s="7" t="s">
        <v>11106</v>
      </c>
      <c r="H231" s="7" t="s">
        <v>10873</v>
      </c>
      <c r="I231" s="10" t="n">
        <v>340000</v>
      </c>
      <c r="J231" s="7" t="s">
        <v>377</v>
      </c>
      <c r="K231" s="7"/>
      <c r="L231" s="7" t="s">
        <v>11107</v>
      </c>
      <c r="M231" s="7" t="s">
        <v>11108</v>
      </c>
      <c r="N231" s="7" t="s">
        <v>11109</v>
      </c>
      <c r="O231" s="7" t="s">
        <v>11110</v>
      </c>
      <c r="P231" s="7" t="s">
        <v>11111</v>
      </c>
    </row>
    <row r="232" customFormat="false" ht="15" hidden="false" customHeight="false" outlineLevel="0" collapsed="false">
      <c r="A232" s="7" t="s">
        <v>10869</v>
      </c>
      <c r="B232" s="7" t="s">
        <v>11112</v>
      </c>
      <c r="C232" s="7" t="s">
        <v>28</v>
      </c>
      <c r="D232" s="7" t="s">
        <v>11113</v>
      </c>
      <c r="E232" s="7" t="s">
        <v>11114</v>
      </c>
      <c r="F232" s="7" t="s">
        <v>88</v>
      </c>
      <c r="G232" s="7" t="s">
        <v>11115</v>
      </c>
      <c r="H232" s="7" t="s">
        <v>10873</v>
      </c>
      <c r="I232" s="10" t="n">
        <v>120000</v>
      </c>
      <c r="J232" s="7" t="s">
        <v>377</v>
      </c>
      <c r="K232" s="7"/>
      <c r="L232" s="7" t="s">
        <v>11116</v>
      </c>
      <c r="M232" s="7" t="s">
        <v>11117</v>
      </c>
      <c r="N232" s="7" t="s">
        <v>11118</v>
      </c>
      <c r="O232" s="7" t="s">
        <v>11119</v>
      </c>
      <c r="P232" s="7" t="s">
        <v>11120</v>
      </c>
    </row>
    <row r="233" customFormat="false" ht="15" hidden="false" customHeight="false" outlineLevel="0" collapsed="false">
      <c r="A233" s="7" t="s">
        <v>10869</v>
      </c>
      <c r="B233" s="7" t="s">
        <v>11121</v>
      </c>
      <c r="C233" s="7" t="s">
        <v>28</v>
      </c>
      <c r="D233" s="7" t="s">
        <v>2818</v>
      </c>
      <c r="E233" s="7" t="s">
        <v>5205</v>
      </c>
      <c r="F233" s="7" t="s">
        <v>296</v>
      </c>
      <c r="G233" s="7" t="s">
        <v>11122</v>
      </c>
      <c r="H233" s="7" t="s">
        <v>10873</v>
      </c>
      <c r="I233" s="10" t="n">
        <v>14000</v>
      </c>
      <c r="J233" s="7" t="s">
        <v>377</v>
      </c>
      <c r="K233" s="7"/>
      <c r="L233" s="7" t="s">
        <v>11123</v>
      </c>
      <c r="M233" s="7" t="s">
        <v>1023</v>
      </c>
      <c r="N233" s="7" t="s">
        <v>11124</v>
      </c>
      <c r="O233" s="7" t="s">
        <v>11125</v>
      </c>
      <c r="P233" s="7" t="s">
        <v>11126</v>
      </c>
    </row>
    <row r="234" customFormat="false" ht="15" hidden="false" customHeight="false" outlineLevel="0" collapsed="false">
      <c r="A234" s="7" t="s">
        <v>10869</v>
      </c>
      <c r="B234" s="7" t="s">
        <v>11127</v>
      </c>
      <c r="C234" s="7" t="s">
        <v>28</v>
      </c>
      <c r="D234" s="7" t="s">
        <v>11128</v>
      </c>
      <c r="E234" s="7" t="s">
        <v>112</v>
      </c>
      <c r="F234" s="7" t="s">
        <v>113</v>
      </c>
      <c r="G234" s="7" t="s">
        <v>11129</v>
      </c>
      <c r="H234" s="7" t="s">
        <v>10873</v>
      </c>
      <c r="I234" s="10" t="n">
        <v>80000</v>
      </c>
      <c r="J234" s="7" t="s">
        <v>377</v>
      </c>
      <c r="K234" s="7"/>
      <c r="L234" s="7" t="s">
        <v>11130</v>
      </c>
      <c r="M234" s="7" t="s">
        <v>11131</v>
      </c>
      <c r="N234" s="7" t="s">
        <v>11132</v>
      </c>
      <c r="O234" s="7" t="s">
        <v>11133</v>
      </c>
      <c r="P234" s="7" t="s">
        <v>11134</v>
      </c>
    </row>
    <row r="235" customFormat="false" ht="15" hidden="false" customHeight="false" outlineLevel="0" collapsed="false">
      <c r="A235" s="7" t="s">
        <v>10869</v>
      </c>
      <c r="B235" s="7" t="s">
        <v>11135</v>
      </c>
      <c r="C235" s="7" t="s">
        <v>28</v>
      </c>
      <c r="D235" s="7" t="s">
        <v>11082</v>
      </c>
      <c r="E235" s="7" t="s">
        <v>2570</v>
      </c>
      <c r="F235" s="7" t="s">
        <v>88</v>
      </c>
      <c r="G235" s="7" t="s">
        <v>11136</v>
      </c>
      <c r="H235" s="7" t="s">
        <v>10873</v>
      </c>
      <c r="I235" s="10" t="n">
        <v>18000</v>
      </c>
      <c r="J235" s="7" t="s">
        <v>69</v>
      </c>
      <c r="K235" s="7" t="s">
        <v>11137</v>
      </c>
      <c r="L235" s="7" t="s">
        <v>11138</v>
      </c>
      <c r="M235" s="7" t="s">
        <v>11139</v>
      </c>
      <c r="N235" s="7" t="s">
        <v>11140</v>
      </c>
      <c r="O235" s="7" t="s">
        <v>11141</v>
      </c>
      <c r="P235" s="7" t="s">
        <v>11142</v>
      </c>
    </row>
    <row r="236" customFormat="false" ht="15" hidden="false" customHeight="false" outlineLevel="0" collapsed="false">
      <c r="A236" s="7" t="s">
        <v>10869</v>
      </c>
      <c r="B236" s="7" t="s">
        <v>11143</v>
      </c>
      <c r="C236" s="7" t="s">
        <v>28</v>
      </c>
      <c r="D236" s="7" t="s">
        <v>2797</v>
      </c>
      <c r="E236" s="7" t="s">
        <v>112</v>
      </c>
      <c r="F236" s="7" t="s">
        <v>113</v>
      </c>
      <c r="G236" s="7" t="s">
        <v>11144</v>
      </c>
      <c r="H236" s="7" t="s">
        <v>10873</v>
      </c>
      <c r="I236" s="10" t="n">
        <v>3500</v>
      </c>
      <c r="J236" s="7" t="s">
        <v>69</v>
      </c>
      <c r="K236" s="7" t="s">
        <v>6703</v>
      </c>
      <c r="L236" s="7" t="s">
        <v>11145</v>
      </c>
      <c r="M236" s="7" t="s">
        <v>8857</v>
      </c>
      <c r="N236" s="7" t="s">
        <v>11146</v>
      </c>
      <c r="O236" s="7" t="s">
        <v>11147</v>
      </c>
      <c r="P236" s="7" t="s">
        <v>11148</v>
      </c>
    </row>
    <row r="237" customFormat="false" ht="15" hidden="false" customHeight="false" outlineLevel="0" collapsed="false">
      <c r="A237" s="7" t="s">
        <v>10869</v>
      </c>
      <c r="B237" s="7" t="s">
        <v>11149</v>
      </c>
      <c r="C237" s="7" t="s">
        <v>28</v>
      </c>
      <c r="D237" s="7" t="s">
        <v>11082</v>
      </c>
      <c r="E237" s="7" t="s">
        <v>1889</v>
      </c>
      <c r="F237" s="7" t="s">
        <v>88</v>
      </c>
      <c r="G237" s="7" t="s">
        <v>11150</v>
      </c>
      <c r="H237" s="7" t="s">
        <v>10873</v>
      </c>
      <c r="I237" s="10" t="n">
        <v>24000</v>
      </c>
      <c r="J237" s="7" t="s">
        <v>377</v>
      </c>
      <c r="K237" s="7"/>
      <c r="L237" s="7" t="s">
        <v>11151</v>
      </c>
      <c r="M237" s="7" t="s">
        <v>11152</v>
      </c>
      <c r="N237" s="7" t="s">
        <v>11153</v>
      </c>
      <c r="O237" s="7" t="s">
        <v>11154</v>
      </c>
      <c r="P237" s="7" t="s">
        <v>11155</v>
      </c>
    </row>
    <row r="238" customFormat="false" ht="15" hidden="false" customHeight="false" outlineLevel="0" collapsed="false">
      <c r="A238" s="7" t="s">
        <v>10869</v>
      </c>
      <c r="B238" s="7" t="s">
        <v>11156</v>
      </c>
      <c r="C238" s="7" t="s">
        <v>28</v>
      </c>
      <c r="D238" s="7" t="s">
        <v>2818</v>
      </c>
      <c r="E238" s="7" t="s">
        <v>11157</v>
      </c>
      <c r="F238" s="7" t="s">
        <v>222</v>
      </c>
      <c r="G238" s="7" t="s">
        <v>11158</v>
      </c>
      <c r="H238" s="7" t="s">
        <v>10873</v>
      </c>
      <c r="I238" s="10" t="n">
        <v>7000</v>
      </c>
      <c r="J238" s="7" t="s">
        <v>350</v>
      </c>
      <c r="K238" s="7"/>
      <c r="L238" s="7" t="s">
        <v>11159</v>
      </c>
      <c r="M238" s="7" t="s">
        <v>2846</v>
      </c>
      <c r="N238" s="7" t="s">
        <v>11160</v>
      </c>
      <c r="O238" s="7" t="s">
        <v>11161</v>
      </c>
      <c r="P238" s="7" t="s">
        <v>11162</v>
      </c>
    </row>
    <row r="239" customFormat="false" ht="15" hidden="false" customHeight="false" outlineLevel="0" collapsed="false">
      <c r="A239" s="7" t="s">
        <v>10869</v>
      </c>
      <c r="B239" s="7" t="s">
        <v>11163</v>
      </c>
      <c r="C239" s="7" t="s">
        <v>28</v>
      </c>
      <c r="D239" s="7" t="s">
        <v>11164</v>
      </c>
      <c r="E239" s="7" t="s">
        <v>6389</v>
      </c>
      <c r="F239" s="7" t="s">
        <v>455</v>
      </c>
      <c r="G239" s="7" t="s">
        <v>11165</v>
      </c>
      <c r="H239" s="7" t="s">
        <v>10873</v>
      </c>
      <c r="I239" s="10" t="n">
        <v>80000</v>
      </c>
      <c r="J239" s="7" t="s">
        <v>386</v>
      </c>
      <c r="K239" s="7"/>
      <c r="L239" s="7" t="s">
        <v>11166</v>
      </c>
      <c r="M239" s="7" t="s">
        <v>11167</v>
      </c>
      <c r="N239" s="7" t="s">
        <v>11168</v>
      </c>
      <c r="O239" s="7" t="s">
        <v>11169</v>
      </c>
      <c r="P239" s="7" t="s">
        <v>11170</v>
      </c>
    </row>
    <row r="240" customFormat="false" ht="15" hidden="false" customHeight="false" outlineLevel="0" collapsed="false">
      <c r="A240" s="7" t="s">
        <v>10869</v>
      </c>
      <c r="B240" s="7" t="s">
        <v>11171</v>
      </c>
      <c r="C240" s="7" t="s">
        <v>28</v>
      </c>
      <c r="D240" s="7" t="s">
        <v>2797</v>
      </c>
      <c r="E240" s="7" t="s">
        <v>479</v>
      </c>
      <c r="F240" s="7" t="s">
        <v>480</v>
      </c>
      <c r="G240" s="7" t="s">
        <v>11172</v>
      </c>
      <c r="H240" s="7" t="s">
        <v>10873</v>
      </c>
      <c r="I240" s="10" t="n">
        <v>10000</v>
      </c>
      <c r="J240" s="7" t="s">
        <v>350</v>
      </c>
      <c r="K240" s="7"/>
      <c r="L240" s="7" t="s">
        <v>11173</v>
      </c>
      <c r="M240" s="7" t="s">
        <v>11174</v>
      </c>
      <c r="N240" s="7" t="s">
        <v>11175</v>
      </c>
      <c r="O240" s="7" t="s">
        <v>11176</v>
      </c>
      <c r="P240" s="7" t="s">
        <v>11177</v>
      </c>
    </row>
    <row r="241" customFormat="false" ht="15" hidden="false" customHeight="false" outlineLevel="0" collapsed="false">
      <c r="A241" s="7" t="s">
        <v>10869</v>
      </c>
      <c r="B241" s="7" t="s">
        <v>11178</v>
      </c>
      <c r="C241" s="7" t="s">
        <v>30</v>
      </c>
      <c r="D241" s="7" t="s">
        <v>11179</v>
      </c>
      <c r="E241" s="7" t="s">
        <v>11180</v>
      </c>
      <c r="F241" s="7" t="s">
        <v>105</v>
      </c>
      <c r="G241" s="7" t="s">
        <v>11181</v>
      </c>
      <c r="H241" s="7" t="s">
        <v>10873</v>
      </c>
      <c r="I241" s="10" t="n">
        <v>20000</v>
      </c>
      <c r="J241" s="7" t="s">
        <v>69</v>
      </c>
      <c r="K241" s="7" t="s">
        <v>6703</v>
      </c>
      <c r="L241" s="7" t="s">
        <v>11182</v>
      </c>
      <c r="M241" s="7" t="s">
        <v>1222</v>
      </c>
      <c r="N241" s="7"/>
      <c r="O241" s="7" t="s">
        <v>11183</v>
      </c>
      <c r="P241" s="7" t="s">
        <v>11184</v>
      </c>
    </row>
    <row r="242" customFormat="false" ht="15" hidden="false" customHeight="false" outlineLevel="0" collapsed="false">
      <c r="A242" s="7" t="s">
        <v>10869</v>
      </c>
      <c r="B242" s="7" t="s">
        <v>11185</v>
      </c>
      <c r="C242" s="7" t="s">
        <v>30</v>
      </c>
      <c r="D242" s="7" t="s">
        <v>11186</v>
      </c>
      <c r="E242" s="7" t="s">
        <v>11187</v>
      </c>
      <c r="F242" s="7" t="s">
        <v>155</v>
      </c>
      <c r="G242" s="7" t="s">
        <v>11188</v>
      </c>
      <c r="H242" s="7" t="s">
        <v>10873</v>
      </c>
      <c r="I242" s="10" t="n">
        <v>27000</v>
      </c>
      <c r="J242" s="7" t="s">
        <v>350</v>
      </c>
      <c r="K242" s="7"/>
      <c r="L242" s="7" t="s">
        <v>11189</v>
      </c>
      <c r="M242" s="7" t="s">
        <v>6118</v>
      </c>
      <c r="N242" s="7"/>
      <c r="O242" s="7" t="s">
        <v>11190</v>
      </c>
      <c r="P242" s="7" t="s">
        <v>11191</v>
      </c>
    </row>
    <row r="243" customFormat="false" ht="15" hidden="false" customHeight="false" outlineLevel="0" collapsed="false">
      <c r="A243" s="7" t="s">
        <v>10869</v>
      </c>
      <c r="B243" s="7" t="s">
        <v>11192</v>
      </c>
      <c r="C243" s="7" t="s">
        <v>30</v>
      </c>
      <c r="D243" s="7" t="s">
        <v>11193</v>
      </c>
      <c r="E243" s="7" t="s">
        <v>11194</v>
      </c>
      <c r="F243" s="7" t="s">
        <v>137</v>
      </c>
      <c r="G243" s="7" t="s">
        <v>11195</v>
      </c>
      <c r="H243" s="7" t="s">
        <v>10873</v>
      </c>
      <c r="I243" s="10" t="n">
        <v>40000</v>
      </c>
      <c r="J243" s="7" t="s">
        <v>3239</v>
      </c>
      <c r="K243" s="7"/>
      <c r="L243" s="7" t="s">
        <v>11196</v>
      </c>
      <c r="M243" s="7" t="s">
        <v>11197</v>
      </c>
      <c r="N243" s="7" t="s">
        <v>11198</v>
      </c>
      <c r="O243" s="7" t="s">
        <v>11199</v>
      </c>
      <c r="P243" s="7" t="s">
        <v>6139</v>
      </c>
    </row>
    <row r="244" customFormat="false" ht="15" hidden="false" customHeight="false" outlineLevel="0" collapsed="false">
      <c r="A244" s="7" t="s">
        <v>10869</v>
      </c>
      <c r="B244" s="7" t="s">
        <v>11200</v>
      </c>
      <c r="C244" s="7" t="s">
        <v>30</v>
      </c>
      <c r="D244" s="7" t="s">
        <v>11201</v>
      </c>
      <c r="E244" s="7" t="s">
        <v>11202</v>
      </c>
      <c r="F244" s="7" t="s">
        <v>155</v>
      </c>
      <c r="G244" s="7" t="s">
        <v>11203</v>
      </c>
      <c r="H244" s="7" t="s">
        <v>10873</v>
      </c>
      <c r="I244" s="10" t="n">
        <v>43000</v>
      </c>
      <c r="J244" s="7" t="s">
        <v>69</v>
      </c>
      <c r="K244" s="7" t="s">
        <v>115</v>
      </c>
      <c r="L244" s="7" t="s">
        <v>11204</v>
      </c>
      <c r="M244" s="7" t="s">
        <v>9053</v>
      </c>
      <c r="N244" s="7" t="s">
        <v>11205</v>
      </c>
      <c r="O244" s="7" t="s">
        <v>11206</v>
      </c>
      <c r="P244" s="7" t="s">
        <v>11207</v>
      </c>
    </row>
    <row r="245" customFormat="false" ht="15" hidden="false" customHeight="false" outlineLevel="0" collapsed="false">
      <c r="A245" s="7" t="s">
        <v>10869</v>
      </c>
      <c r="B245" s="7" t="s">
        <v>11208</v>
      </c>
      <c r="C245" s="7" t="s">
        <v>30</v>
      </c>
      <c r="D245" s="7" t="s">
        <v>11209</v>
      </c>
      <c r="E245" s="7" t="s">
        <v>723</v>
      </c>
      <c r="F245" s="7" t="s">
        <v>105</v>
      </c>
      <c r="G245" s="7" t="s">
        <v>11210</v>
      </c>
      <c r="H245" s="7" t="s">
        <v>10873</v>
      </c>
      <c r="I245" s="10" t="n">
        <v>20000</v>
      </c>
      <c r="J245" s="7" t="s">
        <v>69</v>
      </c>
      <c r="K245" s="7" t="s">
        <v>8926</v>
      </c>
      <c r="L245" s="7" t="s">
        <v>11211</v>
      </c>
      <c r="M245" s="7" t="s">
        <v>3241</v>
      </c>
      <c r="N245" s="7"/>
      <c r="O245" s="7" t="s">
        <v>11212</v>
      </c>
      <c r="P245" s="7" t="s">
        <v>11213</v>
      </c>
    </row>
    <row r="246" customFormat="false" ht="15" hidden="false" customHeight="false" outlineLevel="0" collapsed="false">
      <c r="A246" s="7" t="s">
        <v>10869</v>
      </c>
      <c r="B246" s="7" t="s">
        <v>11214</v>
      </c>
      <c r="C246" s="7" t="s">
        <v>30</v>
      </c>
      <c r="D246" s="7" t="s">
        <v>11215</v>
      </c>
      <c r="E246" s="7" t="s">
        <v>11216</v>
      </c>
      <c r="F246" s="7" t="s">
        <v>155</v>
      </c>
      <c r="G246" s="7" t="s">
        <v>11217</v>
      </c>
      <c r="H246" s="7" t="s">
        <v>10873</v>
      </c>
      <c r="I246" s="10" t="n">
        <v>20000</v>
      </c>
      <c r="J246" s="7" t="s">
        <v>350</v>
      </c>
      <c r="K246" s="7"/>
      <c r="L246" s="7"/>
      <c r="M246" s="7" t="s">
        <v>3241</v>
      </c>
      <c r="N246" s="7"/>
      <c r="O246" s="7" t="s">
        <v>11190</v>
      </c>
      <c r="P246" s="7" t="s">
        <v>11218</v>
      </c>
    </row>
    <row r="247" customFormat="false" ht="15" hidden="false" customHeight="false" outlineLevel="0" collapsed="false">
      <c r="A247" s="7" t="s">
        <v>10869</v>
      </c>
      <c r="B247" s="7" t="s">
        <v>11219</v>
      </c>
      <c r="C247" s="7" t="s">
        <v>30</v>
      </c>
      <c r="D247" s="7" t="s">
        <v>11220</v>
      </c>
      <c r="E247" s="7" t="s">
        <v>4836</v>
      </c>
      <c r="F247" s="7" t="s">
        <v>137</v>
      </c>
      <c r="G247" s="7" t="s">
        <v>11221</v>
      </c>
      <c r="H247" s="7" t="s">
        <v>10873</v>
      </c>
      <c r="I247" s="10" t="n">
        <v>10000</v>
      </c>
      <c r="J247" s="7" t="s">
        <v>517</v>
      </c>
      <c r="K247" s="7"/>
      <c r="L247" s="7" t="s">
        <v>11222</v>
      </c>
      <c r="M247" s="7" t="s">
        <v>3241</v>
      </c>
      <c r="N247" s="7"/>
      <c r="O247" s="7" t="s">
        <v>11223</v>
      </c>
      <c r="P247" s="7" t="s">
        <v>6139</v>
      </c>
    </row>
    <row r="248" customFormat="false" ht="15" hidden="false" customHeight="false" outlineLevel="0" collapsed="false">
      <c r="A248" s="7" t="s">
        <v>10869</v>
      </c>
      <c r="B248" s="7" t="s">
        <v>11224</v>
      </c>
      <c r="C248" s="7" t="s">
        <v>31</v>
      </c>
      <c r="D248" s="7" t="s">
        <v>9150</v>
      </c>
      <c r="E248" s="7" t="s">
        <v>112</v>
      </c>
      <c r="F248" s="7" t="s">
        <v>113</v>
      </c>
      <c r="G248" s="7" t="s">
        <v>11225</v>
      </c>
      <c r="H248" s="7" t="s">
        <v>10873</v>
      </c>
      <c r="I248" s="10" t="n">
        <v>100000</v>
      </c>
      <c r="J248" s="7" t="s">
        <v>377</v>
      </c>
      <c r="K248" s="7"/>
      <c r="L248" s="7" t="s">
        <v>11226</v>
      </c>
      <c r="M248" s="7" t="s">
        <v>11227</v>
      </c>
      <c r="N248" s="7" t="s">
        <v>11228</v>
      </c>
      <c r="O248" s="7" t="s">
        <v>11229</v>
      </c>
      <c r="P248" s="7" t="s">
        <v>11230</v>
      </c>
    </row>
    <row r="249" customFormat="false" ht="15" hidden="false" customHeight="false" outlineLevel="0" collapsed="false">
      <c r="A249" s="7" t="s">
        <v>10869</v>
      </c>
      <c r="B249" s="7" t="s">
        <v>11231</v>
      </c>
      <c r="C249" s="7" t="s">
        <v>33</v>
      </c>
      <c r="D249" s="7" t="s">
        <v>1689</v>
      </c>
      <c r="E249" s="7" t="s">
        <v>1321</v>
      </c>
      <c r="F249" s="7" t="s">
        <v>78</v>
      </c>
      <c r="G249" s="7" t="s">
        <v>11232</v>
      </c>
      <c r="H249" s="7" t="s">
        <v>10873</v>
      </c>
      <c r="I249" s="10" t="n">
        <v>7000</v>
      </c>
      <c r="J249" s="7" t="s">
        <v>350</v>
      </c>
      <c r="K249" s="7"/>
      <c r="L249" s="7" t="s">
        <v>11233</v>
      </c>
      <c r="M249" s="7" t="s">
        <v>1129</v>
      </c>
      <c r="N249" s="7" t="s">
        <v>11234</v>
      </c>
      <c r="O249" s="7" t="s">
        <v>11235</v>
      </c>
      <c r="P249" s="7" t="s">
        <v>9236</v>
      </c>
    </row>
    <row r="250" customFormat="false" ht="15" hidden="false" customHeight="false" outlineLevel="0" collapsed="false">
      <c r="A250" s="7" t="s">
        <v>10869</v>
      </c>
      <c r="B250" s="7" t="s">
        <v>11236</v>
      </c>
      <c r="C250" s="7" t="s">
        <v>33</v>
      </c>
      <c r="D250" s="7" t="s">
        <v>1634</v>
      </c>
      <c r="E250" s="7" t="s">
        <v>827</v>
      </c>
      <c r="F250" s="7" t="s">
        <v>480</v>
      </c>
      <c r="G250" s="7" t="s">
        <v>11237</v>
      </c>
      <c r="H250" s="7" t="s">
        <v>10873</v>
      </c>
      <c r="I250" s="10" t="n">
        <v>14000</v>
      </c>
      <c r="J250" s="7" t="s">
        <v>517</v>
      </c>
      <c r="K250" s="7"/>
      <c r="L250" s="7" t="s">
        <v>11238</v>
      </c>
      <c r="M250" s="7" t="s">
        <v>11239</v>
      </c>
      <c r="N250" s="7" t="s">
        <v>11240</v>
      </c>
      <c r="O250" s="7" t="s">
        <v>11241</v>
      </c>
      <c r="P250" s="7" t="s">
        <v>1641</v>
      </c>
    </row>
    <row r="251" customFormat="false" ht="15" hidden="false" customHeight="false" outlineLevel="0" collapsed="false">
      <c r="A251" s="7" t="s">
        <v>10869</v>
      </c>
      <c r="B251" s="7" t="s">
        <v>11242</v>
      </c>
      <c r="C251" s="7" t="s">
        <v>33</v>
      </c>
      <c r="D251" s="7" t="s">
        <v>3475</v>
      </c>
      <c r="E251" s="7" t="s">
        <v>249</v>
      </c>
      <c r="F251" s="7" t="s">
        <v>250</v>
      </c>
      <c r="G251" s="7" t="s">
        <v>11243</v>
      </c>
      <c r="H251" s="7" t="s">
        <v>10873</v>
      </c>
      <c r="I251" s="10" t="n">
        <v>140000</v>
      </c>
      <c r="J251" s="7" t="s">
        <v>377</v>
      </c>
      <c r="K251" s="7"/>
      <c r="L251" s="7" t="s">
        <v>11244</v>
      </c>
      <c r="M251" s="7" t="s">
        <v>11245</v>
      </c>
      <c r="N251" s="7" t="s">
        <v>11246</v>
      </c>
      <c r="O251" s="7" t="s">
        <v>11247</v>
      </c>
      <c r="P251" s="7" t="s">
        <v>3492</v>
      </c>
    </row>
    <row r="252" customFormat="false" ht="15" hidden="false" customHeight="false" outlineLevel="0" collapsed="false">
      <c r="A252" s="7" t="s">
        <v>10869</v>
      </c>
      <c r="B252" s="7" t="s">
        <v>11248</v>
      </c>
      <c r="C252" s="7" t="s">
        <v>33</v>
      </c>
      <c r="D252" s="7" t="s">
        <v>3475</v>
      </c>
      <c r="E252" s="7" t="s">
        <v>112</v>
      </c>
      <c r="F252" s="7" t="s">
        <v>113</v>
      </c>
      <c r="G252" s="7" t="s">
        <v>11249</v>
      </c>
      <c r="H252" s="7" t="s">
        <v>10873</v>
      </c>
      <c r="I252" s="10" t="n">
        <v>4000</v>
      </c>
      <c r="J252" s="7" t="s">
        <v>377</v>
      </c>
      <c r="K252" s="7"/>
      <c r="L252" s="7" t="s">
        <v>11250</v>
      </c>
      <c r="M252" s="7" t="s">
        <v>1693</v>
      </c>
      <c r="N252" s="7" t="s">
        <v>11251</v>
      </c>
      <c r="O252" s="7" t="s">
        <v>11252</v>
      </c>
      <c r="P252" s="7" t="s">
        <v>11253</v>
      </c>
    </row>
    <row r="253" customFormat="false" ht="15" hidden="false" customHeight="false" outlineLevel="0" collapsed="false">
      <c r="A253" s="7" t="s">
        <v>10869</v>
      </c>
      <c r="B253" s="7" t="s">
        <v>11254</v>
      </c>
      <c r="C253" s="7" t="s">
        <v>33</v>
      </c>
      <c r="D253" s="7" t="s">
        <v>3475</v>
      </c>
      <c r="E253" s="7" t="s">
        <v>154</v>
      </c>
      <c r="F253" s="7" t="s">
        <v>155</v>
      </c>
      <c r="G253" s="7" t="s">
        <v>11255</v>
      </c>
      <c r="H253" s="7" t="s">
        <v>10873</v>
      </c>
      <c r="I253" s="10" t="n">
        <v>52000</v>
      </c>
      <c r="J253" s="7" t="s">
        <v>377</v>
      </c>
      <c r="K253" s="7"/>
      <c r="L253" s="7" t="s">
        <v>11256</v>
      </c>
      <c r="M253" s="7" t="s">
        <v>1109</v>
      </c>
      <c r="N253" s="7" t="s">
        <v>11257</v>
      </c>
      <c r="O253" s="7" t="s">
        <v>11258</v>
      </c>
      <c r="P253" s="7" t="s">
        <v>3492</v>
      </c>
    </row>
    <row r="254" customFormat="false" ht="15" hidden="false" customHeight="false" outlineLevel="0" collapsed="false">
      <c r="A254" s="7" t="s">
        <v>10869</v>
      </c>
      <c r="B254" s="7" t="s">
        <v>11259</v>
      </c>
      <c r="C254" s="7" t="s">
        <v>33</v>
      </c>
      <c r="D254" s="7" t="s">
        <v>7441</v>
      </c>
      <c r="E254" s="7" t="s">
        <v>11260</v>
      </c>
      <c r="F254" s="7" t="s">
        <v>250</v>
      </c>
      <c r="G254" s="7" t="s">
        <v>11261</v>
      </c>
      <c r="H254" s="7" t="s">
        <v>10873</v>
      </c>
      <c r="I254" s="10" t="n">
        <v>4500</v>
      </c>
      <c r="J254" s="7" t="s">
        <v>377</v>
      </c>
      <c r="K254" s="7"/>
      <c r="L254" s="7" t="s">
        <v>11262</v>
      </c>
      <c r="M254" s="7" t="s">
        <v>1693</v>
      </c>
      <c r="N254" s="7" t="s">
        <v>11263</v>
      </c>
      <c r="O254" s="7" t="s">
        <v>11264</v>
      </c>
      <c r="P254" s="7" t="s">
        <v>10502</v>
      </c>
    </row>
    <row r="255" customFormat="false" ht="15" hidden="false" customHeight="false" outlineLevel="0" collapsed="false">
      <c r="A255" s="7" t="s">
        <v>10869</v>
      </c>
      <c r="B255" s="7" t="s">
        <v>11265</v>
      </c>
      <c r="C255" s="7" t="s">
        <v>33</v>
      </c>
      <c r="D255" s="7" t="s">
        <v>3475</v>
      </c>
      <c r="E255" s="7" t="s">
        <v>154</v>
      </c>
      <c r="F255" s="7" t="s">
        <v>155</v>
      </c>
      <c r="G255" s="7" t="s">
        <v>11266</v>
      </c>
      <c r="H255" s="7" t="s">
        <v>10873</v>
      </c>
      <c r="I255" s="10" t="n">
        <v>110000</v>
      </c>
      <c r="J255" s="7" t="s">
        <v>377</v>
      </c>
      <c r="K255" s="7"/>
      <c r="L255" s="7" t="s">
        <v>11267</v>
      </c>
      <c r="M255" s="7" t="s">
        <v>1693</v>
      </c>
      <c r="N255" s="7" t="s">
        <v>11268</v>
      </c>
      <c r="O255" s="7" t="s">
        <v>11269</v>
      </c>
      <c r="P255" s="7" t="s">
        <v>3492</v>
      </c>
    </row>
    <row r="256" customFormat="false" ht="15" hidden="false" customHeight="false" outlineLevel="0" collapsed="false">
      <c r="A256" s="7" t="s">
        <v>10869</v>
      </c>
      <c r="B256" s="7" t="s">
        <v>11270</v>
      </c>
      <c r="C256" s="7" t="s">
        <v>33</v>
      </c>
      <c r="D256" s="7" t="s">
        <v>1689</v>
      </c>
      <c r="E256" s="7" t="s">
        <v>394</v>
      </c>
      <c r="F256" s="7" t="s">
        <v>78</v>
      </c>
      <c r="G256" s="7" t="s">
        <v>11271</v>
      </c>
      <c r="H256" s="7" t="s">
        <v>10873</v>
      </c>
      <c r="I256" s="10" t="n">
        <v>13000</v>
      </c>
      <c r="J256" s="7" t="s">
        <v>377</v>
      </c>
      <c r="K256" s="7"/>
      <c r="L256" s="7" t="s">
        <v>11272</v>
      </c>
      <c r="M256" s="7" t="s">
        <v>1693</v>
      </c>
      <c r="N256" s="7" t="s">
        <v>11273</v>
      </c>
      <c r="O256" s="7" t="s">
        <v>11274</v>
      </c>
      <c r="P256" s="7" t="s">
        <v>9236</v>
      </c>
    </row>
    <row r="257" customFormat="false" ht="15" hidden="false" customHeight="false" outlineLevel="0" collapsed="false">
      <c r="A257" s="7" t="s">
        <v>10869</v>
      </c>
      <c r="B257" s="7" t="s">
        <v>11275</v>
      </c>
      <c r="C257" s="7" t="s">
        <v>34</v>
      </c>
      <c r="D257" s="7" t="s">
        <v>11276</v>
      </c>
      <c r="E257" s="7" t="s">
        <v>1612</v>
      </c>
      <c r="F257" s="7" t="s">
        <v>147</v>
      </c>
      <c r="G257" s="7" t="s">
        <v>11277</v>
      </c>
      <c r="H257" s="7" t="s">
        <v>10873</v>
      </c>
      <c r="I257" s="10" t="n">
        <v>17000</v>
      </c>
      <c r="J257" s="7" t="s">
        <v>350</v>
      </c>
      <c r="K257" s="7"/>
      <c r="L257" s="7" t="s">
        <v>11278</v>
      </c>
      <c r="M257" s="7" t="s">
        <v>11279</v>
      </c>
      <c r="N257" s="7" t="s">
        <v>11280</v>
      </c>
      <c r="O257" s="7" t="s">
        <v>11281</v>
      </c>
      <c r="P257" s="7" t="s">
        <v>11282</v>
      </c>
    </row>
    <row r="258" customFormat="false" ht="15" hidden="false" customHeight="false" outlineLevel="0" collapsed="false">
      <c r="A258" s="7" t="s">
        <v>10869</v>
      </c>
      <c r="B258" s="7" t="s">
        <v>11283</v>
      </c>
      <c r="C258" s="7" t="s">
        <v>34</v>
      </c>
      <c r="D258" s="7" t="s">
        <v>11284</v>
      </c>
      <c r="E258" s="7" t="s">
        <v>347</v>
      </c>
      <c r="F258" s="7" t="s">
        <v>348</v>
      </c>
      <c r="G258" s="7" t="s">
        <v>11285</v>
      </c>
      <c r="H258" s="7" t="s">
        <v>10873</v>
      </c>
      <c r="I258" s="10" t="n">
        <v>8000</v>
      </c>
      <c r="J258" s="7" t="s">
        <v>350</v>
      </c>
      <c r="K258" s="7"/>
      <c r="L258" s="7" t="s">
        <v>11286</v>
      </c>
      <c r="M258" s="7" t="s">
        <v>3691</v>
      </c>
      <c r="N258" s="7"/>
      <c r="O258" s="7" t="s">
        <v>11287</v>
      </c>
      <c r="P258" s="7" t="s">
        <v>11288</v>
      </c>
    </row>
    <row r="259" customFormat="false" ht="15" hidden="false" customHeight="false" outlineLevel="0" collapsed="false">
      <c r="A259" s="7" t="s">
        <v>10869</v>
      </c>
      <c r="B259" s="7" t="s">
        <v>11289</v>
      </c>
      <c r="C259" s="7" t="s">
        <v>34</v>
      </c>
      <c r="D259" s="7" t="s">
        <v>11290</v>
      </c>
      <c r="E259" s="7" t="s">
        <v>4394</v>
      </c>
      <c r="F259" s="7" t="s">
        <v>455</v>
      </c>
      <c r="G259" s="7" t="s">
        <v>11291</v>
      </c>
      <c r="H259" s="7" t="s">
        <v>10873</v>
      </c>
      <c r="I259" s="10" t="n">
        <v>10000</v>
      </c>
      <c r="J259" s="7" t="s">
        <v>3239</v>
      </c>
      <c r="K259" s="7"/>
      <c r="L259" s="7" t="s">
        <v>11292</v>
      </c>
      <c r="M259" s="7" t="s">
        <v>7527</v>
      </c>
      <c r="N259" s="7"/>
      <c r="O259" s="7" t="s">
        <v>11293</v>
      </c>
      <c r="P259" s="7" t="s">
        <v>11294</v>
      </c>
    </row>
    <row r="260" customFormat="false" ht="15" hidden="false" customHeight="false" outlineLevel="0" collapsed="false">
      <c r="A260" s="7" t="s">
        <v>10869</v>
      </c>
      <c r="B260" s="7" t="s">
        <v>11295</v>
      </c>
      <c r="C260" s="7" t="s">
        <v>35</v>
      </c>
      <c r="D260" s="7" t="s">
        <v>11296</v>
      </c>
      <c r="E260" s="7" t="s">
        <v>347</v>
      </c>
      <c r="F260" s="7" t="s">
        <v>348</v>
      </c>
      <c r="G260" s="7" t="s">
        <v>11297</v>
      </c>
      <c r="H260" s="7" t="s">
        <v>10873</v>
      </c>
      <c r="I260" s="10" t="n">
        <v>6000</v>
      </c>
      <c r="J260" s="7" t="s">
        <v>377</v>
      </c>
      <c r="K260" s="7"/>
      <c r="L260" s="7" t="s">
        <v>11298</v>
      </c>
      <c r="M260" s="7" t="s">
        <v>1807</v>
      </c>
      <c r="N260" s="7" t="s">
        <v>11299</v>
      </c>
      <c r="O260" s="7" t="s">
        <v>11300</v>
      </c>
      <c r="P260" s="7" t="s">
        <v>11301</v>
      </c>
    </row>
    <row r="261" customFormat="false" ht="15" hidden="false" customHeight="false" outlineLevel="0" collapsed="false">
      <c r="A261" s="7" t="s">
        <v>10869</v>
      </c>
      <c r="B261" s="7" t="s">
        <v>11302</v>
      </c>
      <c r="C261" s="7" t="s">
        <v>36</v>
      </c>
      <c r="D261" s="7" t="s">
        <v>2328</v>
      </c>
      <c r="E261" s="7" t="s">
        <v>65</v>
      </c>
      <c r="F261" s="7" t="s">
        <v>66</v>
      </c>
      <c r="G261" s="7" t="s">
        <v>11303</v>
      </c>
      <c r="H261" s="7" t="s">
        <v>10873</v>
      </c>
      <c r="I261" s="10" t="n">
        <v>3000</v>
      </c>
      <c r="J261" s="7" t="s">
        <v>69</v>
      </c>
      <c r="K261" s="7" t="s">
        <v>1397</v>
      </c>
      <c r="L261" s="7" t="s">
        <v>11304</v>
      </c>
      <c r="M261" s="7" t="s">
        <v>9803</v>
      </c>
      <c r="N261" s="7"/>
      <c r="O261" s="7" t="s">
        <v>11305</v>
      </c>
      <c r="P261" s="7" t="s">
        <v>10684</v>
      </c>
    </row>
    <row r="262" customFormat="false" ht="15" hidden="false" customHeight="false" outlineLevel="0" collapsed="false">
      <c r="A262" s="7" t="s">
        <v>10869</v>
      </c>
      <c r="B262" s="7" t="s">
        <v>11306</v>
      </c>
      <c r="C262" s="7" t="s">
        <v>36</v>
      </c>
      <c r="D262" s="7" t="s">
        <v>11307</v>
      </c>
      <c r="E262" s="7" t="s">
        <v>1349</v>
      </c>
      <c r="F262" s="7" t="s">
        <v>854</v>
      </c>
      <c r="G262" s="7" t="s">
        <v>11308</v>
      </c>
      <c r="H262" s="7" t="s">
        <v>10873</v>
      </c>
      <c r="I262" s="10" t="n">
        <v>15000</v>
      </c>
      <c r="J262" s="7" t="s">
        <v>377</v>
      </c>
      <c r="K262" s="7"/>
      <c r="L262" s="7" t="s">
        <v>11309</v>
      </c>
      <c r="M262" s="7" t="s">
        <v>9803</v>
      </c>
      <c r="N262" s="7" t="s">
        <v>11310</v>
      </c>
      <c r="O262" s="7" t="s">
        <v>11311</v>
      </c>
      <c r="P262" s="7" t="s">
        <v>10684</v>
      </c>
    </row>
    <row r="263" customFormat="false" ht="15" hidden="false" customHeight="false" outlineLevel="0" collapsed="false">
      <c r="A263" s="7" t="s">
        <v>10869</v>
      </c>
      <c r="B263" s="7" t="s">
        <v>11312</v>
      </c>
      <c r="C263" s="7" t="s">
        <v>36</v>
      </c>
      <c r="D263" s="7" t="s">
        <v>8248</v>
      </c>
      <c r="E263" s="7" t="s">
        <v>5523</v>
      </c>
      <c r="F263" s="7" t="s">
        <v>88</v>
      </c>
      <c r="G263" s="7" t="s">
        <v>11313</v>
      </c>
      <c r="H263" s="7" t="s">
        <v>10873</v>
      </c>
      <c r="I263" s="10" t="n">
        <v>22000</v>
      </c>
      <c r="J263" s="7" t="s">
        <v>3239</v>
      </c>
      <c r="K263" s="7"/>
      <c r="L263" s="7" t="s">
        <v>11314</v>
      </c>
      <c r="M263" s="7" t="s">
        <v>4289</v>
      </c>
      <c r="N263" s="7"/>
      <c r="O263" s="7" t="s">
        <v>11315</v>
      </c>
      <c r="P263" s="7" t="s">
        <v>8065</v>
      </c>
    </row>
    <row r="264" customFormat="false" ht="15" hidden="false" customHeight="false" outlineLevel="0" collapsed="false">
      <c r="A264" s="7" t="s">
        <v>10869</v>
      </c>
      <c r="B264" s="7" t="s">
        <v>11316</v>
      </c>
      <c r="C264" s="7" t="s">
        <v>36</v>
      </c>
      <c r="D264" s="7" t="s">
        <v>8077</v>
      </c>
      <c r="E264" s="7" t="s">
        <v>2189</v>
      </c>
      <c r="F264" s="7" t="s">
        <v>428</v>
      </c>
      <c r="G264" s="7" t="s">
        <v>11317</v>
      </c>
      <c r="H264" s="7" t="s">
        <v>10873</v>
      </c>
      <c r="I264" s="10" t="n">
        <v>19600</v>
      </c>
      <c r="J264" s="7" t="s">
        <v>377</v>
      </c>
      <c r="K264" s="7"/>
      <c r="L264" s="7" t="s">
        <v>11318</v>
      </c>
      <c r="M264" s="7" t="s">
        <v>4289</v>
      </c>
      <c r="N264" s="7"/>
      <c r="O264" s="7" t="s">
        <v>11319</v>
      </c>
      <c r="P264" s="7" t="s">
        <v>10684</v>
      </c>
    </row>
    <row r="265" customFormat="false" ht="15" hidden="false" customHeight="false" outlineLevel="0" collapsed="false">
      <c r="A265" s="7" t="s">
        <v>10869</v>
      </c>
      <c r="B265" s="7" t="s">
        <v>11320</v>
      </c>
      <c r="C265" s="7" t="s">
        <v>36</v>
      </c>
      <c r="D265" s="7" t="s">
        <v>11321</v>
      </c>
      <c r="E265" s="7" t="s">
        <v>11322</v>
      </c>
      <c r="F265" s="7" t="s">
        <v>610</v>
      </c>
      <c r="G265" s="7" t="s">
        <v>11323</v>
      </c>
      <c r="H265" s="7" t="s">
        <v>10873</v>
      </c>
      <c r="I265" s="10" t="n">
        <v>131000</v>
      </c>
      <c r="J265" s="7" t="s">
        <v>377</v>
      </c>
      <c r="K265" s="7"/>
      <c r="L265" s="7" t="s">
        <v>11324</v>
      </c>
      <c r="M265" s="7" t="s">
        <v>11325</v>
      </c>
      <c r="N265" s="7" t="s">
        <v>11326</v>
      </c>
      <c r="O265" s="7" t="s">
        <v>11327</v>
      </c>
      <c r="P265" s="7" t="s">
        <v>10684</v>
      </c>
    </row>
    <row r="266" customFormat="false" ht="15" hidden="false" customHeight="false" outlineLevel="0" collapsed="false">
      <c r="A266" s="7" t="s">
        <v>10869</v>
      </c>
      <c r="B266" s="7" t="s">
        <v>11328</v>
      </c>
      <c r="C266" s="7" t="s">
        <v>36</v>
      </c>
      <c r="D266" s="7" t="s">
        <v>11329</v>
      </c>
      <c r="E266" s="7" t="s">
        <v>11330</v>
      </c>
      <c r="F266" s="7" t="s">
        <v>3533</v>
      </c>
      <c r="G266" s="7" t="s">
        <v>11331</v>
      </c>
      <c r="H266" s="7" t="s">
        <v>10873</v>
      </c>
      <c r="I266" s="10" t="n">
        <v>33000</v>
      </c>
      <c r="J266" s="7" t="s">
        <v>377</v>
      </c>
      <c r="K266" s="7"/>
      <c r="L266" s="7" t="s">
        <v>11332</v>
      </c>
      <c r="M266" s="7" t="s">
        <v>4289</v>
      </c>
      <c r="N266" s="7" t="s">
        <v>11333</v>
      </c>
      <c r="O266" s="7" t="s">
        <v>11334</v>
      </c>
      <c r="P266" s="7" t="s">
        <v>8065</v>
      </c>
    </row>
    <row r="267" customFormat="false" ht="15" hidden="false" customHeight="false" outlineLevel="0" collapsed="false">
      <c r="A267" s="7" t="s">
        <v>10869</v>
      </c>
      <c r="B267" s="7" t="s">
        <v>11335</v>
      </c>
      <c r="C267" s="7" t="s">
        <v>36</v>
      </c>
      <c r="D267" s="7" t="s">
        <v>11336</v>
      </c>
      <c r="E267" s="7" t="s">
        <v>1202</v>
      </c>
      <c r="F267" s="7" t="s">
        <v>296</v>
      </c>
      <c r="G267" s="7" t="s">
        <v>11337</v>
      </c>
      <c r="H267" s="7" t="s">
        <v>10873</v>
      </c>
      <c r="I267" s="10" t="n">
        <v>30000</v>
      </c>
      <c r="J267" s="7" t="s">
        <v>377</v>
      </c>
      <c r="K267" s="7"/>
      <c r="L267" s="7" t="s">
        <v>11338</v>
      </c>
      <c r="M267" s="7" t="s">
        <v>4289</v>
      </c>
      <c r="N267" s="7" t="s">
        <v>11339</v>
      </c>
      <c r="O267" s="7" t="s">
        <v>11340</v>
      </c>
      <c r="P267" s="7" t="s">
        <v>8065</v>
      </c>
    </row>
    <row r="268" customFormat="false" ht="15" hidden="false" customHeight="false" outlineLevel="0" collapsed="false">
      <c r="A268" s="7" t="s">
        <v>10869</v>
      </c>
      <c r="B268" s="7" t="s">
        <v>11341</v>
      </c>
      <c r="C268" s="7" t="s">
        <v>36</v>
      </c>
      <c r="D268" s="7" t="s">
        <v>9787</v>
      </c>
      <c r="E268" s="7" t="s">
        <v>4929</v>
      </c>
      <c r="F268" s="7" t="s">
        <v>163</v>
      </c>
      <c r="G268" s="7" t="s">
        <v>11342</v>
      </c>
      <c r="H268" s="7" t="s">
        <v>10873</v>
      </c>
      <c r="I268" s="10" t="n">
        <v>26000</v>
      </c>
      <c r="J268" s="7" t="s">
        <v>377</v>
      </c>
      <c r="K268" s="7"/>
      <c r="L268" s="7" t="s">
        <v>11343</v>
      </c>
      <c r="M268" s="7" t="s">
        <v>3224</v>
      </c>
      <c r="N268" s="7" t="s">
        <v>11344</v>
      </c>
      <c r="O268" s="7" t="s">
        <v>11345</v>
      </c>
      <c r="P268" s="7" t="s">
        <v>11346</v>
      </c>
    </row>
    <row r="269" customFormat="false" ht="15" hidden="false" customHeight="false" outlineLevel="0" collapsed="false">
      <c r="A269" s="7" t="s">
        <v>10869</v>
      </c>
      <c r="B269" s="7" t="s">
        <v>11347</v>
      </c>
      <c r="C269" s="7" t="s">
        <v>36</v>
      </c>
      <c r="D269" s="7" t="s">
        <v>8248</v>
      </c>
      <c r="E269" s="7" t="s">
        <v>11348</v>
      </c>
      <c r="F269" s="7" t="s">
        <v>105</v>
      </c>
      <c r="G269" s="7" t="s">
        <v>11349</v>
      </c>
      <c r="H269" s="7" t="s">
        <v>10873</v>
      </c>
      <c r="I269" s="10" t="n">
        <v>23000</v>
      </c>
      <c r="J269" s="7" t="s">
        <v>377</v>
      </c>
      <c r="K269" s="7"/>
      <c r="L269" s="7" t="s">
        <v>11350</v>
      </c>
      <c r="M269" s="7" t="s">
        <v>4289</v>
      </c>
      <c r="N269" s="7"/>
      <c r="O269" s="7" t="s">
        <v>11351</v>
      </c>
      <c r="P269" s="7" t="s">
        <v>8065</v>
      </c>
    </row>
    <row r="270" customFormat="false" ht="15" hidden="false" customHeight="false" outlineLevel="0" collapsed="false">
      <c r="A270" s="7" t="s">
        <v>10869</v>
      </c>
      <c r="B270" s="7" t="s">
        <v>11352</v>
      </c>
      <c r="C270" s="7" t="s">
        <v>36</v>
      </c>
      <c r="D270" s="7" t="s">
        <v>8100</v>
      </c>
      <c r="E270" s="7" t="s">
        <v>723</v>
      </c>
      <c r="F270" s="7" t="s">
        <v>105</v>
      </c>
      <c r="G270" s="7" t="s">
        <v>11353</v>
      </c>
      <c r="H270" s="7" t="s">
        <v>10873</v>
      </c>
      <c r="I270" s="10" t="n">
        <v>8600</v>
      </c>
      <c r="J270" s="7" t="s">
        <v>377</v>
      </c>
      <c r="K270" s="7"/>
      <c r="L270" s="7" t="s">
        <v>11354</v>
      </c>
      <c r="M270" s="7" t="s">
        <v>9803</v>
      </c>
      <c r="N270" s="7" t="s">
        <v>11355</v>
      </c>
      <c r="O270" s="7" t="s">
        <v>11356</v>
      </c>
      <c r="P270" s="7" t="s">
        <v>10684</v>
      </c>
    </row>
    <row r="271" customFormat="false" ht="15" hidden="false" customHeight="false" outlineLevel="0" collapsed="false">
      <c r="A271" s="7" t="s">
        <v>10869</v>
      </c>
      <c r="B271" s="7" t="s">
        <v>11357</v>
      </c>
      <c r="C271" s="7" t="s">
        <v>36</v>
      </c>
      <c r="D271" s="7" t="s">
        <v>11358</v>
      </c>
      <c r="E271" s="7" t="s">
        <v>549</v>
      </c>
      <c r="F271" s="7" t="s">
        <v>147</v>
      </c>
      <c r="G271" s="7" t="s">
        <v>11359</v>
      </c>
      <c r="H271" s="7" t="s">
        <v>10873</v>
      </c>
      <c r="I271" s="10" t="n">
        <v>42000</v>
      </c>
      <c r="J271" s="7" t="s">
        <v>377</v>
      </c>
      <c r="K271" s="7"/>
      <c r="L271" s="7" t="s">
        <v>11360</v>
      </c>
      <c r="M271" s="7" t="s">
        <v>9822</v>
      </c>
      <c r="N271" s="7" t="s">
        <v>11361</v>
      </c>
      <c r="O271" s="7" t="s">
        <v>11362</v>
      </c>
      <c r="P271" s="7" t="s">
        <v>8065</v>
      </c>
    </row>
    <row r="272" customFormat="false" ht="15" hidden="false" customHeight="false" outlineLevel="0" collapsed="false">
      <c r="A272" s="7" t="s">
        <v>10869</v>
      </c>
      <c r="B272" s="7" t="s">
        <v>11363</v>
      </c>
      <c r="C272" s="7" t="s">
        <v>36</v>
      </c>
      <c r="D272" s="7" t="s">
        <v>11364</v>
      </c>
      <c r="E272" s="7" t="s">
        <v>4836</v>
      </c>
      <c r="F272" s="7" t="s">
        <v>137</v>
      </c>
      <c r="G272" s="7" t="s">
        <v>11365</v>
      </c>
      <c r="H272" s="7" t="s">
        <v>10873</v>
      </c>
      <c r="I272" s="10" t="n">
        <v>16000</v>
      </c>
      <c r="J272" s="7" t="s">
        <v>377</v>
      </c>
      <c r="K272" s="7"/>
      <c r="L272" s="7" t="s">
        <v>11366</v>
      </c>
      <c r="M272" s="7" t="s">
        <v>4289</v>
      </c>
      <c r="N272" s="7" t="s">
        <v>11367</v>
      </c>
      <c r="O272" s="7" t="s">
        <v>11368</v>
      </c>
      <c r="P272" s="7" t="s">
        <v>11369</v>
      </c>
    </row>
    <row r="273" customFormat="false" ht="15" hidden="false" customHeight="false" outlineLevel="0" collapsed="false">
      <c r="A273" s="7" t="s">
        <v>10869</v>
      </c>
      <c r="B273" s="7" t="s">
        <v>11370</v>
      </c>
      <c r="C273" s="7" t="s">
        <v>36</v>
      </c>
      <c r="D273" s="7" t="s">
        <v>8100</v>
      </c>
      <c r="E273" s="7" t="s">
        <v>3073</v>
      </c>
      <c r="F273" s="7" t="s">
        <v>172</v>
      </c>
      <c r="G273" s="7" t="s">
        <v>11371</v>
      </c>
      <c r="H273" s="7" t="s">
        <v>10873</v>
      </c>
      <c r="I273" s="10" t="n">
        <v>16000</v>
      </c>
      <c r="J273" s="7" t="s">
        <v>350</v>
      </c>
      <c r="K273" s="7"/>
      <c r="L273" s="7" t="s">
        <v>11372</v>
      </c>
      <c r="M273" s="7" t="s">
        <v>9803</v>
      </c>
      <c r="N273" s="7" t="s">
        <v>11373</v>
      </c>
      <c r="O273" s="7" t="s">
        <v>11374</v>
      </c>
      <c r="P273" s="7" t="s">
        <v>10684</v>
      </c>
    </row>
    <row r="274" customFormat="false" ht="15" hidden="false" customHeight="false" outlineLevel="0" collapsed="false">
      <c r="A274" s="7" t="s">
        <v>10869</v>
      </c>
      <c r="B274" s="7" t="s">
        <v>11375</v>
      </c>
      <c r="C274" s="7" t="s">
        <v>36</v>
      </c>
      <c r="D274" s="7" t="s">
        <v>11376</v>
      </c>
      <c r="E274" s="7" t="s">
        <v>154</v>
      </c>
      <c r="F274" s="7" t="s">
        <v>155</v>
      </c>
      <c r="G274" s="7" t="s">
        <v>11377</v>
      </c>
      <c r="H274" s="7" t="s">
        <v>10873</v>
      </c>
      <c r="I274" s="10" t="n">
        <v>5200</v>
      </c>
      <c r="J274" s="7" t="s">
        <v>386</v>
      </c>
      <c r="K274" s="7"/>
      <c r="L274" s="7" t="s">
        <v>11378</v>
      </c>
      <c r="M274" s="7" t="s">
        <v>9803</v>
      </c>
      <c r="N274" s="7" t="s">
        <v>11379</v>
      </c>
      <c r="O274" s="7" t="s">
        <v>11380</v>
      </c>
      <c r="P274" s="7" t="s">
        <v>10684</v>
      </c>
    </row>
    <row r="275" customFormat="false" ht="15" hidden="false" customHeight="false" outlineLevel="0" collapsed="false">
      <c r="A275" s="7" t="s">
        <v>10869</v>
      </c>
      <c r="B275" s="7" t="s">
        <v>11381</v>
      </c>
      <c r="C275" s="7" t="s">
        <v>36</v>
      </c>
      <c r="D275" s="7" t="s">
        <v>11382</v>
      </c>
      <c r="E275" s="7" t="s">
        <v>249</v>
      </c>
      <c r="F275" s="7" t="s">
        <v>250</v>
      </c>
      <c r="G275" s="7" t="s">
        <v>11383</v>
      </c>
      <c r="H275" s="7" t="s">
        <v>10873</v>
      </c>
      <c r="I275" s="10" t="n">
        <v>2800</v>
      </c>
      <c r="J275" s="7" t="s">
        <v>69</v>
      </c>
      <c r="K275" s="7" t="s">
        <v>11384</v>
      </c>
      <c r="L275" s="7" t="s">
        <v>11385</v>
      </c>
      <c r="M275" s="7" t="s">
        <v>2331</v>
      </c>
      <c r="N275" s="7"/>
      <c r="O275" s="7" t="s">
        <v>11386</v>
      </c>
      <c r="P275" s="7" t="s">
        <v>10684</v>
      </c>
    </row>
    <row r="276" customFormat="false" ht="15" hidden="false" customHeight="false" outlineLevel="0" collapsed="false">
      <c r="A276" s="7" t="s">
        <v>11387</v>
      </c>
      <c r="B276" s="7" t="s">
        <v>960</v>
      </c>
      <c r="C276" s="7" t="s">
        <v>32</v>
      </c>
      <c r="D276" s="7" t="s">
        <v>1366</v>
      </c>
      <c r="E276" s="7" t="s">
        <v>962</v>
      </c>
      <c r="F276" s="7" t="s">
        <v>250</v>
      </c>
      <c r="G276" s="7" t="s">
        <v>11388</v>
      </c>
      <c r="H276" s="7" t="s">
        <v>174</v>
      </c>
      <c r="I276" s="10" t="n">
        <v>600</v>
      </c>
      <c r="J276" s="7" t="s">
        <v>69</v>
      </c>
      <c r="K276" s="7" t="s">
        <v>964</v>
      </c>
      <c r="L276" s="7"/>
      <c r="M276" s="7" t="s">
        <v>1370</v>
      </c>
      <c r="N276" s="7"/>
      <c r="O276" s="7" t="s">
        <v>11389</v>
      </c>
      <c r="P276" s="7" t="s">
        <v>1478</v>
      </c>
    </row>
    <row r="277" customFormat="false" ht="15" hidden="false" customHeight="false" outlineLevel="0" collapsed="false">
      <c r="A277" s="7" t="s">
        <v>11390</v>
      </c>
      <c r="B277" s="7" t="s">
        <v>1330</v>
      </c>
      <c r="C277" s="7" t="s">
        <v>32</v>
      </c>
      <c r="D277" s="7" t="s">
        <v>11391</v>
      </c>
      <c r="E277" s="7" t="s">
        <v>1328</v>
      </c>
      <c r="F277" s="7" t="s">
        <v>78</v>
      </c>
      <c r="G277" s="7" t="s">
        <v>11392</v>
      </c>
      <c r="H277" s="7" t="s">
        <v>8316</v>
      </c>
      <c r="I277" s="10" t="n">
        <v>250</v>
      </c>
      <c r="J277" s="7" t="s">
        <v>350</v>
      </c>
      <c r="K277" s="7"/>
      <c r="L277" s="7" t="s">
        <v>11393</v>
      </c>
      <c r="M277" s="7" t="s">
        <v>11394</v>
      </c>
      <c r="N277" s="7" t="s">
        <v>11395</v>
      </c>
      <c r="O277" s="7" t="s">
        <v>11396</v>
      </c>
      <c r="P277" s="7" t="s">
        <v>1335</v>
      </c>
    </row>
    <row r="278" customFormat="false" ht="15" hidden="false" customHeight="false" outlineLevel="0" collapsed="false">
      <c r="A278" s="7" t="s">
        <v>11390</v>
      </c>
      <c r="B278" s="7" t="s">
        <v>1361</v>
      </c>
      <c r="C278" s="7" t="s">
        <v>32</v>
      </c>
      <c r="D278" s="7" t="s">
        <v>11391</v>
      </c>
      <c r="E278" s="7" t="s">
        <v>154</v>
      </c>
      <c r="F278" s="7" t="s">
        <v>155</v>
      </c>
      <c r="G278" s="7" t="s">
        <v>11397</v>
      </c>
      <c r="H278" s="7" t="s">
        <v>8316</v>
      </c>
      <c r="I278" s="10" t="n">
        <v>300</v>
      </c>
      <c r="J278" s="7" t="s">
        <v>350</v>
      </c>
      <c r="K278" s="7"/>
      <c r="L278" s="7" t="s">
        <v>11398</v>
      </c>
      <c r="M278" s="7" t="s">
        <v>11394</v>
      </c>
      <c r="N278" s="7" t="s">
        <v>11399</v>
      </c>
      <c r="O278" s="7" t="s">
        <v>11400</v>
      </c>
      <c r="P278" s="7" t="s">
        <v>1364</v>
      </c>
    </row>
    <row r="279" customFormat="false" ht="15" hidden="false" customHeight="false" outlineLevel="0" collapsed="false">
      <c r="A279" s="7" t="s">
        <v>11390</v>
      </c>
      <c r="B279" s="7" t="s">
        <v>1460</v>
      </c>
      <c r="C279" s="7" t="s">
        <v>32</v>
      </c>
      <c r="D279" s="7" t="s">
        <v>11391</v>
      </c>
      <c r="E279" s="7" t="s">
        <v>264</v>
      </c>
      <c r="F279" s="7" t="s">
        <v>250</v>
      </c>
      <c r="G279" s="7" t="s">
        <v>11401</v>
      </c>
      <c r="H279" s="7" t="s">
        <v>8316</v>
      </c>
      <c r="I279" s="10" t="n">
        <v>600</v>
      </c>
      <c r="J279" s="7" t="s">
        <v>350</v>
      </c>
      <c r="K279" s="7"/>
      <c r="L279" s="7" t="s">
        <v>11402</v>
      </c>
      <c r="M279" s="7" t="s">
        <v>11394</v>
      </c>
      <c r="N279" s="7" t="s">
        <v>11403</v>
      </c>
      <c r="O279" s="7" t="s">
        <v>11404</v>
      </c>
      <c r="P279" s="7" t="s">
        <v>1464</v>
      </c>
    </row>
    <row r="280" customFormat="false" ht="15" hidden="false" customHeight="false" outlineLevel="0" collapsed="false">
      <c r="A280" s="7" t="s">
        <v>11390</v>
      </c>
      <c r="B280" s="7" t="s">
        <v>1427</v>
      </c>
      <c r="C280" s="7" t="s">
        <v>32</v>
      </c>
      <c r="D280" s="7" t="s">
        <v>11391</v>
      </c>
      <c r="E280" s="7" t="s">
        <v>1245</v>
      </c>
      <c r="F280" s="7" t="s">
        <v>78</v>
      </c>
      <c r="G280" s="7" t="s">
        <v>11405</v>
      </c>
      <c r="H280" s="7" t="s">
        <v>68</v>
      </c>
      <c r="I280" s="10" t="n">
        <v>120</v>
      </c>
      <c r="J280" s="7" t="s">
        <v>350</v>
      </c>
      <c r="K280" s="7"/>
      <c r="L280" s="7" t="s">
        <v>11406</v>
      </c>
      <c r="M280" s="7" t="s">
        <v>11394</v>
      </c>
      <c r="N280" s="7" t="s">
        <v>11407</v>
      </c>
      <c r="O280" s="7" t="s">
        <v>11408</v>
      </c>
      <c r="P280" s="7" t="s">
        <v>1603</v>
      </c>
    </row>
    <row r="281" customFormat="false" ht="15" hidden="false" customHeight="false" outlineLevel="0" collapsed="false">
      <c r="A281" s="7" t="s">
        <v>11390</v>
      </c>
      <c r="B281" s="7" t="s">
        <v>964</v>
      </c>
      <c r="C281" s="7" t="s">
        <v>32</v>
      </c>
      <c r="D281" s="7" t="s">
        <v>11391</v>
      </c>
      <c r="E281" s="7" t="s">
        <v>112</v>
      </c>
      <c r="F281" s="7" t="s">
        <v>113</v>
      </c>
      <c r="G281" s="7" t="s">
        <v>11409</v>
      </c>
      <c r="H281" s="7" t="s">
        <v>149</v>
      </c>
      <c r="I281" s="10" t="n">
        <v>150</v>
      </c>
      <c r="J281" s="7" t="s">
        <v>350</v>
      </c>
      <c r="K281" s="7"/>
      <c r="L281" s="7" t="s">
        <v>11410</v>
      </c>
      <c r="M281" s="7" t="s">
        <v>11394</v>
      </c>
      <c r="N281" s="7" t="s">
        <v>11411</v>
      </c>
      <c r="O281" s="7" t="s">
        <v>11412</v>
      </c>
      <c r="P281" s="7" t="s">
        <v>1478</v>
      </c>
    </row>
    <row r="282" customFormat="false" ht="15" hidden="false" customHeight="false" outlineLevel="0" collapsed="false">
      <c r="A282" s="7" t="s">
        <v>11390</v>
      </c>
      <c r="B282" s="7" t="s">
        <v>184</v>
      </c>
      <c r="C282" s="7" t="s">
        <v>32</v>
      </c>
      <c r="D282" s="7" t="s">
        <v>11391</v>
      </c>
      <c r="E282" s="7" t="s">
        <v>347</v>
      </c>
      <c r="F282" s="7" t="s">
        <v>348</v>
      </c>
      <c r="G282" s="7" t="s">
        <v>11413</v>
      </c>
      <c r="H282" s="7" t="s">
        <v>149</v>
      </c>
      <c r="I282" s="10" t="n">
        <v>400</v>
      </c>
      <c r="J282" s="7" t="s">
        <v>350</v>
      </c>
      <c r="K282" s="7"/>
      <c r="L282" s="7" t="s">
        <v>11414</v>
      </c>
      <c r="M282" s="7" t="s">
        <v>11394</v>
      </c>
      <c r="N282" s="7" t="s">
        <v>11415</v>
      </c>
      <c r="O282" s="7" t="s">
        <v>11416</v>
      </c>
      <c r="P282" s="7" t="s">
        <v>1545</v>
      </c>
    </row>
    <row r="283" customFormat="false" ht="15" hidden="false" customHeight="false" outlineLevel="0" collapsed="false">
      <c r="A283" s="7" t="s">
        <v>11390</v>
      </c>
      <c r="B283" s="7" t="s">
        <v>1099</v>
      </c>
      <c r="C283" s="7" t="s">
        <v>32</v>
      </c>
      <c r="D283" s="7" t="s">
        <v>11391</v>
      </c>
      <c r="E283" s="7" t="s">
        <v>171</v>
      </c>
      <c r="F283" s="7" t="s">
        <v>172</v>
      </c>
      <c r="G283" s="7" t="s">
        <v>11417</v>
      </c>
      <c r="H283" s="7" t="s">
        <v>149</v>
      </c>
      <c r="I283" s="10" t="n">
        <v>350</v>
      </c>
      <c r="J283" s="7" t="s">
        <v>350</v>
      </c>
      <c r="K283" s="7"/>
      <c r="L283" s="7" t="s">
        <v>11418</v>
      </c>
      <c r="M283" s="7" t="s">
        <v>11394</v>
      </c>
      <c r="N283" s="7" t="s">
        <v>11419</v>
      </c>
      <c r="O283" s="7" t="s">
        <v>11420</v>
      </c>
      <c r="P283" s="7" t="s">
        <v>11421</v>
      </c>
    </row>
    <row r="284" customFormat="false" ht="15" hidden="false" customHeight="false" outlineLevel="0" collapsed="false">
      <c r="A284" s="7" t="s">
        <v>11390</v>
      </c>
      <c r="B284" s="7" t="s">
        <v>1397</v>
      </c>
      <c r="C284" s="7" t="s">
        <v>32</v>
      </c>
      <c r="D284" s="7" t="s">
        <v>11391</v>
      </c>
      <c r="E284" s="7" t="s">
        <v>1245</v>
      </c>
      <c r="F284" s="7" t="s">
        <v>78</v>
      </c>
      <c r="G284" s="7" t="s">
        <v>11422</v>
      </c>
      <c r="H284" s="7" t="s">
        <v>174</v>
      </c>
      <c r="I284" s="10" t="n">
        <v>120</v>
      </c>
      <c r="J284" s="7" t="s">
        <v>350</v>
      </c>
      <c r="K284" s="7"/>
      <c r="L284" s="7" t="s">
        <v>11423</v>
      </c>
      <c r="M284" s="7" t="s">
        <v>11394</v>
      </c>
      <c r="N284" s="7" t="s">
        <v>11424</v>
      </c>
      <c r="O284" s="7" t="s">
        <v>11425</v>
      </c>
      <c r="P284" s="7" t="s">
        <v>1401</v>
      </c>
    </row>
    <row r="285" customFormat="false" ht="15" hidden="false" customHeight="false" outlineLevel="0" collapsed="false">
      <c r="A285" s="7" t="s">
        <v>11390</v>
      </c>
      <c r="B285" s="7" t="s">
        <v>1351</v>
      </c>
      <c r="C285" s="7" t="s">
        <v>32</v>
      </c>
      <c r="D285" s="7" t="s">
        <v>11391</v>
      </c>
      <c r="E285" s="7" t="s">
        <v>1535</v>
      </c>
      <c r="F285" s="7" t="s">
        <v>78</v>
      </c>
      <c r="G285" s="7" t="s">
        <v>11426</v>
      </c>
      <c r="H285" s="7" t="s">
        <v>174</v>
      </c>
      <c r="I285" s="10" t="n">
        <v>70</v>
      </c>
      <c r="J285" s="7" t="s">
        <v>350</v>
      </c>
      <c r="K285" s="7"/>
      <c r="L285" s="7" t="s">
        <v>11427</v>
      </c>
      <c r="M285" s="7" t="s">
        <v>11394</v>
      </c>
      <c r="N285" s="7" t="s">
        <v>11428</v>
      </c>
      <c r="O285" s="7" t="s">
        <v>11429</v>
      </c>
      <c r="P285" s="7" t="s">
        <v>1356</v>
      </c>
    </row>
    <row r="286" customFormat="false" ht="15" hidden="false" customHeight="false" outlineLevel="0" collapsed="false">
      <c r="A286" s="7" t="s">
        <v>11390</v>
      </c>
      <c r="B286" s="7" t="s">
        <v>1452</v>
      </c>
      <c r="C286" s="7" t="s">
        <v>32</v>
      </c>
      <c r="D286" s="7" t="s">
        <v>11391</v>
      </c>
      <c r="E286" s="7" t="s">
        <v>112</v>
      </c>
      <c r="F286" s="7" t="s">
        <v>113</v>
      </c>
      <c r="G286" s="7" t="s">
        <v>11430</v>
      </c>
      <c r="H286" s="7" t="s">
        <v>174</v>
      </c>
      <c r="I286" s="10" t="n">
        <v>70</v>
      </c>
      <c r="J286" s="7" t="s">
        <v>350</v>
      </c>
      <c r="K286" s="7"/>
      <c r="L286" s="7" t="s">
        <v>11431</v>
      </c>
      <c r="M286" s="7" t="s">
        <v>11394</v>
      </c>
      <c r="N286" s="7"/>
      <c r="O286" s="7" t="s">
        <v>11432</v>
      </c>
      <c r="P286" s="7" t="s">
        <v>1456</v>
      </c>
    </row>
    <row r="287" customFormat="false" ht="15" hidden="false" customHeight="false" outlineLevel="0" collapsed="false">
      <c r="A287" s="7" t="s">
        <v>11390</v>
      </c>
      <c r="B287" s="7" t="s">
        <v>457</v>
      </c>
      <c r="C287" s="7" t="s">
        <v>32</v>
      </c>
      <c r="D287" s="7" t="s">
        <v>11391</v>
      </c>
      <c r="E287" s="7" t="s">
        <v>112</v>
      </c>
      <c r="F287" s="7" t="s">
        <v>113</v>
      </c>
      <c r="G287" s="7" t="s">
        <v>11433</v>
      </c>
      <c r="H287" s="7" t="s">
        <v>174</v>
      </c>
      <c r="I287" s="10" t="n">
        <v>50</v>
      </c>
      <c r="J287" s="7" t="s">
        <v>350</v>
      </c>
      <c r="K287" s="7"/>
      <c r="L287" s="7" t="s">
        <v>11434</v>
      </c>
      <c r="M287" s="7" t="s">
        <v>11394</v>
      </c>
      <c r="N287" s="7"/>
      <c r="O287" s="7" t="s">
        <v>11435</v>
      </c>
      <c r="P287" s="7" t="s">
        <v>1576</v>
      </c>
    </row>
    <row r="288" customFormat="false" ht="15" hidden="false" customHeight="false" outlineLevel="0" collapsed="false">
      <c r="A288" s="7" t="s">
        <v>11390</v>
      </c>
      <c r="B288" s="7" t="s">
        <v>627</v>
      </c>
      <c r="C288" s="7" t="s">
        <v>32</v>
      </c>
      <c r="D288" s="7" t="s">
        <v>11391</v>
      </c>
      <c r="E288" s="7" t="s">
        <v>11436</v>
      </c>
      <c r="F288" s="7" t="s">
        <v>113</v>
      </c>
      <c r="G288" s="7" t="s">
        <v>11437</v>
      </c>
      <c r="H288" s="7" t="s">
        <v>174</v>
      </c>
      <c r="I288" s="10" t="n">
        <v>60</v>
      </c>
      <c r="J288" s="7" t="s">
        <v>350</v>
      </c>
      <c r="K288" s="7"/>
      <c r="L288" s="7" t="s">
        <v>11438</v>
      </c>
      <c r="M288" s="7" t="s">
        <v>11394</v>
      </c>
      <c r="N288" s="7" t="s">
        <v>11439</v>
      </c>
      <c r="O288" s="7" t="s">
        <v>11440</v>
      </c>
      <c r="P288" s="7" t="s">
        <v>1512</v>
      </c>
    </row>
    <row r="289" customFormat="false" ht="15" hidden="false" customHeight="false" outlineLevel="0" collapsed="false">
      <c r="A289" s="7" t="s">
        <v>11390</v>
      </c>
      <c r="B289" s="7" t="s">
        <v>1368</v>
      </c>
      <c r="C289" s="7" t="s">
        <v>32</v>
      </c>
      <c r="D289" s="7" t="s">
        <v>11391</v>
      </c>
      <c r="E289" s="7" t="s">
        <v>112</v>
      </c>
      <c r="F289" s="7" t="s">
        <v>113</v>
      </c>
      <c r="G289" s="7" t="s">
        <v>11441</v>
      </c>
      <c r="H289" s="7" t="s">
        <v>174</v>
      </c>
      <c r="I289" s="10" t="n">
        <v>60</v>
      </c>
      <c r="J289" s="7" t="s">
        <v>350</v>
      </c>
      <c r="K289" s="7"/>
      <c r="L289" s="7" t="s">
        <v>11442</v>
      </c>
      <c r="M289" s="7" t="s">
        <v>11394</v>
      </c>
      <c r="N289" s="7"/>
      <c r="O289" s="7" t="s">
        <v>11443</v>
      </c>
      <c r="P289" s="7" t="s">
        <v>1373</v>
      </c>
    </row>
    <row r="290" customFormat="false" ht="15" hidden="false" customHeight="false" outlineLevel="0" collapsed="false">
      <c r="A290" s="7" t="s">
        <v>11390</v>
      </c>
      <c r="B290" s="7" t="s">
        <v>1614</v>
      </c>
      <c r="C290" s="7" t="s">
        <v>32</v>
      </c>
      <c r="D290" s="7" t="s">
        <v>11391</v>
      </c>
      <c r="E290" s="7" t="s">
        <v>154</v>
      </c>
      <c r="F290" s="7" t="s">
        <v>155</v>
      </c>
      <c r="G290" s="7" t="s">
        <v>11444</v>
      </c>
      <c r="H290" s="7" t="s">
        <v>174</v>
      </c>
      <c r="I290" s="10" t="n">
        <v>200</v>
      </c>
      <c r="J290" s="7" t="s">
        <v>350</v>
      </c>
      <c r="K290" s="7"/>
      <c r="L290" s="7" t="s">
        <v>11445</v>
      </c>
      <c r="M290" s="7" t="s">
        <v>11394</v>
      </c>
      <c r="N290" s="7" t="s">
        <v>11446</v>
      </c>
      <c r="O290" s="7" t="s">
        <v>11447</v>
      </c>
      <c r="P290" s="7" t="s">
        <v>11448</v>
      </c>
    </row>
    <row r="291" customFormat="false" ht="15" hidden="false" customHeight="false" outlineLevel="0" collapsed="false">
      <c r="A291" s="7" t="s">
        <v>11390</v>
      </c>
      <c r="B291" s="7" t="s">
        <v>5733</v>
      </c>
      <c r="C291" s="7" t="s">
        <v>32</v>
      </c>
      <c r="D291" s="7" t="s">
        <v>11391</v>
      </c>
      <c r="E291" s="7" t="s">
        <v>171</v>
      </c>
      <c r="F291" s="7" t="s">
        <v>172</v>
      </c>
      <c r="G291" s="7" t="s">
        <v>11449</v>
      </c>
      <c r="H291" s="7" t="s">
        <v>258</v>
      </c>
      <c r="I291" s="10" t="n">
        <v>40</v>
      </c>
      <c r="J291" s="7" t="s">
        <v>350</v>
      </c>
      <c r="K291" s="7"/>
      <c r="L291" s="7" t="s">
        <v>11450</v>
      </c>
      <c r="M291" s="7" t="s">
        <v>11394</v>
      </c>
      <c r="N291" s="7" t="s">
        <v>11451</v>
      </c>
      <c r="O291" s="7" t="s">
        <v>11452</v>
      </c>
      <c r="P291" s="7" t="s">
        <v>11453</v>
      </c>
    </row>
    <row r="292" customFormat="false" ht="15" hidden="false" customHeight="false" outlineLevel="0" collapsed="false">
      <c r="A292" s="7" t="s">
        <v>11390</v>
      </c>
      <c r="B292" s="7" t="s">
        <v>1436</v>
      </c>
      <c r="C292" s="7" t="s">
        <v>32</v>
      </c>
      <c r="D292" s="7" t="s">
        <v>11391</v>
      </c>
      <c r="E292" s="7" t="s">
        <v>11454</v>
      </c>
      <c r="F292" s="7" t="s">
        <v>610</v>
      </c>
      <c r="G292" s="7" t="s">
        <v>11455</v>
      </c>
      <c r="H292" s="7" t="s">
        <v>258</v>
      </c>
      <c r="I292" s="10" t="n">
        <v>50</v>
      </c>
      <c r="J292" s="7" t="s">
        <v>350</v>
      </c>
      <c r="K292" s="7"/>
      <c r="L292" s="7" t="s">
        <v>11456</v>
      </c>
      <c r="M292" s="7" t="s">
        <v>11394</v>
      </c>
      <c r="N292" s="7" t="s">
        <v>11457</v>
      </c>
      <c r="O292" s="7" t="s">
        <v>11458</v>
      </c>
      <c r="P292" s="7" t="s">
        <v>11459</v>
      </c>
    </row>
    <row r="293" customFormat="false" ht="15" hidden="false" customHeight="false" outlineLevel="0" collapsed="false">
      <c r="A293" s="7" t="s">
        <v>11390</v>
      </c>
      <c r="B293" s="7" t="s">
        <v>11460</v>
      </c>
      <c r="C293" s="7" t="s">
        <v>32</v>
      </c>
      <c r="D293" s="7" t="s">
        <v>11391</v>
      </c>
      <c r="E293" s="7" t="s">
        <v>337</v>
      </c>
      <c r="F293" s="7" t="s">
        <v>338</v>
      </c>
      <c r="G293" s="7" t="s">
        <v>11461</v>
      </c>
      <c r="H293" s="7" t="s">
        <v>258</v>
      </c>
      <c r="I293" s="10" t="n">
        <v>40</v>
      </c>
      <c r="J293" s="7" t="s">
        <v>350</v>
      </c>
      <c r="K293" s="7"/>
      <c r="L293" s="7" t="s">
        <v>11462</v>
      </c>
      <c r="M293" s="7" t="s">
        <v>11394</v>
      </c>
      <c r="N293" s="7"/>
      <c r="O293" s="7" t="s">
        <v>11463</v>
      </c>
      <c r="P293" s="7" t="s">
        <v>11464</v>
      </c>
    </row>
    <row r="294" customFormat="false" ht="15" hidden="false" customHeight="false" outlineLevel="0" collapsed="false">
      <c r="A294" s="7" t="s">
        <v>11390</v>
      </c>
      <c r="B294" s="7" t="s">
        <v>4903</v>
      </c>
      <c r="C294" s="7" t="s">
        <v>32</v>
      </c>
      <c r="D294" s="7" t="s">
        <v>11391</v>
      </c>
      <c r="E294" s="7" t="s">
        <v>2458</v>
      </c>
      <c r="F294" s="7" t="s">
        <v>338</v>
      </c>
      <c r="G294" s="7" t="s">
        <v>11465</v>
      </c>
      <c r="H294" s="7" t="s">
        <v>258</v>
      </c>
      <c r="I294" s="10" t="n">
        <v>60</v>
      </c>
      <c r="J294" s="7" t="s">
        <v>350</v>
      </c>
      <c r="K294" s="7"/>
      <c r="L294" s="7" t="s">
        <v>11466</v>
      </c>
      <c r="M294" s="7" t="s">
        <v>11394</v>
      </c>
      <c r="N294" s="7" t="s">
        <v>11467</v>
      </c>
      <c r="O294" s="7" t="s">
        <v>11468</v>
      </c>
      <c r="P294" s="7" t="s">
        <v>11469</v>
      </c>
    </row>
    <row r="295" customFormat="false" ht="15" hidden="false" customHeight="false" outlineLevel="0" collapsed="false">
      <c r="A295" s="7" t="s">
        <v>11390</v>
      </c>
      <c r="B295" s="7" t="s">
        <v>7619</v>
      </c>
      <c r="C295" s="7" t="s">
        <v>32</v>
      </c>
      <c r="D295" s="7" t="s">
        <v>11391</v>
      </c>
      <c r="E295" s="7" t="s">
        <v>1467</v>
      </c>
      <c r="F295" s="7" t="s">
        <v>147</v>
      </c>
      <c r="G295" s="7" t="s">
        <v>11470</v>
      </c>
      <c r="H295" s="7" t="s">
        <v>258</v>
      </c>
      <c r="I295" s="10" t="n">
        <v>100</v>
      </c>
      <c r="J295" s="7" t="s">
        <v>350</v>
      </c>
      <c r="K295" s="7"/>
      <c r="L295" s="7" t="s">
        <v>11471</v>
      </c>
      <c r="M295" s="7" t="s">
        <v>11394</v>
      </c>
      <c r="N295" s="7"/>
      <c r="O295" s="7" t="s">
        <v>11472</v>
      </c>
      <c r="P295" s="7" t="s">
        <v>11473</v>
      </c>
    </row>
    <row r="296" customFormat="false" ht="15" hidden="false" customHeight="false" outlineLevel="0" collapsed="false">
      <c r="A296" s="7" t="s">
        <v>11390</v>
      </c>
      <c r="B296" s="7" t="s">
        <v>5090</v>
      </c>
      <c r="C296" s="7" t="s">
        <v>32</v>
      </c>
      <c r="D296" s="7" t="s">
        <v>11391</v>
      </c>
      <c r="E296" s="7" t="s">
        <v>2394</v>
      </c>
      <c r="F296" s="7" t="s">
        <v>147</v>
      </c>
      <c r="G296" s="7" t="s">
        <v>11474</v>
      </c>
      <c r="H296" s="7" t="s">
        <v>258</v>
      </c>
      <c r="I296" s="10" t="n">
        <v>80</v>
      </c>
      <c r="J296" s="7" t="s">
        <v>350</v>
      </c>
      <c r="K296" s="7"/>
      <c r="L296" s="7" t="s">
        <v>11475</v>
      </c>
      <c r="M296" s="7" t="s">
        <v>11394</v>
      </c>
      <c r="N296" s="7"/>
      <c r="O296" s="7" t="s">
        <v>11476</v>
      </c>
      <c r="P296" s="7" t="s">
        <v>7350</v>
      </c>
    </row>
    <row r="297" customFormat="false" ht="15" hidden="false" customHeight="false" outlineLevel="0" collapsed="false">
      <c r="A297" s="7" t="s">
        <v>11390</v>
      </c>
      <c r="B297" s="7" t="s">
        <v>1489</v>
      </c>
      <c r="C297" s="7" t="s">
        <v>32</v>
      </c>
      <c r="D297" s="7" t="s">
        <v>11391</v>
      </c>
      <c r="E297" s="7" t="s">
        <v>154</v>
      </c>
      <c r="F297" s="7" t="s">
        <v>155</v>
      </c>
      <c r="G297" s="7" t="s">
        <v>11477</v>
      </c>
      <c r="H297" s="7" t="s">
        <v>258</v>
      </c>
      <c r="I297" s="10" t="n">
        <v>50</v>
      </c>
      <c r="J297" s="7" t="s">
        <v>350</v>
      </c>
      <c r="K297" s="7"/>
      <c r="L297" s="7" t="s">
        <v>11478</v>
      </c>
      <c r="M297" s="7" t="s">
        <v>11394</v>
      </c>
      <c r="N297" s="7" t="s">
        <v>11479</v>
      </c>
      <c r="O297" s="7" t="s">
        <v>11480</v>
      </c>
      <c r="P297" s="7" t="s">
        <v>1493</v>
      </c>
    </row>
  </sheetData>
  <autoFilter ref="A1:P2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2026-09-11T12:02:37Z</dcterms:created>
  <dc:creator>openpyxl</dc:creator>
  <dc:description/>
  <dc:language>en-US</dc:language>
  <cp:lastModifiedBy/>
  <dcterms:modified xsi:type="dcterms:W3CDTF">2026-09-11T12:02:37Z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